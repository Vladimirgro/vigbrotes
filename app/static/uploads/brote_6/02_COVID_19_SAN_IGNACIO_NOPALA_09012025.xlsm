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7A2D7E96-6E34-419A-AE5F-296B3A7E7977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EyD\Downloads\"/>
    </mc:Choice>
  </mc:AlternateContent>
  <xr:revisionPtr revIDLastSave="0" documentId="13_ncr:1_{1B1819B3-F979-4E5D-9668-8A80638799D6}" xr6:coauthVersionLast="47" xr6:coauthVersionMax="47" xr10:uidLastSave="{00000000-0000-0000-0000-000000000000}"/>
  <bookViews>
    <workbookView xWindow="-118" yWindow="-118" windowWidth="25370" windowHeight="13759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0">INF_INICIAL!$A$1:$AV$116</definedName>
    <definedName name="_xlnm.Print_Area" localSheetId="1">LISTADO_NOM!$A$1:$AJ$138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LISTADO_NOM!$AM$14:$AM$3190</definedName>
    <definedName name="FECHA_INIC">VARIABLES!$Z:$Z</definedName>
    <definedName name="FECHA_INICIO">ANALISIS_EPIDEM!$A$14:$A$418</definedName>
    <definedName name="FUENTE">LISTADO_NOM!$AD$14:$AD$1048576</definedName>
    <definedName name="GRAFICO">LISTADO_NOM!$K$14:$AJ$1000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LISTADO_NOM!$AJ$14:$AJ$1048576</definedName>
    <definedName name="NOTIFICACIÓN">VARIABLES!$C$2:$C$33</definedName>
    <definedName name="NOTIFICACION_">LISTADO_NOM!$AI$14:$AI$1048576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LISTADO_NOM!#REF!</definedName>
    <definedName name="SINT_2">LISTADO_NOM!$AA$14:$AA$1048576</definedName>
    <definedName name="SINT_3">LISTADO_NOM!#REF!</definedName>
    <definedName name="SINT_4">LISTADO_NOM!#REF!</definedName>
    <definedName name="SINT_5">LISTADO_NOM!$AB$14:$AB$1048576</definedName>
    <definedName name="SINT_6">LISTADO_NOM!#REF!</definedName>
    <definedName name="SINT_7">LISTADO_NOM!$AC$14:$AC$1048576</definedName>
    <definedName name="SINT_8">LISTADO_NOM!#REF!</definedName>
    <definedName name="TIPO_BROTE">VARIABLES!$W$2:$W$7</definedName>
    <definedName name="VALORES">VARIABLES!$B$2:$B$3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3" i="21" l="1"/>
  <c r="P53" i="21" l="1"/>
  <c r="P52" i="21"/>
  <c r="P51" i="21"/>
  <c r="P50" i="21"/>
  <c r="P46" i="21"/>
  <c r="P45" i="21"/>
  <c r="K52" i="21"/>
  <c r="K51" i="21"/>
  <c r="K50" i="21"/>
  <c r="K48" i="21"/>
  <c r="K46" i="21"/>
  <c r="K45" i="21"/>
  <c r="F53" i="21"/>
  <c r="F52" i="21"/>
  <c r="F51" i="21"/>
  <c r="F50" i="21"/>
  <c r="F49" i="21"/>
  <c r="F47" i="21"/>
  <c r="F46" i="21"/>
  <c r="F45" i="21"/>
  <c r="C7" i="4" l="1"/>
  <c r="Z14" i="8" l="1"/>
  <c r="AA14" i="8" s="1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J225" i="4"/>
  <c r="AJ226" i="4"/>
  <c r="AJ227" i="4"/>
  <c r="AJ228" i="4"/>
  <c r="AJ229" i="4"/>
  <c r="AJ230" i="4"/>
  <c r="AJ231" i="4"/>
  <c r="AJ232" i="4"/>
  <c r="AJ233" i="4"/>
  <c r="AJ234" i="4"/>
  <c r="AJ235" i="4"/>
  <c r="AJ236" i="4"/>
  <c r="AJ237" i="4"/>
  <c r="AJ238" i="4"/>
  <c r="AJ239" i="4"/>
  <c r="AJ240" i="4"/>
  <c r="AJ241" i="4"/>
  <c r="AJ242" i="4"/>
  <c r="AJ243" i="4"/>
  <c r="AJ244" i="4"/>
  <c r="AJ245" i="4"/>
  <c r="AJ246" i="4"/>
  <c r="AJ247" i="4"/>
  <c r="AJ248" i="4"/>
  <c r="AJ249" i="4"/>
  <c r="AJ250" i="4"/>
  <c r="AJ251" i="4"/>
  <c r="AJ252" i="4"/>
  <c r="AJ253" i="4"/>
  <c r="AJ254" i="4"/>
  <c r="AJ255" i="4"/>
  <c r="AJ256" i="4"/>
  <c r="AJ257" i="4"/>
  <c r="AJ258" i="4"/>
  <c r="AJ259" i="4"/>
  <c r="AJ260" i="4"/>
  <c r="AJ261" i="4"/>
  <c r="AJ262" i="4"/>
  <c r="AJ263" i="4"/>
  <c r="AJ264" i="4"/>
  <c r="AJ265" i="4"/>
  <c r="AJ266" i="4"/>
  <c r="AJ267" i="4"/>
  <c r="AJ268" i="4"/>
  <c r="AJ269" i="4"/>
  <c r="AJ270" i="4"/>
  <c r="AJ271" i="4"/>
  <c r="AJ272" i="4"/>
  <c r="AJ273" i="4"/>
  <c r="AJ274" i="4"/>
  <c r="AJ275" i="4"/>
  <c r="AJ276" i="4"/>
  <c r="AJ277" i="4"/>
  <c r="AJ278" i="4"/>
  <c r="AJ279" i="4"/>
  <c r="AJ280" i="4"/>
  <c r="AJ281" i="4"/>
  <c r="AJ282" i="4"/>
  <c r="AJ283" i="4"/>
  <c r="AJ284" i="4"/>
  <c r="AJ285" i="4"/>
  <c r="AJ286" i="4"/>
  <c r="AJ287" i="4"/>
  <c r="AJ288" i="4"/>
  <c r="AJ289" i="4"/>
  <c r="AJ290" i="4"/>
  <c r="AJ291" i="4"/>
  <c r="AJ292" i="4"/>
  <c r="AJ293" i="4"/>
  <c r="AJ294" i="4"/>
  <c r="AJ295" i="4"/>
  <c r="AJ296" i="4"/>
  <c r="AJ297" i="4"/>
  <c r="AJ298" i="4"/>
  <c r="AJ299" i="4"/>
  <c r="AJ300" i="4"/>
  <c r="AJ301" i="4"/>
  <c r="AJ302" i="4"/>
  <c r="AJ303" i="4"/>
  <c r="AJ304" i="4"/>
  <c r="AJ305" i="4"/>
  <c r="AJ306" i="4"/>
  <c r="AJ307" i="4"/>
  <c r="AJ308" i="4"/>
  <c r="AJ309" i="4"/>
  <c r="AJ310" i="4"/>
  <c r="AJ311" i="4"/>
  <c r="AJ312" i="4"/>
  <c r="AJ313" i="4"/>
  <c r="AJ314" i="4"/>
  <c r="AJ315" i="4"/>
  <c r="AJ316" i="4"/>
  <c r="AJ317" i="4"/>
  <c r="AJ318" i="4"/>
  <c r="AJ319" i="4"/>
  <c r="AJ320" i="4"/>
  <c r="AJ321" i="4"/>
  <c r="AJ322" i="4"/>
  <c r="AJ323" i="4"/>
  <c r="AJ324" i="4"/>
  <c r="AJ325" i="4"/>
  <c r="AJ326" i="4"/>
  <c r="AJ327" i="4"/>
  <c r="AJ328" i="4"/>
  <c r="AJ329" i="4"/>
  <c r="AJ330" i="4"/>
  <c r="AJ331" i="4"/>
  <c r="AJ332" i="4"/>
  <c r="AJ333" i="4"/>
  <c r="AJ334" i="4"/>
  <c r="AJ335" i="4"/>
  <c r="AJ336" i="4"/>
  <c r="AJ337" i="4"/>
  <c r="AJ338" i="4"/>
  <c r="AJ339" i="4"/>
  <c r="AJ340" i="4"/>
  <c r="AJ341" i="4"/>
  <c r="AJ342" i="4"/>
  <c r="AJ343" i="4"/>
  <c r="AJ344" i="4"/>
  <c r="AJ345" i="4"/>
  <c r="AJ346" i="4"/>
  <c r="AJ347" i="4"/>
  <c r="AJ348" i="4"/>
  <c r="AJ349" i="4"/>
  <c r="AJ350" i="4"/>
  <c r="AJ351" i="4"/>
  <c r="AJ352" i="4"/>
  <c r="AJ353" i="4"/>
  <c r="AJ354" i="4"/>
  <c r="AJ355" i="4"/>
  <c r="AJ356" i="4"/>
  <c r="AJ357" i="4"/>
  <c r="AJ358" i="4"/>
  <c r="AJ359" i="4"/>
  <c r="AJ360" i="4"/>
  <c r="AJ361" i="4"/>
  <c r="AJ362" i="4"/>
  <c r="AJ363" i="4"/>
  <c r="AJ364" i="4"/>
  <c r="AJ365" i="4"/>
  <c r="AJ366" i="4"/>
  <c r="AJ367" i="4"/>
  <c r="AJ368" i="4"/>
  <c r="AJ369" i="4"/>
  <c r="AJ370" i="4"/>
  <c r="AJ371" i="4"/>
  <c r="AJ372" i="4"/>
  <c r="AJ373" i="4"/>
  <c r="AJ374" i="4"/>
  <c r="AJ375" i="4"/>
  <c r="AJ376" i="4"/>
  <c r="AJ377" i="4"/>
  <c r="AJ378" i="4"/>
  <c r="AJ379" i="4"/>
  <c r="AJ380" i="4"/>
  <c r="AJ381" i="4"/>
  <c r="AJ382" i="4"/>
  <c r="AJ383" i="4"/>
  <c r="AJ384" i="4"/>
  <c r="AJ385" i="4"/>
  <c r="AJ386" i="4"/>
  <c r="AJ387" i="4"/>
  <c r="AJ388" i="4"/>
  <c r="AJ389" i="4"/>
  <c r="AJ390" i="4"/>
  <c r="AJ391" i="4"/>
  <c r="AJ392" i="4"/>
  <c r="AJ393" i="4"/>
  <c r="AJ394" i="4"/>
  <c r="AJ395" i="4"/>
  <c r="AJ396" i="4"/>
  <c r="AJ397" i="4"/>
  <c r="AJ398" i="4"/>
  <c r="AJ399" i="4"/>
  <c r="AJ400" i="4"/>
  <c r="AJ401" i="4"/>
  <c r="AJ402" i="4"/>
  <c r="AJ403" i="4"/>
  <c r="AJ404" i="4"/>
  <c r="AJ405" i="4"/>
  <c r="AJ406" i="4"/>
  <c r="AJ407" i="4"/>
  <c r="AJ408" i="4"/>
  <c r="AJ409" i="4"/>
  <c r="AJ410" i="4"/>
  <c r="AJ411" i="4"/>
  <c r="AJ412" i="4"/>
  <c r="AJ413" i="4"/>
  <c r="AJ414" i="4"/>
  <c r="AJ415" i="4"/>
  <c r="AJ416" i="4"/>
  <c r="AJ417" i="4"/>
  <c r="AJ418" i="4"/>
  <c r="AJ419" i="4"/>
  <c r="AJ420" i="4"/>
  <c r="AJ421" i="4"/>
  <c r="AJ422" i="4"/>
  <c r="AJ423" i="4"/>
  <c r="AJ424" i="4"/>
  <c r="AJ425" i="4"/>
  <c r="AJ426" i="4"/>
  <c r="AJ427" i="4"/>
  <c r="AJ428" i="4"/>
  <c r="AJ429" i="4"/>
  <c r="AJ430" i="4"/>
  <c r="AJ431" i="4"/>
  <c r="AJ432" i="4"/>
  <c r="AJ433" i="4"/>
  <c r="AJ434" i="4"/>
  <c r="AJ435" i="4"/>
  <c r="AJ436" i="4"/>
  <c r="AJ437" i="4"/>
  <c r="AJ438" i="4"/>
  <c r="AJ439" i="4"/>
  <c r="AJ440" i="4"/>
  <c r="AJ441" i="4"/>
  <c r="AJ442" i="4"/>
  <c r="AJ443" i="4"/>
  <c r="AJ444" i="4"/>
  <c r="AJ445" i="4"/>
  <c r="AJ446" i="4"/>
  <c r="AJ447" i="4"/>
  <c r="AJ448" i="4"/>
  <c r="AJ449" i="4"/>
  <c r="AJ450" i="4"/>
  <c r="AJ451" i="4"/>
  <c r="AJ452" i="4"/>
  <c r="AJ453" i="4"/>
  <c r="AJ454" i="4"/>
  <c r="AJ455" i="4"/>
  <c r="AJ456" i="4"/>
  <c r="AJ457" i="4"/>
  <c r="AJ458" i="4"/>
  <c r="AJ459" i="4"/>
  <c r="AJ460" i="4"/>
  <c r="AJ461" i="4"/>
  <c r="AJ462" i="4"/>
  <c r="AJ463" i="4"/>
  <c r="AJ464" i="4"/>
  <c r="AJ465" i="4"/>
  <c r="AJ466" i="4"/>
  <c r="AJ467" i="4"/>
  <c r="AJ468" i="4"/>
  <c r="AJ469" i="4"/>
  <c r="AJ470" i="4"/>
  <c r="AJ471" i="4"/>
  <c r="AJ472" i="4"/>
  <c r="AJ473" i="4"/>
  <c r="AJ474" i="4"/>
  <c r="AJ475" i="4"/>
  <c r="AJ476" i="4"/>
  <c r="AJ477" i="4"/>
  <c r="AJ478" i="4"/>
  <c r="AJ479" i="4"/>
  <c r="AJ480" i="4"/>
  <c r="AJ481" i="4"/>
  <c r="AJ482" i="4"/>
  <c r="AJ483" i="4"/>
  <c r="AJ484" i="4"/>
  <c r="AJ485" i="4"/>
  <c r="AJ486" i="4"/>
  <c r="AJ487" i="4"/>
  <c r="AJ488" i="4"/>
  <c r="AJ489" i="4"/>
  <c r="AJ490" i="4"/>
  <c r="AJ491" i="4"/>
  <c r="AJ492" i="4"/>
  <c r="AJ493" i="4"/>
  <c r="AJ494" i="4"/>
  <c r="AJ495" i="4"/>
  <c r="AJ496" i="4"/>
  <c r="AJ497" i="4"/>
  <c r="AJ498" i="4"/>
  <c r="AJ499" i="4"/>
  <c r="AJ500" i="4"/>
  <c r="AA15" i="8" l="1"/>
  <c r="AA16" i="8" l="1"/>
  <c r="D3" i="2"/>
  <c r="AA17" i="8" l="1"/>
  <c r="BF3" i="2"/>
  <c r="BY3" i="2"/>
  <c r="BU3" i="2"/>
  <c r="BQ3" i="2"/>
  <c r="BM3" i="2"/>
  <c r="BI3" i="2"/>
  <c r="BE3" i="2"/>
  <c r="BX3" i="2"/>
  <c r="BT3" i="2"/>
  <c r="BP3" i="2"/>
  <c r="BL3" i="2"/>
  <c r="BH3" i="2"/>
  <c r="BD3" i="2"/>
  <c r="BB3" i="2"/>
  <c r="BW3" i="2"/>
  <c r="BS3" i="2"/>
  <c r="BO3" i="2"/>
  <c r="BK3" i="2"/>
  <c r="BG3" i="2"/>
  <c r="BC3" i="2"/>
  <c r="BZ3" i="2"/>
  <c r="BV3" i="2"/>
  <c r="BR3" i="2"/>
  <c r="BN3" i="2"/>
  <c r="BJ3" i="2"/>
  <c r="A3" i="2"/>
  <c r="AA18" i="8" l="1"/>
  <c r="AB18" i="8" s="1"/>
  <c r="C3" i="2"/>
  <c r="AA19" i="8" l="1"/>
  <c r="AB19" i="8" s="1"/>
  <c r="AC3" i="2"/>
  <c r="X3" i="2"/>
  <c r="W3" i="2"/>
  <c r="H3" i="2"/>
  <c r="N3" i="2"/>
  <c r="I3" i="2"/>
  <c r="AE3" i="2"/>
  <c r="AG3" i="2"/>
  <c r="AH3" i="2"/>
  <c r="L3" i="2"/>
  <c r="AB3" i="2"/>
  <c r="AI3" i="2"/>
  <c r="AJ3" i="2"/>
  <c r="AA20" i="8" l="1"/>
  <c r="AB20" i="8" s="1"/>
  <c r="AF3" i="2"/>
  <c r="AD3" i="2"/>
  <c r="M3" i="2"/>
  <c r="K3" i="2"/>
  <c r="J3" i="2"/>
  <c r="R3" i="2"/>
  <c r="Y3" i="2"/>
  <c r="S3" i="2"/>
  <c r="O3" i="2"/>
  <c r="Z3" i="2"/>
  <c r="P3" i="2"/>
  <c r="T3" i="2"/>
  <c r="AA3" i="2"/>
  <c r="Q3" i="2"/>
  <c r="U3" i="2"/>
  <c r="AA21" i="8" l="1"/>
  <c r="E3" i="2"/>
  <c r="BA3" i="2"/>
  <c r="AA22" i="8" l="1"/>
  <c r="AB22" i="8" s="1"/>
  <c r="AB21" i="8"/>
  <c r="AS3" i="2"/>
  <c r="AU3" i="2"/>
  <c r="AV3" i="2"/>
  <c r="AM3" i="2"/>
  <c r="AT3" i="2"/>
  <c r="AX3" i="2"/>
  <c r="AY3" i="2"/>
  <c r="AN3" i="2"/>
  <c r="AO3" i="2"/>
  <c r="V3" i="2"/>
  <c r="AP3" i="2"/>
  <c r="AW3" i="2"/>
  <c r="AR3" i="2"/>
  <c r="AL3" i="2"/>
  <c r="AQ3" i="2"/>
  <c r="G3" i="2"/>
  <c r="F3" i="2"/>
  <c r="AA23" i="8" l="1"/>
  <c r="AB23" i="8" s="1"/>
  <c r="AK3" i="2"/>
  <c r="AZ3" i="2"/>
  <c r="AA24" i="8" l="1"/>
  <c r="AA25" i="8" l="1"/>
  <c r="AB25" i="8" s="1"/>
  <c r="AB24" i="8"/>
  <c r="AA26" i="8" l="1"/>
  <c r="AB26" i="8" s="1"/>
  <c r="AA27" i="8" l="1"/>
  <c r="AB27" i="8" l="1"/>
  <c r="AA28" i="8"/>
  <c r="AA29" i="8" l="1"/>
  <c r="AA30" i="8" s="1"/>
  <c r="AB28" i="8"/>
  <c r="AB30" i="8" l="1"/>
  <c r="AB29" i="8"/>
  <c r="AA31" i="8"/>
  <c r="AB31" i="8" s="1"/>
  <c r="AA32" i="8" l="1"/>
  <c r="AB32" i="8" s="1"/>
  <c r="AA33" i="8" l="1"/>
  <c r="AA34" i="8" l="1"/>
  <c r="AB34" i="8" s="1"/>
  <c r="AB33" i="8"/>
  <c r="AA35" i="8" l="1"/>
  <c r="AB35" i="8" l="1"/>
  <c r="AA36" i="8"/>
  <c r="AB36" i="8" s="1"/>
  <c r="AA37" i="8" l="1"/>
  <c r="AB37" i="8" l="1"/>
  <c r="AA38" i="8"/>
  <c r="AB38" i="8" s="1"/>
  <c r="AA39" i="8" l="1"/>
  <c r="AB39" i="8" l="1"/>
  <c r="AA40" i="8"/>
  <c r="AB40" i="8" s="1"/>
  <c r="AA41" i="8" l="1"/>
  <c r="AB41" i="8" l="1"/>
  <c r="AA42" i="8"/>
  <c r="AB42" i="8" s="1"/>
  <c r="AA43" i="8" l="1"/>
  <c r="AB43" i="8" l="1"/>
  <c r="AA44" i="8"/>
  <c r="AB44" i="8" s="1"/>
  <c r="AA45" i="8" l="1"/>
  <c r="AB45" i="8" l="1"/>
  <c r="AA46" i="8"/>
  <c r="AB46" i="8" s="1"/>
  <c r="AA47" i="8" l="1"/>
  <c r="AB47" i="8" s="1"/>
  <c r="AA48" i="8" l="1"/>
  <c r="AB48" i="8" s="1"/>
  <c r="AA49" i="8" l="1"/>
  <c r="AB49" i="8" s="1"/>
  <c r="AA50" i="8" l="1"/>
  <c r="AB50" i="8" s="1"/>
  <c r="AA51" i="8" l="1"/>
  <c r="AB51" i="8" s="1"/>
  <c r="AA52" i="8" l="1"/>
  <c r="AB52" i="8" s="1"/>
  <c r="AA53" i="8" l="1"/>
  <c r="AB53" i="8" s="1"/>
  <c r="AA54" i="8" l="1"/>
  <c r="AB54" i="8" s="1"/>
  <c r="AA55" i="8" l="1"/>
  <c r="AB55" i="8" s="1"/>
  <c r="AA56" i="8" l="1"/>
  <c r="AB56" i="8" l="1"/>
  <c r="AA57" i="8"/>
  <c r="AB57" i="8" s="1"/>
  <c r="AA58" i="8" l="1"/>
  <c r="AB58" i="8" l="1"/>
  <c r="AA59" i="8"/>
  <c r="AB59" i="8" s="1"/>
  <c r="AA60" i="8" l="1"/>
  <c r="AB60" i="8" l="1"/>
  <c r="AA61" i="8"/>
  <c r="AB61" i="8" s="1"/>
  <c r="AA62" i="8" l="1"/>
  <c r="AB62" i="8" l="1"/>
  <c r="AA63" i="8"/>
  <c r="AB63" i="8" s="1"/>
  <c r="AA64" i="8" l="1"/>
  <c r="AB64" i="8" l="1"/>
  <c r="AA65" i="8"/>
  <c r="AB65" i="8" s="1"/>
  <c r="AA66" i="8" l="1"/>
  <c r="AB66" i="8" l="1"/>
  <c r="AA67" i="8"/>
  <c r="AB67" i="8" s="1"/>
  <c r="AA68" i="8" l="1"/>
  <c r="AB68" i="8" l="1"/>
  <c r="AA69" i="8"/>
  <c r="AB69" i="8" s="1"/>
  <c r="AA70" i="8" l="1"/>
  <c r="AB70" i="8" l="1"/>
  <c r="AA71" i="8"/>
  <c r="AB71" i="8" s="1"/>
  <c r="AA72" i="8" l="1"/>
  <c r="AB72" i="8" l="1"/>
  <c r="AA73" i="8"/>
  <c r="AB73" i="8" s="1"/>
  <c r="AA74" i="8" l="1"/>
  <c r="AB74" i="8" l="1"/>
  <c r="AA75" i="8"/>
  <c r="AB75" i="8" s="1"/>
  <c r="AA76" i="8" l="1"/>
  <c r="AB76" i="8" l="1"/>
  <c r="AA77" i="8"/>
  <c r="AB77" i="8" s="1"/>
  <c r="AA78" i="8" l="1"/>
  <c r="AB78" i="8" l="1"/>
  <c r="AA79" i="8"/>
  <c r="AB79" i="8" s="1"/>
  <c r="AA80" i="8" l="1"/>
  <c r="AB80" i="8" l="1"/>
  <c r="AA81" i="8"/>
  <c r="AB81" i="8" s="1"/>
  <c r="AA82" i="8" l="1"/>
  <c r="AB82" i="8" l="1"/>
  <c r="AA83" i="8"/>
  <c r="AB83" i="8" s="1"/>
  <c r="AA84" i="8" l="1"/>
  <c r="AB84" i="8" l="1"/>
  <c r="AA85" i="8"/>
  <c r="AB85" i="8" s="1"/>
  <c r="AA86" i="8" l="1"/>
  <c r="AB86" i="8" s="1"/>
  <c r="AA87" i="8" l="1"/>
  <c r="AB87" i="8" l="1"/>
  <c r="AA88" i="8"/>
  <c r="AB88" i="8" s="1"/>
  <c r="AA89" i="8" l="1"/>
  <c r="AB89" i="8" l="1"/>
  <c r="AA90" i="8"/>
  <c r="AB90" i="8" s="1"/>
  <c r="AA91" i="8" l="1"/>
  <c r="AB91" i="8" l="1"/>
  <c r="AA92" i="8"/>
  <c r="AB92" i="8" s="1"/>
  <c r="AA93" i="8" l="1"/>
  <c r="AB93" i="8" l="1"/>
  <c r="AA94" i="8"/>
  <c r="AB94" i="8" s="1"/>
  <c r="AA95" i="8" l="1"/>
  <c r="AB95" i="8" l="1"/>
  <c r="AA96" i="8"/>
  <c r="AB96" i="8" s="1"/>
  <c r="AA97" i="8" l="1"/>
  <c r="AB97" i="8" l="1"/>
  <c r="AA98" i="8"/>
  <c r="AB98" i="8" s="1"/>
  <c r="AA99" i="8" l="1"/>
  <c r="AB99" i="8" l="1"/>
  <c r="AA100" i="8"/>
  <c r="AB100" i="8" s="1"/>
  <c r="AA101" i="8" l="1"/>
  <c r="AB101" i="8" l="1"/>
  <c r="AA102" i="8"/>
  <c r="AB102" i="8" s="1"/>
  <c r="AA103" i="8" l="1"/>
  <c r="AB103" i="8" l="1"/>
  <c r="AA104" i="8"/>
  <c r="AB104" i="8" s="1"/>
  <c r="AA105" i="8" l="1"/>
  <c r="AB105" i="8" l="1"/>
  <c r="AA106" i="8"/>
  <c r="AB106" i="8" s="1"/>
  <c r="AA107" i="8" l="1"/>
  <c r="AB107" i="8" s="1"/>
  <c r="AA108" i="8" l="1"/>
  <c r="AB108" i="8" s="1"/>
  <c r="AA109" i="8" l="1"/>
  <c r="AB109" i="8" s="1"/>
  <c r="AA110" i="8" l="1"/>
  <c r="AB110" i="8" s="1"/>
  <c r="AA111" i="8" l="1"/>
  <c r="AB111" i="8" s="1"/>
  <c r="AA112" i="8" l="1"/>
  <c r="AB112" i="8" s="1"/>
  <c r="AA113" i="8" l="1"/>
  <c r="AB113" i="8" s="1"/>
  <c r="AA114" i="8" l="1"/>
  <c r="AB114" i="8" s="1"/>
  <c r="AA115" i="8" l="1"/>
  <c r="AB115" i="8" s="1"/>
  <c r="AA116" i="8" l="1"/>
  <c r="AB116" i="8" s="1"/>
  <c r="AA117" i="8" l="1"/>
  <c r="AB117" i="8" s="1"/>
  <c r="AA118" i="8" l="1"/>
  <c r="AB118" i="8" s="1"/>
  <c r="AA119" i="8" l="1"/>
  <c r="AB119" i="8" s="1"/>
  <c r="AA120" i="8" l="1"/>
  <c r="AB120" i="8" s="1"/>
  <c r="AA121" i="8" l="1"/>
  <c r="AB121" i="8" s="1"/>
  <c r="AA122" i="8" l="1"/>
  <c r="AB122" i="8" l="1"/>
  <c r="AA123" i="8"/>
  <c r="AB123" i="8" s="1"/>
  <c r="AA124" i="8" l="1"/>
  <c r="AB124" i="8" l="1"/>
  <c r="AA125" i="8"/>
  <c r="AB125" i="8" s="1"/>
  <c r="AA126" i="8" l="1"/>
  <c r="AB126" i="8" s="1"/>
  <c r="AA127" i="8" l="1"/>
  <c r="AB127" i="8" s="1"/>
  <c r="AA128" i="8" l="1"/>
  <c r="AB128" i="8" s="1"/>
  <c r="AA129" i="8" l="1"/>
  <c r="AB129" i="8" s="1"/>
  <c r="AA130" i="8" l="1"/>
  <c r="AB130" i="8" s="1"/>
  <c r="AA131" i="8" l="1"/>
  <c r="AB131" i="8" s="1"/>
  <c r="AA132" i="8" l="1"/>
  <c r="AB132" i="8" s="1"/>
  <c r="AA133" i="8" l="1"/>
  <c r="AB133" i="8" s="1"/>
  <c r="AA134" i="8" l="1"/>
  <c r="AB134" i="8" s="1"/>
  <c r="AA135" i="8" l="1"/>
  <c r="AB135" i="8" s="1"/>
  <c r="AA136" i="8" l="1"/>
  <c r="AB136" i="8" s="1"/>
  <c r="AA137" i="8" l="1"/>
  <c r="AB137" i="8" s="1"/>
  <c r="AA138" i="8" l="1"/>
  <c r="AB138" i="8" s="1"/>
  <c r="AA139" i="8" l="1"/>
  <c r="AB139" i="8" s="1"/>
  <c r="AA140" i="8" l="1"/>
  <c r="AB140" i="8" s="1"/>
  <c r="AA141" i="8" l="1"/>
  <c r="AB141" i="8" s="1"/>
  <c r="AA142" i="8" l="1"/>
  <c r="AB142" i="8" s="1"/>
  <c r="AA143" i="8" l="1"/>
  <c r="AB143" i="8" s="1"/>
  <c r="AA144" i="8" l="1"/>
  <c r="AB144" i="8" s="1"/>
  <c r="AA145" i="8" l="1"/>
  <c r="AB145" i="8" s="1"/>
  <c r="AA146" i="8" l="1"/>
  <c r="AB146" i="8" s="1"/>
  <c r="AA147" i="8" l="1"/>
  <c r="AB147" i="8" s="1"/>
  <c r="AA148" i="8" l="1"/>
  <c r="AB148" i="8" s="1"/>
  <c r="AA149" i="8" l="1"/>
  <c r="AB149" i="8" s="1"/>
  <c r="AA150" i="8" l="1"/>
  <c r="AB150" i="8" s="1"/>
  <c r="AA151" i="8" l="1"/>
  <c r="AB151" i="8" s="1"/>
  <c r="AA152" i="8" l="1"/>
  <c r="AB152" i="8" s="1"/>
  <c r="AA153" i="8" l="1"/>
  <c r="AB153" i="8" s="1"/>
  <c r="AA154" i="8" l="1"/>
  <c r="AB154" i="8" s="1"/>
  <c r="AA155" i="8" l="1"/>
  <c r="AB155" i="8" s="1"/>
  <c r="AA156" i="8" l="1"/>
  <c r="AB156" i="8" s="1"/>
  <c r="AA157" i="8" l="1"/>
  <c r="AB157" i="8" s="1"/>
  <c r="AA158" i="8" l="1"/>
  <c r="AB158" i="8" s="1"/>
  <c r="AA159" i="8" l="1"/>
  <c r="AB159" i="8" s="1"/>
  <c r="AA160" i="8" l="1"/>
  <c r="AB160" i="8" s="1"/>
  <c r="AA161" i="8" l="1"/>
  <c r="AB161" i="8" s="1"/>
  <c r="AA162" i="8" l="1"/>
  <c r="AB162" i="8" s="1"/>
  <c r="AA163" i="8" l="1"/>
  <c r="AB163" i="8" s="1"/>
  <c r="AA164" i="8" l="1"/>
  <c r="AB164" i="8" s="1"/>
  <c r="AA165" i="8" l="1"/>
  <c r="AB165" i="8" s="1"/>
  <c r="AA166" i="8" l="1"/>
  <c r="AB166" i="8" s="1"/>
  <c r="AA167" i="8" l="1"/>
  <c r="AB167" i="8" s="1"/>
  <c r="AA168" i="8" l="1"/>
  <c r="AB168" i="8" s="1"/>
  <c r="AA169" i="8" l="1"/>
  <c r="AB169" i="8" s="1"/>
  <c r="AA170" i="8" l="1"/>
  <c r="AB170" i="8" s="1"/>
  <c r="AA171" i="8" l="1"/>
  <c r="AB171" i="8" s="1"/>
  <c r="AA172" i="8" l="1"/>
  <c r="AB172" i="8" s="1"/>
  <c r="AA173" i="8" l="1"/>
  <c r="AB173" i="8" s="1"/>
  <c r="AA174" i="8" l="1"/>
  <c r="AB174" i="8" s="1"/>
  <c r="AA175" i="8" l="1"/>
  <c r="AB175" i="8" s="1"/>
  <c r="AA176" i="8" l="1"/>
  <c r="AB176" i="8" s="1"/>
  <c r="AA177" i="8" l="1"/>
  <c r="AB177" i="8" s="1"/>
  <c r="AA178" i="8" l="1"/>
  <c r="AB178" i="8" s="1"/>
  <c r="AA179" i="8" l="1"/>
  <c r="AB179" i="8" s="1"/>
  <c r="AA180" i="8" l="1"/>
  <c r="AB180" i="8" s="1"/>
  <c r="AA181" i="8" l="1"/>
  <c r="AB181" i="8" s="1"/>
  <c r="AA182" i="8" l="1"/>
  <c r="AB182" i="8" s="1"/>
  <c r="AA183" i="8" l="1"/>
  <c r="AB183" i="8" s="1"/>
  <c r="AA184" i="8" l="1"/>
  <c r="AB184" i="8" s="1"/>
  <c r="AA185" i="8" l="1"/>
  <c r="AB185" i="8" s="1"/>
  <c r="AA186" i="8" l="1"/>
  <c r="AB186" i="8" s="1"/>
  <c r="AA187" i="8" l="1"/>
  <c r="AB187" i="8" s="1"/>
  <c r="AA188" i="8" l="1"/>
  <c r="AB188" i="8" s="1"/>
  <c r="AA189" i="8" l="1"/>
  <c r="AB189" i="8" s="1"/>
  <c r="AA190" i="8" l="1"/>
  <c r="AB190" i="8" s="1"/>
  <c r="AA191" i="8" l="1"/>
  <c r="AB191" i="8" s="1"/>
  <c r="AA192" i="8" l="1"/>
  <c r="AB192" i="8" s="1"/>
  <c r="AA193" i="8" l="1"/>
  <c r="AB193" i="8" s="1"/>
  <c r="AA194" i="8" l="1"/>
  <c r="AB194" i="8" s="1"/>
  <c r="AA195" i="8" l="1"/>
  <c r="AB195" i="8" s="1"/>
  <c r="AA196" i="8" l="1"/>
  <c r="AB196" i="8" s="1"/>
  <c r="AA197" i="8" l="1"/>
  <c r="AB197" i="8" s="1"/>
  <c r="AA198" i="8" l="1"/>
  <c r="AB198" i="8" s="1"/>
  <c r="AA199" i="8" l="1"/>
  <c r="AB199" i="8" s="1"/>
  <c r="AA200" i="8" l="1"/>
  <c r="AB200" i="8" s="1"/>
  <c r="AA201" i="8" l="1"/>
  <c r="AB201" i="8" s="1"/>
  <c r="AA202" i="8" l="1"/>
  <c r="AB202" i="8" s="1"/>
  <c r="AA203" i="8" l="1"/>
  <c r="AB203" i="8" s="1"/>
  <c r="AA204" i="8" l="1"/>
  <c r="AB204" i="8" s="1"/>
  <c r="AA205" i="8" l="1"/>
  <c r="AB205" i="8" s="1"/>
  <c r="AA206" i="8" l="1"/>
  <c r="AB206" i="8" s="1"/>
  <c r="AA207" i="8" l="1"/>
  <c r="AB207" i="8" s="1"/>
  <c r="AA208" i="8" l="1"/>
  <c r="AB208" i="8" s="1"/>
  <c r="AA209" i="8" l="1"/>
  <c r="AB209" i="8" s="1"/>
  <c r="AA210" i="8" l="1"/>
  <c r="AB210" i="8" s="1"/>
  <c r="AA211" i="8" l="1"/>
  <c r="AB211" i="8" s="1"/>
  <c r="AA212" i="8" l="1"/>
  <c r="AB212" i="8" s="1"/>
  <c r="AA213" i="8" l="1"/>
  <c r="AB213" i="8" s="1"/>
  <c r="AA214" i="8" l="1"/>
  <c r="AB214" i="8" s="1"/>
  <c r="AA215" i="8" l="1"/>
  <c r="AB215" i="8" s="1"/>
  <c r="AA216" i="8" l="1"/>
  <c r="AB216" i="8" s="1"/>
  <c r="AA217" i="8" l="1"/>
  <c r="AB217" i="8" s="1"/>
  <c r="AA218" i="8" l="1"/>
  <c r="AB218" i="8" s="1"/>
  <c r="AA219" i="8" l="1"/>
  <c r="AB219" i="8" s="1"/>
  <c r="AA220" i="8" l="1"/>
  <c r="AB220" i="8" s="1"/>
  <c r="AA221" i="8" l="1"/>
  <c r="AB221" i="8" s="1"/>
  <c r="AA222" i="8" l="1"/>
  <c r="AB222" i="8" s="1"/>
  <c r="AA223" i="8" l="1"/>
  <c r="AB223" i="8" s="1"/>
  <c r="AA224" i="8" l="1"/>
  <c r="AB224" i="8" s="1"/>
  <c r="AA225" i="8" l="1"/>
  <c r="AB225" i="8" s="1"/>
  <c r="AA226" i="8" l="1"/>
  <c r="AB226" i="8" s="1"/>
  <c r="AA227" i="8" l="1"/>
  <c r="AB227" i="8" s="1"/>
  <c r="AA228" i="8" l="1"/>
  <c r="AB228" i="8" s="1"/>
  <c r="AA229" i="8" l="1"/>
  <c r="AB229" i="8" s="1"/>
  <c r="AA230" i="8" l="1"/>
  <c r="AB230" i="8" s="1"/>
  <c r="AA231" i="8" l="1"/>
  <c r="AB231" i="8" s="1"/>
  <c r="AA232" i="8" l="1"/>
  <c r="AB232" i="8" s="1"/>
  <c r="AA233" i="8" l="1"/>
  <c r="AB233" i="8" s="1"/>
  <c r="AA234" i="8" l="1"/>
  <c r="AB234" i="8" s="1"/>
  <c r="AA235" i="8" l="1"/>
  <c r="AB235" i="8" s="1"/>
  <c r="AA236" i="8" l="1"/>
  <c r="AB236" i="8" s="1"/>
  <c r="AA237" i="8" l="1"/>
  <c r="AB237" i="8" s="1"/>
  <c r="AA238" i="8" l="1"/>
  <c r="AB238" i="8" s="1"/>
  <c r="AA239" i="8" l="1"/>
  <c r="AB239" i="8" s="1"/>
  <c r="AA240" i="8" l="1"/>
  <c r="AB240" i="8" s="1"/>
  <c r="AA241" i="8" l="1"/>
  <c r="AB241" i="8" s="1"/>
  <c r="AA242" i="8" l="1"/>
  <c r="AB242" i="8" s="1"/>
  <c r="AA243" i="8" l="1"/>
  <c r="AB243" i="8" s="1"/>
  <c r="AA244" i="8" l="1"/>
  <c r="AB244" i="8" s="1"/>
  <c r="AA245" i="8" l="1"/>
  <c r="AB245" i="8" s="1"/>
  <c r="AA246" i="8" l="1"/>
  <c r="AB246" i="8" s="1"/>
  <c r="AA247" i="8" l="1"/>
  <c r="AB247" i="8" s="1"/>
  <c r="AA248" i="8" l="1"/>
  <c r="AB248" i="8" s="1"/>
  <c r="AA249" i="8" l="1"/>
  <c r="AB249" i="8" s="1"/>
  <c r="AA250" i="8" l="1"/>
  <c r="AB250" i="8" s="1"/>
  <c r="AA251" i="8" l="1"/>
  <c r="AB251" i="8" s="1"/>
  <c r="AA252" i="8" l="1"/>
  <c r="AB252" i="8" s="1"/>
  <c r="AA253" i="8" l="1"/>
  <c r="AB253" i="8" s="1"/>
  <c r="AA254" i="8" l="1"/>
  <c r="AB254" i="8" s="1"/>
  <c r="AA255" i="8" l="1"/>
  <c r="AB255" i="8" s="1"/>
  <c r="AA256" i="8" l="1"/>
  <c r="AB256" i="8" s="1"/>
  <c r="AA257" i="8" l="1"/>
  <c r="AB257" i="8" s="1"/>
  <c r="AA258" i="8" l="1"/>
  <c r="AB258" i="8" s="1"/>
  <c r="AA259" i="8" l="1"/>
  <c r="AB259" i="8" s="1"/>
  <c r="AA260" i="8" l="1"/>
  <c r="AB260" i="8" s="1"/>
  <c r="AA261" i="8" l="1"/>
  <c r="AB261" i="8" s="1"/>
  <c r="AA262" i="8" l="1"/>
  <c r="AB262" i="8" s="1"/>
  <c r="AA263" i="8" l="1"/>
  <c r="AB263" i="8" s="1"/>
  <c r="AA264" i="8" l="1"/>
  <c r="AB264" i="8" s="1"/>
  <c r="AA265" i="8" l="1"/>
  <c r="AB265" i="8" s="1"/>
  <c r="AA266" i="8" l="1"/>
  <c r="AB266" i="8" s="1"/>
  <c r="AA267" i="8" l="1"/>
  <c r="AB267" i="8" s="1"/>
  <c r="AA268" i="8" l="1"/>
  <c r="AB268" i="8" s="1"/>
  <c r="AA269" i="8" l="1"/>
  <c r="AB269" i="8" s="1"/>
  <c r="AA270" i="8" l="1"/>
  <c r="AB270" i="8" s="1"/>
  <c r="AA271" i="8" l="1"/>
  <c r="AB271" i="8" s="1"/>
  <c r="AA272" i="8" l="1"/>
  <c r="AB272" i="8" s="1"/>
  <c r="AA273" i="8" l="1"/>
  <c r="AB273" i="8" s="1"/>
  <c r="AA274" i="8" l="1"/>
  <c r="AB274" i="8" s="1"/>
  <c r="AA275" i="8" l="1"/>
  <c r="AB275" i="8" s="1"/>
  <c r="AA276" i="8" l="1"/>
  <c r="AB276" i="8" s="1"/>
  <c r="AA277" i="8" l="1"/>
  <c r="AB277" i="8" s="1"/>
  <c r="AA278" i="8" l="1"/>
  <c r="AB278" i="8" s="1"/>
  <c r="AA279" i="8" l="1"/>
  <c r="AB279" i="8" s="1"/>
  <c r="AA280" i="8" l="1"/>
  <c r="AB280" i="8" s="1"/>
  <c r="AA281" i="8" l="1"/>
  <c r="AB281" i="8" s="1"/>
  <c r="AA282" i="8" l="1"/>
  <c r="AB282" i="8" s="1"/>
  <c r="AA283" i="8" l="1"/>
  <c r="AB283" i="8" s="1"/>
  <c r="AA284" i="8" l="1"/>
  <c r="AB284" i="8" s="1"/>
  <c r="AA285" i="8" l="1"/>
  <c r="AB285" i="8" s="1"/>
  <c r="AA286" i="8" l="1"/>
  <c r="AB286" i="8" s="1"/>
  <c r="AA287" i="8" l="1"/>
  <c r="AB287" i="8" s="1"/>
  <c r="AA288" i="8" l="1"/>
  <c r="AB288" i="8" s="1"/>
  <c r="AA289" i="8" l="1"/>
  <c r="AB289" i="8" s="1"/>
  <c r="AA290" i="8" l="1"/>
  <c r="AB290" i="8" s="1"/>
  <c r="AA291" i="8" l="1"/>
  <c r="AB291" i="8" s="1"/>
  <c r="AA292" i="8" l="1"/>
  <c r="AB292" i="8" s="1"/>
  <c r="AA293" i="8" l="1"/>
  <c r="AB293" i="8" s="1"/>
  <c r="AA294" i="8" l="1"/>
  <c r="AB294" i="8" s="1"/>
  <c r="AA295" i="8" l="1"/>
  <c r="AB295" i="8" s="1"/>
  <c r="AA296" i="8" l="1"/>
  <c r="AB296" i="8" s="1"/>
  <c r="AA297" i="8" l="1"/>
  <c r="AB297" i="8" s="1"/>
  <c r="AA298" i="8" l="1"/>
  <c r="AB298" i="8" s="1"/>
  <c r="AA299" i="8" l="1"/>
  <c r="AB299" i="8" s="1"/>
  <c r="AA300" i="8" l="1"/>
  <c r="AB300" i="8" s="1"/>
  <c r="AA301" i="8" l="1"/>
  <c r="AB301" i="8" s="1"/>
  <c r="AA302" i="8" l="1"/>
  <c r="AB302" i="8" s="1"/>
  <c r="AA303" i="8" l="1"/>
  <c r="AB303" i="8" s="1"/>
  <c r="AA304" i="8" l="1"/>
  <c r="AB304" i="8" s="1"/>
  <c r="AA305" i="8" l="1"/>
  <c r="AB305" i="8" s="1"/>
  <c r="AA306" i="8" l="1"/>
  <c r="AB306" i="8" s="1"/>
  <c r="AA307" i="8" l="1"/>
  <c r="AB307" i="8" s="1"/>
  <c r="AA308" i="8" l="1"/>
  <c r="AB308" i="8" s="1"/>
  <c r="AA309" i="8" l="1"/>
  <c r="AB309" i="8" s="1"/>
  <c r="AA310" i="8" l="1"/>
  <c r="AB310" i="8" s="1"/>
  <c r="AA311" i="8" l="1"/>
  <c r="AB311" i="8" s="1"/>
  <c r="AA312" i="8" l="1"/>
  <c r="AB312" i="8" s="1"/>
  <c r="AA313" i="8" l="1"/>
  <c r="AB313" i="8" s="1"/>
  <c r="AA314" i="8" l="1"/>
  <c r="AB314" i="8" s="1"/>
  <c r="AA315" i="8" l="1"/>
  <c r="AB315" i="8" s="1"/>
  <c r="AA316" i="8" l="1"/>
  <c r="AB316" i="8" s="1"/>
  <c r="AA317" i="8" l="1"/>
  <c r="AB317" i="8" s="1"/>
  <c r="AA318" i="8" l="1"/>
  <c r="AB318" i="8" s="1"/>
  <c r="AA319" i="8" l="1"/>
  <c r="AB319" i="8" s="1"/>
  <c r="AA320" i="8" l="1"/>
  <c r="AB320" i="8" s="1"/>
  <c r="AA321" i="8" l="1"/>
  <c r="AB321" i="8" s="1"/>
  <c r="AA322" i="8" l="1"/>
  <c r="AB322" i="8" s="1"/>
  <c r="AA323" i="8" l="1"/>
  <c r="AB323" i="8" s="1"/>
  <c r="AA324" i="8" l="1"/>
  <c r="AB324" i="8" s="1"/>
  <c r="AA325" i="8" l="1"/>
  <c r="AB325" i="8" s="1"/>
  <c r="AA326" i="8" l="1"/>
  <c r="AB326" i="8" s="1"/>
  <c r="AA327" i="8" l="1"/>
  <c r="AB327" i="8" s="1"/>
  <c r="AA328" i="8" l="1"/>
  <c r="AB328" i="8" s="1"/>
  <c r="AA329" i="8" l="1"/>
  <c r="AB329" i="8" s="1"/>
  <c r="AA330" i="8" l="1"/>
  <c r="AB330" i="8" s="1"/>
  <c r="AA331" i="8" l="1"/>
  <c r="AB331" i="8" s="1"/>
  <c r="AA332" i="8" l="1"/>
  <c r="AB332" i="8" s="1"/>
  <c r="AA333" i="8" l="1"/>
  <c r="AB333" i="8" s="1"/>
  <c r="AA334" i="8" l="1"/>
  <c r="AB334" i="8" s="1"/>
  <c r="AA335" i="8" l="1"/>
  <c r="AB335" i="8" s="1"/>
  <c r="AA336" i="8" l="1"/>
  <c r="AB336" i="8" s="1"/>
  <c r="AA337" i="8" l="1"/>
  <c r="AB337" i="8" s="1"/>
  <c r="AA338" i="8" l="1"/>
  <c r="AB338" i="8" s="1"/>
  <c r="AA339" i="8" l="1"/>
  <c r="AB339" i="8" s="1"/>
  <c r="AA340" i="8" l="1"/>
  <c r="AB340" i="8" s="1"/>
  <c r="AA341" i="8" l="1"/>
  <c r="AB341" i="8" s="1"/>
  <c r="AA342" i="8" l="1"/>
  <c r="AB342" i="8" s="1"/>
  <c r="AA343" i="8" l="1"/>
  <c r="AB343" i="8" s="1"/>
  <c r="AA344" i="8" l="1"/>
  <c r="AB344" i="8" s="1"/>
  <c r="AA345" i="8" l="1"/>
  <c r="AB345" i="8" s="1"/>
  <c r="AA346" i="8" l="1"/>
  <c r="AB346" i="8" s="1"/>
  <c r="AA347" i="8" l="1"/>
  <c r="AB347" i="8" s="1"/>
  <c r="AA348" i="8" l="1"/>
  <c r="AB348" i="8" s="1"/>
  <c r="AA349" i="8" l="1"/>
  <c r="AB349" i="8" s="1"/>
  <c r="AA350" i="8" l="1"/>
  <c r="AB350" i="8" s="1"/>
  <c r="AA351" i="8" l="1"/>
  <c r="AB351" i="8" s="1"/>
  <c r="AA352" i="8" l="1"/>
  <c r="AB352" i="8" s="1"/>
  <c r="AA353" i="8" l="1"/>
  <c r="AB353" i="8" s="1"/>
  <c r="AA354" i="8" l="1"/>
  <c r="AB354" i="8" s="1"/>
  <c r="AA355" i="8" l="1"/>
  <c r="AB355" i="8" s="1"/>
  <c r="AA356" i="8" l="1"/>
  <c r="AB356" i="8" s="1"/>
  <c r="AA357" i="8" l="1"/>
  <c r="AB357" i="8" s="1"/>
  <c r="AA358" i="8" l="1"/>
  <c r="AB358" i="8" s="1"/>
  <c r="AA359" i="8" l="1"/>
  <c r="AB359" i="8" s="1"/>
  <c r="AA360" i="8" l="1"/>
  <c r="AB360" i="8" s="1"/>
  <c r="AA361" i="8" l="1"/>
  <c r="AA362" i="8" l="1"/>
  <c r="AB362" i="8" s="1"/>
  <c r="AB361" i="8"/>
  <c r="AA363" i="8" l="1"/>
  <c r="AB363" i="8" l="1"/>
  <c r="AA364" i="8"/>
  <c r="AB364" i="8" s="1"/>
  <c r="AA365" i="8" l="1"/>
  <c r="AB365" i="8" l="1"/>
  <c r="AA366" i="8"/>
  <c r="AB366" i="8" s="1"/>
  <c r="AA367" i="8" l="1"/>
  <c r="AB367" i="8" s="1"/>
  <c r="AA368" i="8" l="1"/>
  <c r="AA369" i="8" l="1"/>
  <c r="AB369" i="8" s="1"/>
  <c r="AB368" i="8"/>
  <c r="AA370" i="8" l="1"/>
  <c r="AB370" i="8" l="1"/>
  <c r="AA371" i="8"/>
  <c r="AB371" i="8" s="1"/>
  <c r="AA372" i="8" l="1"/>
  <c r="AB372" i="8" l="1"/>
  <c r="AA373" i="8"/>
  <c r="AB373" i="8" s="1"/>
  <c r="AA374" i="8" l="1"/>
  <c r="AB374" i="8" l="1"/>
  <c r="AA375" i="8"/>
  <c r="AB375" i="8" s="1"/>
  <c r="AA376" i="8" l="1"/>
  <c r="AB376" i="8" s="1"/>
  <c r="AA377" i="8" l="1"/>
  <c r="AB377" i="8" s="1"/>
  <c r="AA378" i="8" l="1"/>
  <c r="AB378" i="8" s="1"/>
  <c r="AA379" i="8" l="1"/>
  <c r="AB379" i="8" s="1"/>
  <c r="AA380" i="8" l="1"/>
  <c r="AB380" i="8" s="1"/>
  <c r="AA381" i="8" l="1"/>
  <c r="AB381" i="8" s="1"/>
  <c r="AA382" i="8" l="1"/>
  <c r="AB382" i="8" s="1"/>
  <c r="AA383" i="8" l="1"/>
  <c r="AB383" i="8" s="1"/>
  <c r="AA384" i="8" l="1"/>
  <c r="AB384" i="8" s="1"/>
  <c r="AA385" i="8" l="1"/>
  <c r="AB385" i="8" s="1"/>
  <c r="AA386" i="8" l="1"/>
  <c r="AB386" i="8" s="1"/>
  <c r="AA387" i="8" l="1"/>
  <c r="AB387" i="8" s="1"/>
  <c r="AA388" i="8" l="1"/>
  <c r="AB388" i="8" s="1"/>
  <c r="AA389" i="8" l="1"/>
  <c r="AB389" i="8" s="1"/>
  <c r="AA390" i="8" l="1"/>
  <c r="AB390" i="8" s="1"/>
  <c r="AA391" i="8" l="1"/>
  <c r="AB391" i="8" s="1"/>
  <c r="AA392" i="8" l="1"/>
  <c r="AB392" i="8" s="1"/>
  <c r="AA393" i="8" l="1"/>
  <c r="AB393" i="8" s="1"/>
  <c r="AA394" i="8" l="1"/>
  <c r="AB394" i="8" s="1"/>
  <c r="AA395" i="8" l="1"/>
  <c r="AB395" i="8" s="1"/>
  <c r="AA396" i="8" l="1"/>
  <c r="AB396" i="8" s="1"/>
  <c r="AA397" i="8" l="1"/>
  <c r="AB397" i="8" s="1"/>
  <c r="AA398" i="8" l="1"/>
  <c r="AB398" i="8" s="1"/>
  <c r="AA399" i="8" l="1"/>
  <c r="AB399" i="8" s="1"/>
  <c r="AA400" i="8" l="1"/>
  <c r="AB400" i="8" s="1"/>
  <c r="AA401" i="8" l="1"/>
  <c r="AB401" i="8" s="1"/>
  <c r="AA402" i="8" l="1"/>
  <c r="AB402" i="8" s="1"/>
  <c r="AA403" i="8" l="1"/>
  <c r="AB403" i="8" s="1"/>
  <c r="AA404" i="8" l="1"/>
  <c r="AB404" i="8" l="1"/>
  <c r="AA405" i="8"/>
  <c r="AB405" i="8" s="1"/>
  <c r="AA406" i="8" l="1"/>
  <c r="AB406" i="8" l="1"/>
  <c r="AA407" i="8"/>
  <c r="AB407" i="8" s="1"/>
  <c r="AA408" i="8" l="1"/>
  <c r="AB408" i="8" l="1"/>
  <c r="AA409" i="8"/>
  <c r="AB409" i="8" s="1"/>
  <c r="AA410" i="8" l="1"/>
  <c r="AB410" i="8" l="1"/>
  <c r="AA411" i="8"/>
  <c r="AB411" i="8" s="1"/>
  <c r="AA412" i="8" l="1"/>
  <c r="AB412" i="8" l="1"/>
  <c r="AA413" i="8"/>
  <c r="AB413" i="8" s="1"/>
  <c r="AA414" i="8" l="1"/>
  <c r="AB414" i="8" s="1"/>
  <c r="AA415" i="8" l="1"/>
  <c r="AB415" i="8" s="1"/>
  <c r="AA416" i="8" l="1"/>
  <c r="AB416" i="8" s="1"/>
  <c r="AA417" i="8" l="1"/>
  <c r="AB417" i="8" s="1"/>
  <c r="AA418" i="8" l="1"/>
  <c r="AB418" i="8" s="1"/>
  <c r="AA419" i="8" l="1"/>
  <c r="AB419" i="8" s="1"/>
  <c r="AA420" i="8" l="1"/>
  <c r="AB420" i="8" s="1"/>
  <c r="AA421" i="8" l="1"/>
  <c r="AB421" i="8" s="1"/>
  <c r="AA422" i="8" l="1"/>
  <c r="AB422" i="8" s="1"/>
  <c r="AA423" i="8" l="1"/>
  <c r="AB423" i="8" s="1"/>
  <c r="AA424" i="8" l="1"/>
  <c r="AB424" i="8" s="1"/>
  <c r="AA425" i="8" l="1"/>
  <c r="AA426" i="8" l="1"/>
  <c r="AB426" i="8" s="1"/>
  <c r="AB425" i="8"/>
  <c r="AA427" i="8" l="1"/>
  <c r="AB427" i="8" l="1"/>
  <c r="AA428" i="8"/>
  <c r="AB428" i="8" s="1"/>
  <c r="AA429" i="8" l="1"/>
  <c r="AB429" i="8" l="1"/>
  <c r="AA430" i="8"/>
  <c r="AB430" i="8" s="1"/>
  <c r="AA431" i="8" l="1"/>
  <c r="AB431" i="8" l="1"/>
  <c r="AA432" i="8"/>
  <c r="AB432" i="8" s="1"/>
  <c r="AA433" i="8" l="1"/>
  <c r="AB433" i="8" s="1"/>
  <c r="AA434" i="8" l="1"/>
  <c r="AA435" i="8" l="1"/>
  <c r="AB435" i="8" s="1"/>
  <c r="AB434" i="8"/>
  <c r="AA436" i="8" l="1"/>
  <c r="AB436" i="8" s="1"/>
  <c r="AA437" i="8" l="1"/>
  <c r="AB437" i="8" s="1"/>
  <c r="AA438" i="8" l="1"/>
  <c r="AB438" i="8" s="1"/>
  <c r="AA439" i="8" l="1"/>
  <c r="AB439" i="8" s="1"/>
  <c r="AA440" i="8" l="1"/>
  <c r="AB440" i="8" s="1"/>
  <c r="AA441" i="8" l="1"/>
  <c r="AB441" i="8" s="1"/>
  <c r="AA442" i="8" l="1"/>
  <c r="AB442" i="8" s="1"/>
  <c r="AA443" i="8" l="1"/>
  <c r="AB443" i="8" s="1"/>
  <c r="AA444" i="8" l="1"/>
  <c r="AB444" i="8" s="1"/>
  <c r="AA445" i="8" l="1"/>
  <c r="AB445" i="8" s="1"/>
  <c r="AA446" i="8" l="1"/>
  <c r="AB446" i="8" s="1"/>
  <c r="AA447" i="8" l="1"/>
  <c r="AB447" i="8" s="1"/>
  <c r="AA448" i="8" l="1"/>
  <c r="AB448" i="8" s="1"/>
  <c r="AA449" i="8" l="1"/>
  <c r="AB449" i="8" s="1"/>
  <c r="AA450" i="8" l="1"/>
  <c r="AB450" i="8" s="1"/>
  <c r="AA451" i="8" l="1"/>
  <c r="AB451" i="8" s="1"/>
  <c r="AA452" i="8" l="1"/>
  <c r="AB452" i="8" s="1"/>
  <c r="AA453" i="8" l="1"/>
  <c r="AB453" i="8" s="1"/>
  <c r="AA454" i="8" l="1"/>
  <c r="AB454" i="8" s="1"/>
  <c r="AA455" i="8" l="1"/>
  <c r="AB455" i="8" s="1"/>
  <c r="AA456" i="8" l="1"/>
  <c r="AB456" i="8" s="1"/>
  <c r="AA457" i="8" l="1"/>
  <c r="AB457" i="8" s="1"/>
  <c r="AA458" i="8" l="1"/>
  <c r="AB458" i="8" s="1"/>
  <c r="AA459" i="8" l="1"/>
  <c r="AB459" i="8" s="1"/>
  <c r="AA460" i="8" l="1"/>
  <c r="AB460" i="8" s="1"/>
  <c r="AA461" i="8" l="1"/>
  <c r="AB461" i="8" s="1"/>
  <c r="AA462" i="8" l="1"/>
  <c r="AB462" i="8" s="1"/>
  <c r="AA463" i="8" l="1"/>
  <c r="AB463" i="8" s="1"/>
  <c r="AA464" i="8" l="1"/>
  <c r="AB464" i="8" s="1"/>
  <c r="AA465" i="8" l="1"/>
  <c r="AB465" i="8" s="1"/>
  <c r="AA466" i="8" l="1"/>
  <c r="AB466" i="8" s="1"/>
  <c r="AA467" i="8" l="1"/>
  <c r="AB467" i="8" s="1"/>
  <c r="AA468" i="8" l="1"/>
  <c r="AB468" i="8" s="1"/>
  <c r="AA469" i="8" l="1"/>
  <c r="AB469" i="8" s="1"/>
  <c r="AA470" i="8" l="1"/>
  <c r="AB470" i="8" s="1"/>
  <c r="AA471" i="8" l="1"/>
  <c r="AB471" i="8" s="1"/>
  <c r="AA472" i="8" l="1"/>
  <c r="AB472" i="8" s="1"/>
  <c r="AA473" i="8" l="1"/>
  <c r="AB473" i="8" s="1"/>
  <c r="AA474" i="8" l="1"/>
  <c r="AB474" i="8" s="1"/>
  <c r="AA475" i="8" l="1"/>
  <c r="AB475" i="8" s="1"/>
  <c r="AA476" i="8" l="1"/>
  <c r="AB476" i="8" s="1"/>
  <c r="AA477" i="8" l="1"/>
  <c r="AB477" i="8" s="1"/>
  <c r="AA478" i="8" l="1"/>
  <c r="AB478" i="8" s="1"/>
  <c r="AA479" i="8" l="1"/>
  <c r="AB479" i="8" s="1"/>
  <c r="AA480" i="8" l="1"/>
  <c r="AB480" i="8" s="1"/>
  <c r="AA481" i="8" l="1"/>
  <c r="AB481" i="8" s="1"/>
  <c r="AA482" i="8" l="1"/>
  <c r="AB482" i="8" s="1"/>
  <c r="AA483" i="8" l="1"/>
  <c r="AB483" i="8" s="1"/>
  <c r="AA484" i="8" l="1"/>
  <c r="AB484" i="8" s="1"/>
  <c r="AA485" i="8" l="1"/>
  <c r="AB485" i="8" s="1"/>
  <c r="AA486" i="8" l="1"/>
  <c r="AB486" i="8" s="1"/>
  <c r="AA487" i="8" l="1"/>
  <c r="AB487" i="8" s="1"/>
  <c r="AA488" i="8" l="1"/>
  <c r="AB488" i="8" s="1"/>
  <c r="AA489" i="8" l="1"/>
  <c r="AB489" i="8" s="1"/>
  <c r="AA490" i="8" l="1"/>
  <c r="AB490" i="8" s="1"/>
  <c r="AA491" i="8" l="1"/>
  <c r="AB491" i="8" s="1"/>
  <c r="AA492" i="8" l="1"/>
  <c r="AB492" i="8" s="1"/>
  <c r="AA493" i="8" l="1"/>
  <c r="AB493" i="8" s="1"/>
  <c r="AA494" i="8" l="1"/>
  <c r="AB494" i="8" s="1"/>
  <c r="AA495" i="8" l="1"/>
  <c r="AB495" i="8" s="1"/>
  <c r="AA496" i="8" l="1"/>
  <c r="AB496" i="8" s="1"/>
  <c r="AA497" i="8" l="1"/>
  <c r="AB497" i="8" s="1"/>
  <c r="AA498" i="8" l="1"/>
  <c r="AB498" i="8" s="1"/>
  <c r="AA499" i="8" l="1"/>
  <c r="AB499" i="8" s="1"/>
  <c r="AA500" i="8" l="1"/>
  <c r="AB17" i="8" s="1"/>
  <c r="AB16" i="8" l="1"/>
  <c r="AB500" i="8"/>
  <c r="AB15" i="8"/>
  <c r="AB14" i="8"/>
  <c r="AD13" i="8" l="1"/>
  <c r="B3" i="2"/>
</calcChain>
</file>

<file path=xl/sharedStrings.xml><?xml version="1.0" encoding="utf-8"?>
<sst xmlns="http://schemas.openxmlformats.org/spreadsheetml/2006/main" count="732" uniqueCount="361">
  <si>
    <t>I. IDENTIFICACIÓN  DE LA UNIDAD</t>
  </si>
  <si>
    <t>UNIDAD NOTIFICANTE:</t>
  </si>
  <si>
    <t>LOCALIDAD:</t>
  </si>
  <si>
    <t>MUNICIPIO:</t>
  </si>
  <si>
    <t>JURISDICCIÓN O EQUIVALENTE:</t>
  </si>
  <si>
    <t>ENTIDAD O DELEGACIÓN:</t>
  </si>
  <si>
    <t>INSTITUCIÓN:</t>
  </si>
  <si>
    <t>II. ANTECEDENTES</t>
  </si>
  <si>
    <t>DX. PROBABLE:</t>
  </si>
  <si>
    <t>DX. FINAL:</t>
  </si>
  <si>
    <t>FECHA DE NOTIFICACIÓN</t>
  </si>
  <si>
    <t>DIA</t>
  </si>
  <si>
    <t>MES</t>
  </si>
  <si>
    <t>AÑO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</si>
  <si>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</si>
  <si>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</si>
  <si>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</si>
  <si>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</si>
  <si>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</si>
  <si>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</si>
  <si>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</si>
  <si>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&lt; 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</si>
  <si>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</si>
  <si>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</si>
  <si>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</si>
  <si>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</si>
  <si>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</si>
  <si>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</si>
  <si>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</si>
  <si>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</si>
  <si>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SISTEMA NACIONAL DE SALUD</t>
  </si>
  <si>
    <t>NOTIFICACION DE BROTE</t>
  </si>
  <si>
    <t>MASCULINO (A)</t>
  </si>
  <si>
    <t>FEMENINO (B)</t>
  </si>
  <si>
    <t>NUMERO DE CASOS</t>
  </si>
  <si>
    <t>NUMERO DE DEFUNCIONES</t>
  </si>
  <si>
    <t>POBLACIÓN EXPUESTA</t>
  </si>
  <si>
    <t>MASCULINO (D)</t>
  </si>
  <si>
    <t>FEMENINO (E)</t>
  </si>
  <si>
    <t>FEMENINO (H)</t>
  </si>
  <si>
    <t>TASA DE ATAQUE *</t>
  </si>
  <si>
    <t>No.</t>
  </si>
  <si>
    <t>%</t>
  </si>
  <si>
    <t>CASOS</t>
  </si>
  <si>
    <t>PARA OBTENER LAS TASAS DE ATAQUE Y LETALIDAD, SE INDICA EN CADA COLUMNA CON LETRAS), LA OPERACIÓN A REALIZAR CON BASE EN LAS LETRAS INDICADAS EN EL CUADRO ANTERIOR.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</si>
  <si>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</si>
  <si>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</si>
  <si>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</si>
  <si>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</si>
  <si>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AREA, MANZANA, COLONIA, LOCALIDAD, ESCUELA O VIVIENDA</t>
  </si>
  <si>
    <t>TOTAL</t>
  </si>
  <si>
    <t>VI. ANALISIS EPIDEMIOLÓGICO</t>
  </si>
  <si>
    <t>VII. ACCIONES DE CONTROL</t>
  </si>
  <si>
    <t>NOMBRE Y CARGO DE QUIEN ELABORÓ</t>
  </si>
  <si>
    <t>VO.BO. DIRECTOR</t>
  </si>
  <si>
    <t>VO.BO. EPIDEMIÓLOGO</t>
  </si>
  <si>
    <t>1. ANTECEDENTES EPIDEMIOLÓGICOS DEL BROTE:</t>
  </si>
  <si>
    <t>EL FORMATO DEBE SER LLENADO POR EL EPIDEMIÓLOGO O PERSONAL DESIGNADO.</t>
  </si>
  <si>
    <t>EL LLENADO DE ESTE INFORME NO SUSTITUYE SU NOTIFICACIÓN EN LOS SISTEMAS DE VIGILANCIA EPIDEMIOLÓGICA NI LA ELABORACIÓN DEL INFORME FINAL DEL BROTE.</t>
  </si>
  <si>
    <t>SECRETARIA DE SALUD DEL ESTADO DE HIDALGO</t>
  </si>
  <si>
    <t>SUBSECRETARIA DE SALUD PUBLICA</t>
  </si>
  <si>
    <t>SUBDIRECCION DE EPIDEMIOLOGIA</t>
  </si>
  <si>
    <t>JURISDICCION:</t>
  </si>
  <si>
    <t xml:space="preserve">MUNICIPIO: </t>
  </si>
  <si>
    <t>TIPO DE BROTE:</t>
  </si>
  <si>
    <t>FECHA INICIO:</t>
  </si>
  <si>
    <t>FECHA REPORTE:</t>
  </si>
  <si>
    <t>NOTA: USAR VALORES NUMERICOS PARA RESPUESTA DE VARIABLES      1 = SI       0 = NO</t>
  </si>
  <si>
    <t xml:space="preserve"> </t>
  </si>
  <si>
    <t>NOMBRE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</si>
  <si>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</si>
  <si>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</si>
  <si>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</si>
  <si>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</si>
  <si>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</si>
  <si>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</si>
  <si>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</si>
  <si>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</si>
  <si>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</si>
  <si>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</si>
  <si>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</si>
  <si>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</si>
  <si>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</si>
  <si>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MASC</t>
  </si>
  <si>
    <t>FEM</t>
  </si>
  <si>
    <t>EDAD</t>
  </si>
  <si>
    <t>SEXO</t>
  </si>
  <si>
    <t>ANALISIS DE BROTE EPIDEMIOLOGICO</t>
  </si>
  <si>
    <t>FECHA TERMINO:</t>
  </si>
  <si>
    <t>Curva epidémica</t>
  </si>
  <si>
    <t>FUENTE PROBABLE DE CONTAGIO</t>
  </si>
  <si>
    <t>GPO EDAD</t>
  </si>
  <si>
    <t xml:space="preserve">FUENTE </t>
  </si>
  <si>
    <t>Total</t>
  </si>
  <si>
    <t>INFORME NARRATIVO</t>
  </si>
  <si>
    <t>FECHA DE INFORME:</t>
  </si>
  <si>
    <t>ELABORO</t>
  </si>
  <si>
    <t>Vo.Bo.</t>
  </si>
  <si>
    <t>NOMBRE Y FIRMA</t>
  </si>
  <si>
    <t>GEORREFERENCIA DE CASOS DEL BROTE</t>
  </si>
  <si>
    <t>Caso primario</t>
  </si>
  <si>
    <t>Caso índice</t>
  </si>
  <si>
    <t xml:space="preserve">Casos </t>
  </si>
  <si>
    <t>FECHA DE INICIO DEL BROTE</t>
  </si>
  <si>
    <t>NOTIFICACIÓN</t>
  </si>
  <si>
    <t>MASCULINO (A/G)</t>
  </si>
  <si>
    <t>FEMENINO (B/H)</t>
  </si>
  <si>
    <t>MASCULINO(G)</t>
  </si>
  <si>
    <t>NO.</t>
  </si>
  <si>
    <t>Institución</t>
  </si>
  <si>
    <t>LISTADO NOMINAL DE CASOS</t>
  </si>
  <si>
    <t>ESCOLAR</t>
  </si>
  <si>
    <t>MUNICIPIO</t>
  </si>
  <si>
    <t>FORANEO</t>
  </si>
  <si>
    <t>Valores</t>
  </si>
  <si>
    <t>Dia</t>
  </si>
  <si>
    <t>Mes</t>
  </si>
  <si>
    <t>Año</t>
  </si>
  <si>
    <t>Jur</t>
  </si>
  <si>
    <t>Mpio</t>
  </si>
  <si>
    <t>INICIAL</t>
  </si>
  <si>
    <t>01 Pachuca</t>
  </si>
  <si>
    <t>1 SSH</t>
  </si>
  <si>
    <t>02 Tulancingo</t>
  </si>
  <si>
    <t>2 IMSS ORD</t>
  </si>
  <si>
    <t>03 Tula</t>
  </si>
  <si>
    <t>3 ISSSTE</t>
  </si>
  <si>
    <t>04 Huichapan</t>
  </si>
  <si>
    <t>4 OTRA</t>
  </si>
  <si>
    <t>05 Zimapan</t>
  </si>
  <si>
    <t>5 IMSS PROS</t>
  </si>
  <si>
    <t>06 Ixmiquilpan</t>
  </si>
  <si>
    <t>6 DIF</t>
  </si>
  <si>
    <t>07 Actopan</t>
  </si>
  <si>
    <t>7 PEMEX</t>
  </si>
  <si>
    <t>08 Metztitlan</t>
  </si>
  <si>
    <t>8 SEDENA</t>
  </si>
  <si>
    <t>09 Molango</t>
  </si>
  <si>
    <t>10 Huejutla</t>
  </si>
  <si>
    <t>11 Apan</t>
  </si>
  <si>
    <t>12 Tizayuca</t>
  </si>
  <si>
    <t>13 Otomi-Tepehua</t>
  </si>
  <si>
    <t>14 Tepeji</t>
  </si>
  <si>
    <t>15 Atotonilco</t>
  </si>
  <si>
    <t>16 Jacala</t>
  </si>
  <si>
    <t>ALTA</t>
  </si>
  <si>
    <t>17 Zacualtipan</t>
  </si>
  <si>
    <t xml:space="preserve">MES </t>
  </si>
  <si>
    <t>FAMILIAR</t>
  </si>
  <si>
    <t>FECHA DE INGRESO</t>
  </si>
  <si>
    <t>COMUNITARIO</t>
  </si>
  <si>
    <t>LOCALIZADO</t>
  </si>
  <si>
    <t>NOSOCOMIAL</t>
  </si>
  <si>
    <t>NO</t>
  </si>
  <si>
    <t>FECHA_INICIO</t>
  </si>
  <si>
    <t>JURISDICCION</t>
  </si>
  <si>
    <t>LOCALIDAD</t>
  </si>
  <si>
    <t>DIAGNOSTICO INICIAL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</si>
  <si>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</si>
  <si>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</si>
  <si>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</si>
  <si>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</si>
  <si>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</si>
  <si>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</si>
  <si>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</si>
  <si>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</si>
  <si>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INSTITUCION AL QUE PERTENECE</t>
  </si>
  <si>
    <t>FECHA_ULTIMO_CASO</t>
  </si>
  <si>
    <t>CASOS_NUEVOS</t>
  </si>
  <si>
    <t>Día</t>
  </si>
  <si>
    <t>01 ACATLAN</t>
  </si>
  <si>
    <t>02 ACAXOCHITLAN</t>
  </si>
  <si>
    <t>03 ACTOPAN</t>
  </si>
  <si>
    <t>04 AGUA BLANCA DE ITURBIDE</t>
  </si>
  <si>
    <t>05 AJACUBA</t>
  </si>
  <si>
    <t>06 ALFAJAYUCAN</t>
  </si>
  <si>
    <t>07 ALMOLOYA</t>
  </si>
  <si>
    <t>08 APAN</t>
  </si>
  <si>
    <t>09 EL ARENAL</t>
  </si>
  <si>
    <t>10 ATITALAQUIA</t>
  </si>
  <si>
    <t>11 ATLAPEXCO</t>
  </si>
  <si>
    <t>12 ATOTONILCO EL GRANDE</t>
  </si>
  <si>
    <t>13 ATOTONILCO DE TULA</t>
  </si>
  <si>
    <t>14 CALNALI</t>
  </si>
  <si>
    <t>15 CARDONAL</t>
  </si>
  <si>
    <t>16 CUAUTEPEC DE HINOJOSA</t>
  </si>
  <si>
    <t>17 CHAPANTONGO</t>
  </si>
  <si>
    <t>18 CHAPULHUACAN</t>
  </si>
  <si>
    <t>19 CHILCUAUTLA</t>
  </si>
  <si>
    <t>21 EMILIANO ZAPATA</t>
  </si>
  <si>
    <t>22 EPAZOYUCAN</t>
  </si>
  <si>
    <t>23 FRANCISCO I. MADERO</t>
  </si>
  <si>
    <t>24 HUASCA DE OCAMPO</t>
  </si>
  <si>
    <t>25 HUAUTLA</t>
  </si>
  <si>
    <t>26 HUAZALINGO</t>
  </si>
  <si>
    <t>27 HUEHUETLA</t>
  </si>
  <si>
    <t>28 HUEJUTLA DE REYES</t>
  </si>
  <si>
    <t>29 HUICHAPAN</t>
  </si>
  <si>
    <t>31 JACALA DE LEDEZMA</t>
  </si>
  <si>
    <t>32 JALTOCAN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</si>
  <si>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</si>
  <si>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</si>
  <si>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</si>
  <si>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</si>
  <si>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</si>
  <si>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</si>
  <si>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</si>
  <si>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41 MIXQUIAHUALA DE JUAREZ</t>
  </si>
  <si>
    <t>42 MOLANGO DE ESCAMILLA</t>
  </si>
  <si>
    <t>43 NICOLAS FLORES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</si>
  <si>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</si>
  <si>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</si>
  <si>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</si>
  <si>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</si>
  <si>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</si>
  <si>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</si>
  <si>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51 MINERAL DE LA REFORMA</t>
  </si>
  <si>
    <t>52 SAN AGUSTIN TLAXIACA</t>
  </si>
  <si>
    <t>53 SAN BARTOLO TUTOTEPEC</t>
  </si>
  <si>
    <t>54 SAN SALVADOR</t>
  </si>
  <si>
    <t>55 SANTIAGO DE ANAYA</t>
  </si>
  <si>
    <t>56 SANTIAGO TULANTEPEC DE LUGO GUERRERO</t>
  </si>
  <si>
    <t>57 SINGUILUCAN</t>
  </si>
  <si>
    <t>58 TASQUILLO</t>
  </si>
  <si>
    <t>59 TECOZAUTLA</t>
  </si>
  <si>
    <t>61 TEPEAPULCO</t>
  </si>
  <si>
    <t>62 TEPEHUACAN DE GUERRERO</t>
  </si>
  <si>
    <t>63 TEPEJI DEL RIO DE OCAMPO</t>
  </si>
  <si>
    <t>64 TEPETITLAN</t>
  </si>
  <si>
    <t>65 TETEPANGO</t>
  </si>
  <si>
    <t>66 VILLA DE TEZONTEPEC</t>
  </si>
  <si>
    <t>67 TEZONTEPEC DE ALDAMA</t>
  </si>
  <si>
    <t>68 TIANGUISTENGO</t>
  </si>
  <si>
    <t>69 TIZAYUCA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</si>
  <si>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</si>
  <si>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</si>
  <si>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</si>
  <si>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</si>
  <si>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</si>
  <si>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</si>
  <si>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</si>
  <si>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</si>
  <si>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</si>
  <si>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81 ZACUALTIPAN DE ANGELES</t>
  </si>
  <si>
    <t>82 ZAPOTLAN DE JUAREZ</t>
  </si>
  <si>
    <t>83 ZEMPOALA</t>
  </si>
  <si>
    <t>84 ZIMAPAN</t>
  </si>
  <si>
    <t>20 ELOXOCHITLAN</t>
  </si>
  <si>
    <t>30 IXMIQUILPAN</t>
  </si>
  <si>
    <t>40 LA MISION</t>
  </si>
  <si>
    <t>50 PROGRESO DE OBREGON</t>
  </si>
  <si>
    <t>60 TENANGO DE DORIA</t>
  </si>
  <si>
    <t>70 TLAHUELILPAN</t>
  </si>
  <si>
    <t>80 YAHUALICA</t>
  </si>
  <si>
    <t>&lt;1</t>
  </si>
  <si>
    <t>TASA DE LETALIDAD</t>
  </si>
  <si>
    <t>TOTAL            ( F/C )</t>
  </si>
  <si>
    <t>SIGNOS Y SINTOMAS</t>
  </si>
  <si>
    <t>FRECUENCIA DE SIGNOS Y SINTOMAS</t>
  </si>
  <si>
    <t>TOTAL ( C )</t>
  </si>
  <si>
    <t>TOTAL (F)</t>
  </si>
  <si>
    <t>TOTAL (I)</t>
  </si>
  <si>
    <t>notificacion_MASC</t>
  </si>
  <si>
    <t>JN</t>
  </si>
  <si>
    <t>PRIM</t>
  </si>
  <si>
    <t>SEC</t>
  </si>
  <si>
    <t>PREPA</t>
  </si>
  <si>
    <t>COLONIA</t>
  </si>
  <si>
    <t>HOSP</t>
  </si>
  <si>
    <t>OTRO</t>
  </si>
  <si>
    <t>ORDENA</t>
  </si>
  <si>
    <t>VALORES_UNICOS</t>
  </si>
  <si>
    <t>SEGUIMIENTO</t>
  </si>
  <si>
    <t>SEGUIMIENTO 1</t>
  </si>
  <si>
    <t>SEGUIMIENTO 2</t>
  </si>
  <si>
    <t>SEGUIMIENTO 3</t>
  </si>
  <si>
    <t>SEGUIMIENTO 4</t>
  </si>
  <si>
    <t>SEGUIMIENTO 5</t>
  </si>
  <si>
    <t>SEGUIMIENTO 6</t>
  </si>
  <si>
    <t>SEGUIMIENTO 7</t>
  </si>
  <si>
    <t>SEGUIMIENTO 8</t>
  </si>
  <si>
    <t>SEGUIMIENTO 9</t>
  </si>
  <si>
    <t>SEGUIMIENTO 10</t>
  </si>
  <si>
    <t>SEGUIMIENTO 11</t>
  </si>
  <si>
    <t>SEGUIMIENTO 12</t>
  </si>
  <si>
    <t>SEGUIMIENTO 13</t>
  </si>
  <si>
    <t>SEGUIMIENTO 14</t>
  </si>
  <si>
    <t>SEGUIMIENTO 15</t>
  </si>
  <si>
    <t>SEGUIMIENTO 16</t>
  </si>
  <si>
    <t>SEGUIMIENTO 17</t>
  </si>
  <si>
    <t>SEGUIMIENTO 18</t>
  </si>
  <si>
    <t>SEGUIMIENTO 19</t>
  </si>
  <si>
    <t>SEGUIMIENTO 20</t>
  </si>
  <si>
    <t>SEGUIMIENTO 21</t>
  </si>
  <si>
    <t>SEGUIMIENTO 22</t>
  </si>
  <si>
    <t>SEGUIMIENTO 23</t>
  </si>
  <si>
    <t>SEGUIMIENTO 24</t>
  </si>
  <si>
    <t>SEGUIMIENTO 25</t>
  </si>
  <si>
    <t>SEGUIMIENTO 26</t>
  </si>
  <si>
    <t>SEGUIMIENTO 27</t>
  </si>
  <si>
    <t>SEGUIMIENTO 28</t>
  </si>
  <si>
    <t>SEGUIMIENTO 29</t>
  </si>
  <si>
    <t>SEGUIMIENTO 30</t>
  </si>
  <si>
    <t>INF_INICIAL</t>
  </si>
  <si>
    <t>JUR 15 ATOTONILCO</t>
  </si>
  <si>
    <t>JUR 13 OTOMI-TEPEHUA</t>
  </si>
  <si>
    <t>JUR 07 ACTOPAN</t>
  </si>
  <si>
    <t>JUR 14 TEPEJI</t>
  </si>
  <si>
    <t>JUR 06 IXMIQUILPAN</t>
  </si>
  <si>
    <t>JUR 11 APAN</t>
  </si>
  <si>
    <t>JUR 10 HUEJUTLA</t>
  </si>
  <si>
    <t>JUR 09 MOLANGO</t>
  </si>
  <si>
    <t>JUR 02 TULANCINGO</t>
  </si>
  <si>
    <t>JUR 04 HUICHAPAN</t>
  </si>
  <si>
    <t>JUR 16 JACALA</t>
  </si>
  <si>
    <t>JUR 08 METZTITLAN</t>
  </si>
  <si>
    <t>JUR 01 PACHUCA</t>
  </si>
  <si>
    <t>JUR 05 ZIMAPAN</t>
  </si>
  <si>
    <t>JUR 03 TULA</t>
  </si>
  <si>
    <t>JUR 12 TIZAYUCA</t>
  </si>
  <si>
    <t>JUR 17 ZACUALTIPAN</t>
  </si>
  <si>
    <t>SUPERIOR</t>
  </si>
  <si>
    <t>Días</t>
  </si>
  <si>
    <t>Casos</t>
  </si>
  <si>
    <t>CASO PRIMARIO ES EL PRIMERO</t>
  </si>
  <si>
    <t>EL CASO INDICE EL QUE DESENCADENA EL BROTE</t>
  </si>
  <si>
    <t xml:space="preserve">CLAVE DE LA UNIDAD: </t>
  </si>
  <si>
    <t>TOS</t>
  </si>
  <si>
    <t>ODINOFAGIA</t>
  </si>
  <si>
    <t>RINORREA</t>
  </si>
  <si>
    <t>INFORME INICIAL</t>
  </si>
  <si>
    <t>CSR SAN IGNACIO NOPALA</t>
  </si>
  <si>
    <t>SAN IGNACIO NOPALA</t>
  </si>
  <si>
    <t>TEPEJI DEL RIO DE OCAMPO</t>
  </si>
  <si>
    <t>TULA DE ALLENDE</t>
  </si>
  <si>
    <t>HIDALGO</t>
  </si>
  <si>
    <t>C. CONSTITUCION 1917</t>
  </si>
  <si>
    <t>PARACETAMOL, CLORFENAMINA, AMBROXOL</t>
  </si>
  <si>
    <t>PARACETAMOL, AMBROXOL</t>
  </si>
  <si>
    <t>CAROLINA VEGA CHAVEZ</t>
  </si>
  <si>
    <t>4. SE REALIZAN ACCIONES DE PROMOCION A LA SALUD COMO LO SON ORIENTACION A LA MADRE, CAPACITACION EN CUIDADOS, TECNICAS DE LAVADO DE MANOS, SALUDO DE ETIQUETA.</t>
  </si>
  <si>
    <t>2.SE OTORGA TRATAMIENTO A LAS DOS PACIENTES</t>
  </si>
  <si>
    <t>01</t>
  </si>
  <si>
    <t>2025</t>
  </si>
  <si>
    <t>1. ACUDE A CONSULTA EL 10/01/2025</t>
  </si>
  <si>
    <t>OTRAS</t>
  </si>
  <si>
    <t xml:space="preserve">RINORREA </t>
  </si>
  <si>
    <t xml:space="preserve">3. PROBABLES MECANISMOS DE TRANSMISIÓN: PERSONA A PERSONA, FOMITES, GOTAS DE FLUDGE </t>
  </si>
  <si>
    <t>3. SE REALIZA NOTIFICACION EL DIA 14/01/2025</t>
  </si>
  <si>
    <t>2. PROBABLES FUENTES DEL BROTE: PERSONA CON IRA</t>
  </si>
  <si>
    <t xml:space="preserve">LA MADRE PRESENTO UNA INFECCION RESPIRATORIA </t>
  </si>
  <si>
    <t>CALLE FRANCISCO I MADERO SAN IGNACIO NOPALA</t>
  </si>
  <si>
    <t xml:space="preserve">TOS </t>
  </si>
  <si>
    <t>EL DIA 10 DE ENERO 2025 ACUDE A CONSULTA LA SEÑORA MIRANDA ORTIZ VICKY ALEJANDRA DE 38 AÑOS Y SU HIJA HERNANDEZ MIRANDA EVLIN DAYANA DE 7 AÑOS CON SINTOMATOLOGIA COMPATIBLE CON DEFINICION OPERACIONAL DE CASO SOPECHOSO COVID 19 EL DIA DE AYER Y ACUDEN A CONSULTA EL DIA DE HOY, REFIERE QUE SU HIJA ACUDE A ESCUELA PRIMARIA FRANCISCO I. MADERO, SE OTORGA TRATAMIENTO SINTOMATICO, SE DAN INDICACIONES A LA MADRE SE CITAN A REVISION EN 3 DIAS.</t>
  </si>
  <si>
    <t>09</t>
  </si>
  <si>
    <t xml:space="preserve">MIRANDA ORTIZ VICKY ALEJANDRA </t>
  </si>
  <si>
    <t>F</t>
  </si>
  <si>
    <t xml:space="preserve">HERANDEZ MIRANDA EVELIN DAYANA </t>
  </si>
  <si>
    <t xml:space="preserve">DRA. MARISOL PEREZ VARGAS </t>
  </si>
  <si>
    <t>DRA. MARISOL PEREZ VARGAS</t>
  </si>
  <si>
    <t>ENFERMEDAD RESPIRATORIA VIRAL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</si>
</sst>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3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8"/>
      <color indexed="58"/>
      <name val="Tahoma"/>
      <family val="2"/>
    </font>
    <font>
      <b/>
      <sz val="9"/>
      <color indexed="58"/>
      <name val="Tahoma"/>
      <family val="2"/>
    </font>
    <font>
      <b/>
      <sz val="8"/>
      <name val="Arial"/>
      <family val="2"/>
    </font>
    <font>
      <b/>
      <sz val="7"/>
      <color indexed="58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7.5"/>
      <color indexed="56"/>
      <name val="Arial Unicode MS"/>
      <family val="2"/>
    </font>
    <font>
      <b/>
      <sz val="8"/>
      <color theme="1"/>
      <name val="Arial"/>
      <family val="2"/>
    </font>
    <font>
      <b/>
      <sz val="9"/>
      <color indexed="18"/>
      <name val="Arial"/>
      <family val="2"/>
    </font>
    <font>
      <sz val="6"/>
      <name val="Arial"/>
      <family val="2"/>
    </font>
    <font>
      <b/>
      <sz val="10"/>
      <color indexed="62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sz val="14"/>
      <color rgb="FF404040"/>
      <name val="Courier New"/>
      <family val="3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b/>
      <sz val="8"/>
      <color theme="0"/>
      <name val="Arial"/>
      <family val="2"/>
    </font>
    <font>
      <sz val="8"/>
      <color indexed="10"/>
      <name val="Arial"/>
      <family val="2"/>
    </font>
    <font>
      <sz val="9"/>
      <color theme="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253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" fillId="0" borderId="9" xfId="0" applyFont="1" applyBorder="1"/>
    <xf numFmtId="0" fontId="1" fillId="0" borderId="10" xfId="0" applyFont="1" applyBorder="1"/>
    <xf numFmtId="0" fontId="7" fillId="0" borderId="0" xfId="0" applyFont="1" applyAlignment="1">
      <alignment horizontal="left"/>
    </xf>
    <xf numFmtId="0" fontId="8" fillId="0" borderId="0" xfId="1"/>
    <xf numFmtId="0" fontId="10" fillId="0" borderId="0" xfId="1" applyFont="1"/>
    <xf numFmtId="0" fontId="11" fillId="0" borderId="0" xfId="1" applyFont="1" applyAlignment="1">
      <alignment horizontal="left"/>
    </xf>
    <xf numFmtId="0" fontId="12" fillId="2" borderId="0" xfId="1" applyFont="1" applyFill="1"/>
    <xf numFmtId="0" fontId="14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1" applyFont="1"/>
    <xf numFmtId="0" fontId="9" fillId="0" borderId="0" xfId="1" applyFont="1"/>
    <xf numFmtId="0" fontId="11" fillId="0" borderId="0" xfId="1" applyFont="1"/>
    <xf numFmtId="0" fontId="8" fillId="2" borderId="0" xfId="1" applyFill="1"/>
    <xf numFmtId="0" fontId="12" fillId="0" borderId="0" xfId="1" applyFont="1"/>
    <xf numFmtId="0" fontId="19" fillId="8" borderId="1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14" fontId="23" fillId="5" borderId="1" xfId="1" applyNumberFormat="1" applyFont="1" applyFill="1" applyBorder="1" applyAlignment="1">
      <alignment horizontal="center"/>
    </xf>
    <xf numFmtId="0" fontId="23" fillId="5" borderId="1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8" fillId="5" borderId="1" xfId="1" applyFill="1" applyBorder="1" applyAlignment="1">
      <alignment horizontal="center"/>
    </xf>
    <xf numFmtId="16" fontId="19" fillId="5" borderId="1" xfId="1" applyNumberFormat="1" applyFont="1" applyFill="1" applyBorder="1" applyAlignment="1">
      <alignment horizontal="center"/>
    </xf>
    <xf numFmtId="17" fontId="19" fillId="5" borderId="1" xfId="1" applyNumberFormat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/>
    </xf>
    <xf numFmtId="164" fontId="8" fillId="0" borderId="0" xfId="1" applyNumberFormat="1" applyAlignment="1">
      <alignment horizontal="center"/>
    </xf>
    <xf numFmtId="0" fontId="15" fillId="9" borderId="1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25" fillId="0" borderId="0" xfId="1" applyFont="1"/>
    <xf numFmtId="0" fontId="28" fillId="2" borderId="16" xfId="1" applyFont="1" applyFill="1" applyBorder="1"/>
    <xf numFmtId="0" fontId="29" fillId="2" borderId="16" xfId="1" applyFont="1" applyFill="1" applyBorder="1"/>
    <xf numFmtId="0" fontId="30" fillId="0" borderId="0" xfId="1" applyFont="1"/>
    <xf numFmtId="0" fontId="14" fillId="0" borderId="0" xfId="1" applyFont="1"/>
    <xf numFmtId="0" fontId="16" fillId="0" borderId="0" xfId="1" applyFont="1"/>
    <xf numFmtId="0" fontId="20" fillId="0" borderId="0" xfId="1" applyFont="1"/>
    <xf numFmtId="0" fontId="8" fillId="0" borderId="0" xfId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5" fontId="14" fillId="0" borderId="0" xfId="1" applyNumberFormat="1" applyFont="1" applyAlignment="1">
      <alignment horizontal="center"/>
    </xf>
    <xf numFmtId="0" fontId="22" fillId="4" borderId="0" xfId="1" applyFont="1" applyFill="1" applyAlignment="1">
      <alignment horizontal="center" vertical="center"/>
    </xf>
    <xf numFmtId="49" fontId="13" fillId="3" borderId="6" xfId="1" applyNumberFormat="1" applyFont="1" applyFill="1" applyBorder="1" applyAlignment="1">
      <alignment horizontal="center" vertical="center"/>
    </xf>
    <xf numFmtId="0" fontId="8" fillId="0" borderId="0" xfId="0" applyFont="1"/>
    <xf numFmtId="2" fontId="0" fillId="0" borderId="0" xfId="0" applyNumberFormat="1"/>
    <xf numFmtId="0" fontId="15" fillId="3" borderId="0" xfId="1" applyFont="1" applyFill="1" applyAlignment="1">
      <alignment horizontal="center"/>
    </xf>
    <xf numFmtId="0" fontId="13" fillId="3" borderId="0" xfId="1" applyFont="1" applyFill="1" applyAlignment="1">
      <alignment horizontal="center"/>
    </xf>
    <xf numFmtId="2" fontId="8" fillId="0" borderId="0" xfId="1" applyNumberFormat="1"/>
    <xf numFmtId="1" fontId="8" fillId="0" borderId="0" xfId="1" applyNumberFormat="1"/>
    <xf numFmtId="0" fontId="18" fillId="0" borderId="1" xfId="1" applyFont="1" applyBorder="1" applyAlignment="1">
      <alignment horizontal="center" vertical="center"/>
    </xf>
    <xf numFmtId="1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14" fontId="8" fillId="0" borderId="1" xfId="1" applyNumberForma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31" fillId="0" borderId="1" xfId="1" applyFont="1" applyBorder="1" applyAlignment="1">
      <alignment vertical="center"/>
    </xf>
    <xf numFmtId="0" fontId="8" fillId="0" borderId="1" xfId="1" applyBorder="1" applyAlignment="1">
      <alignment vertical="center"/>
    </xf>
    <xf numFmtId="49" fontId="13" fillId="3" borderId="1" xfId="1" applyNumberFormat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165" fontId="8" fillId="5" borderId="1" xfId="1" applyNumberFormat="1" applyFill="1" applyBorder="1" applyAlignment="1">
      <alignment horizontal="center"/>
    </xf>
    <xf numFmtId="165" fontId="10" fillId="9" borderId="1" xfId="1" applyNumberFormat="1" applyFont="1" applyFill="1" applyBorder="1" applyAlignment="1">
      <alignment horizontal="center"/>
    </xf>
    <xf numFmtId="1" fontId="10" fillId="9" borderId="1" xfId="1" applyNumberFormat="1" applyFont="1" applyFill="1" applyBorder="1" applyAlignment="1">
      <alignment horizontal="center"/>
    </xf>
    <xf numFmtId="1" fontId="13" fillId="3" borderId="4" xfId="1" applyNumberFormat="1" applyFont="1" applyFill="1" applyBorder="1" applyAlignment="1">
      <alignment horizontal="center"/>
    </xf>
    <xf numFmtId="14" fontId="8" fillId="0" borderId="0" xfId="1" applyNumberFormat="1" applyAlignment="1">
      <alignment horizontal="center"/>
    </xf>
    <xf numFmtId="14" fontId="8" fillId="0" borderId="0" xfId="1" applyNumberFormat="1" applyAlignment="1">
      <alignment horizontal="center" vertical="center"/>
    </xf>
    <xf numFmtId="1" fontId="8" fillId="0" borderId="0" xfId="1" applyNumberFormat="1" applyAlignment="1">
      <alignment horizontal="center"/>
    </xf>
    <xf numFmtId="14" fontId="8" fillId="0" borderId="0" xfId="1" applyNumberFormat="1"/>
    <xf numFmtId="14" fontId="0" fillId="0" borderId="0" xfId="0" applyNumberFormat="1"/>
    <xf numFmtId="0" fontId="36" fillId="0" borderId="0" xfId="0" applyFont="1"/>
    <xf numFmtId="14" fontId="8" fillId="0" borderId="1" xfId="1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8" fillId="0" borderId="0" xfId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2" borderId="0" xfId="1" applyFont="1" applyFill="1" applyAlignment="1">
      <alignment horizontal="center"/>
    </xf>
    <xf numFmtId="0" fontId="17" fillId="0" borderId="0" xfId="1" applyFont="1" applyAlignment="1">
      <alignment horizontal="center"/>
    </xf>
    <xf numFmtId="0" fontId="8" fillId="0" borderId="15" xfId="1" applyBorder="1"/>
    <xf numFmtId="0" fontId="37" fillId="2" borderId="16" xfId="1" applyFont="1" applyFill="1" applyBorder="1"/>
    <xf numFmtId="0" fontId="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11" borderId="0" xfId="0" applyFont="1" applyFill="1" applyAlignment="1">
      <alignment horizontal="left" vertical="center"/>
    </xf>
    <xf numFmtId="0" fontId="34" fillId="11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38" fillId="13" borderId="4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9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9" fillId="0" borderId="1" xfId="1" applyFont="1" applyBorder="1" applyAlignment="1">
      <alignment horizontal="center" vertical="center"/>
    </xf>
    <xf numFmtId="0" fontId="40" fillId="6" borderId="1" xfId="1" applyFont="1" applyFill="1" applyBorder="1" applyAlignment="1">
      <alignment horizontal="center" vertical="center"/>
    </xf>
    <xf numFmtId="0" fontId="40" fillId="7" borderId="1" xfId="1" applyFont="1" applyFill="1" applyBorder="1" applyAlignment="1">
      <alignment horizontal="center" vertical="center"/>
    </xf>
    <xf numFmtId="1" fontId="19" fillId="0" borderId="1" xfId="1" applyNumberFormat="1" applyFont="1" applyBorder="1" applyAlignment="1">
      <alignment horizontal="center" vertical="center" wrapText="1"/>
    </xf>
    <xf numFmtId="1" fontId="19" fillId="0" borderId="1" xfId="1" applyNumberFormat="1" applyFont="1" applyBorder="1" applyAlignment="1">
      <alignment horizontal="center" vertical="center"/>
    </xf>
    <xf numFmtId="0" fontId="41" fillId="0" borderId="1" xfId="1" applyFont="1" applyBorder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/>
    </xf>
    <xf numFmtId="0" fontId="19" fillId="0" borderId="1" xfId="1" applyFont="1" applyBorder="1" applyAlignment="1">
      <alignment vertical="center"/>
    </xf>
    <xf numFmtId="14" fontId="19" fillId="0" borderId="1" xfId="1" applyNumberFormat="1" applyFont="1" applyBorder="1" applyAlignment="1">
      <alignment horizontal="center" vertical="center" wrapText="1"/>
    </xf>
    <xf numFmtId="0" fontId="42" fillId="0" borderId="4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" fontId="18" fillId="0" borderId="1" xfId="1" applyNumberFormat="1" applyFont="1" applyBorder="1" applyAlignment="1">
      <alignment horizontal="center" vertical="center" wrapText="1"/>
    </xf>
    <xf numFmtId="1" fontId="18" fillId="0" borderId="1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 wrapText="1"/>
    </xf>
    <xf numFmtId="0" fontId="1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12" borderId="3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9" fontId="1" fillId="12" borderId="4" xfId="0" applyNumberFormat="1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justify" wrapText="1"/>
    </xf>
    <xf numFmtId="0" fontId="1" fillId="0" borderId="3" xfId="0" applyFont="1" applyBorder="1" applyAlignment="1">
      <alignment horizontal="justify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5" fontId="1" fillId="12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justify" vertical="center"/>
    </xf>
    <xf numFmtId="0" fontId="1" fillId="0" borderId="2" xfId="0" applyFont="1" applyBorder="1" applyAlignment="1">
      <alignment horizontal="center"/>
    </xf>
    <xf numFmtId="0" fontId="18" fillId="0" borderId="1" xfId="1" applyFont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5" fillId="5" borderId="7" xfId="1" applyFont="1" applyFill="1" applyBorder="1" applyAlignment="1">
      <alignment horizontal="center" vertical="center" wrapText="1"/>
    </xf>
    <xf numFmtId="0" fontId="15" fillId="5" borderId="2" xfId="1" applyFont="1" applyFill="1" applyBorder="1" applyAlignment="1">
      <alignment horizontal="center" vertical="center" wrapText="1"/>
    </xf>
    <xf numFmtId="0" fontId="15" fillId="5" borderId="8" xfId="1" applyFont="1" applyFill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/>
    </xf>
    <xf numFmtId="0" fontId="18" fillId="0" borderId="6" xfId="1" applyFont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9" fillId="14" borderId="4" xfId="1" applyFont="1" applyFill="1" applyBorder="1" applyAlignment="1">
      <alignment vertical="center"/>
    </xf>
    <xf numFmtId="0" fontId="19" fillId="14" borderId="5" xfId="1" applyFont="1" applyFill="1" applyBorder="1" applyAlignment="1">
      <alignment vertical="center"/>
    </xf>
    <xf numFmtId="0" fontId="19" fillId="14" borderId="6" xfId="1" applyFont="1" applyFill="1" applyBorder="1" applyAlignment="1">
      <alignment vertical="center"/>
    </xf>
    <xf numFmtId="0" fontId="18" fillId="14" borderId="4" xfId="1" applyFont="1" applyFill="1" applyBorder="1" applyAlignment="1">
      <alignment vertical="center" wrapText="1"/>
    </xf>
    <xf numFmtId="0" fontId="18" fillId="14" borderId="5" xfId="1" applyFont="1" applyFill="1" applyBorder="1" applyAlignment="1">
      <alignment vertical="center" wrapText="1"/>
    </xf>
    <xf numFmtId="0" fontId="18" fillId="14" borderId="6" xfId="1" applyFont="1" applyFill="1" applyBorder="1" applyAlignment="1">
      <alignment vertical="center" wrapText="1"/>
    </xf>
    <xf numFmtId="0" fontId="15" fillId="5" borderId="11" xfId="1" applyFont="1" applyFill="1" applyBorder="1" applyAlignment="1">
      <alignment horizontal="center" vertical="center" wrapText="1"/>
    </xf>
    <xf numFmtId="0" fontId="21" fillId="2" borderId="0" xfId="1" applyFont="1" applyFill="1" applyAlignment="1">
      <alignment horizontal="left"/>
    </xf>
    <xf numFmtId="0" fontId="21" fillId="2" borderId="10" xfId="1" applyFont="1" applyFill="1" applyBorder="1" applyAlignment="1">
      <alignment horizontal="left"/>
    </xf>
    <xf numFmtId="0" fontId="15" fillId="5" borderId="1" xfId="1" applyFont="1" applyFill="1" applyBorder="1" applyAlignment="1">
      <alignment horizontal="center" vertical="center"/>
    </xf>
    <xf numFmtId="0" fontId="13" fillId="12" borderId="4" xfId="1" applyFont="1" applyFill="1" applyBorder="1" applyAlignment="1">
      <alignment horizontal="center"/>
    </xf>
    <xf numFmtId="0" fontId="13" fillId="12" borderId="5" xfId="1" applyFont="1" applyFill="1" applyBorder="1" applyAlignment="1">
      <alignment horizontal="center"/>
    </xf>
    <xf numFmtId="0" fontId="13" fillId="12" borderId="6" xfId="1" applyFont="1" applyFill="1" applyBorder="1" applyAlignment="1">
      <alignment horizontal="center"/>
    </xf>
    <xf numFmtId="0" fontId="15" fillId="3" borderId="4" xfId="1" applyFont="1" applyFill="1" applyBorder="1" applyAlignment="1">
      <alignment horizontal="center"/>
    </xf>
    <xf numFmtId="0" fontId="15" fillId="3" borderId="5" xfId="1" applyFont="1" applyFill="1" applyBorder="1" applyAlignment="1">
      <alignment horizontal="center"/>
    </xf>
    <xf numFmtId="0" fontId="15" fillId="3" borderId="6" xfId="1" applyFont="1" applyFill="1" applyBorder="1" applyAlignment="1">
      <alignment horizontal="center"/>
    </xf>
    <xf numFmtId="0" fontId="13" fillId="13" borderId="4" xfId="1" applyFont="1" applyFill="1" applyBorder="1" applyAlignment="1">
      <alignment horizontal="center"/>
    </xf>
    <xf numFmtId="0" fontId="13" fillId="13" borderId="5" xfId="1" applyFont="1" applyFill="1" applyBorder="1" applyAlignment="1">
      <alignment horizontal="center"/>
    </xf>
    <xf numFmtId="0" fontId="13" fillId="13" borderId="6" xfId="1" applyFont="1" applyFill="1" applyBorder="1" applyAlignment="1">
      <alignment horizontal="center"/>
    </xf>
    <xf numFmtId="0" fontId="18" fillId="0" borderId="4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9" fillId="0" borderId="4" xfId="1" applyFont="1" applyBorder="1" applyAlignment="1">
      <alignment horizontal="center" vertical="center" wrapText="1"/>
    </xf>
    <xf numFmtId="0" fontId="19" fillId="0" borderId="6" xfId="1" applyFont="1" applyBorder="1" applyAlignment="1">
      <alignment horizontal="center" vertical="center" wrapText="1"/>
    </xf>
    <xf numFmtId="0" fontId="19" fillId="0" borderId="4" xfId="1" applyFont="1" applyBorder="1" applyAlignment="1">
      <alignment vertical="center"/>
    </xf>
    <xf numFmtId="0" fontId="19" fillId="0" borderId="6" xfId="1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15" fillId="5" borderId="3" xfId="1" applyFont="1" applyFill="1" applyBorder="1" applyAlignment="1">
      <alignment horizontal="center" vertical="center" wrapText="1"/>
    </xf>
    <xf numFmtId="0" fontId="18" fillId="14" borderId="4" xfId="1" applyFont="1" applyFill="1" applyBorder="1" applyAlignment="1">
      <alignment horizontal="left" vertical="center" wrapText="1"/>
    </xf>
    <xf numFmtId="0" fontId="18" fillId="14" borderId="5" xfId="1" applyFont="1" applyFill="1" applyBorder="1" applyAlignment="1">
      <alignment horizontal="left" vertical="center" wrapText="1"/>
    </xf>
    <xf numFmtId="0" fontId="18" fillId="14" borderId="6" xfId="1" applyFont="1" applyFill="1" applyBorder="1" applyAlignment="1">
      <alignment horizontal="left" vertical="center" wrapText="1"/>
    </xf>
    <xf numFmtId="0" fontId="19" fillId="0" borderId="4" xfId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0" fillId="9" borderId="4" xfId="1" applyFont="1" applyFill="1" applyBorder="1" applyAlignment="1">
      <alignment horizontal="center"/>
    </xf>
    <xf numFmtId="0" fontId="10" fillId="9" borderId="6" xfId="1" applyFont="1" applyFill="1" applyBorder="1" applyAlignment="1">
      <alignment horizontal="center"/>
    </xf>
    <xf numFmtId="0" fontId="8" fillId="5" borderId="4" xfId="1" applyFill="1" applyBorder="1" applyAlignment="1">
      <alignment horizontal="center" vertical="center" wrapText="1" shrinkToFit="1"/>
    </xf>
    <xf numFmtId="0" fontId="8" fillId="5" borderId="6" xfId="1" applyFill="1" applyBorder="1" applyAlignment="1">
      <alignment horizontal="center" vertical="center" wrapText="1" shrinkToFit="1"/>
    </xf>
    <xf numFmtId="0" fontId="19" fillId="0" borderId="0" xfId="1" applyFont="1" applyAlignment="1">
      <alignment horizontal="center"/>
    </xf>
    <xf numFmtId="0" fontId="24" fillId="5" borderId="4" xfId="1" applyFont="1" applyFill="1" applyBorder="1" applyAlignment="1">
      <alignment horizontal="center" vertical="center" wrapText="1" shrinkToFit="1"/>
    </xf>
    <xf numFmtId="0" fontId="24" fillId="5" borderId="6" xfId="1" applyFont="1" applyFill="1" applyBorder="1" applyAlignment="1">
      <alignment horizontal="center" vertical="center" wrapText="1" shrinkToFit="1"/>
    </xf>
    <xf numFmtId="0" fontId="15" fillId="9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20" fillId="8" borderId="4" xfId="1" applyFont="1" applyFill="1" applyBorder="1" applyAlignment="1">
      <alignment horizontal="center"/>
    </xf>
    <xf numFmtId="0" fontId="20" fillId="8" borderId="5" xfId="1" applyFont="1" applyFill="1" applyBorder="1" applyAlignment="1">
      <alignment horizontal="center"/>
    </xf>
    <xf numFmtId="0" fontId="20" fillId="8" borderId="6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8" borderId="1" xfId="1" applyFont="1" applyFill="1" applyBorder="1" applyAlignment="1">
      <alignment horizontal="center"/>
    </xf>
    <xf numFmtId="0" fontId="15" fillId="8" borderId="16" xfId="1" applyFont="1" applyFill="1" applyBorder="1" applyAlignment="1">
      <alignment horizontal="center"/>
    </xf>
    <xf numFmtId="0" fontId="19" fillId="8" borderId="16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/>
    </xf>
    <xf numFmtId="0" fontId="14" fillId="3" borderId="5" xfId="1" applyFont="1" applyFill="1" applyBorder="1" applyAlignment="1">
      <alignment horizontal="center"/>
    </xf>
    <xf numFmtId="0" fontId="14" fillId="3" borderId="6" xfId="1" applyFont="1" applyFill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30" fillId="0" borderId="0" xfId="1" applyFont="1" applyAlignment="1">
      <alignment horizontal="center"/>
    </xf>
    <xf numFmtId="0" fontId="20" fillId="0" borderId="4" xfId="1" applyFont="1" applyBorder="1" applyAlignment="1">
      <alignment horizontal="center"/>
    </xf>
    <xf numFmtId="0" fontId="20" fillId="0" borderId="5" xfId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26" fillId="5" borderId="19" xfId="1" applyFont="1" applyFill="1" applyBorder="1" applyAlignment="1">
      <alignment horizontal="justify" vertical="justify" wrapText="1"/>
    </xf>
    <xf numFmtId="0" fontId="26" fillId="5" borderId="0" xfId="1" applyFont="1" applyFill="1" applyAlignment="1">
      <alignment horizontal="justify" vertical="justify" wrapText="1"/>
    </xf>
    <xf numFmtId="0" fontId="9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26" fillId="5" borderId="17" xfId="1" applyFont="1" applyFill="1" applyBorder="1" applyAlignment="1">
      <alignment horizontal="justify" vertical="top" wrapText="1"/>
    </xf>
    <xf numFmtId="0" fontId="27" fillId="5" borderId="15" xfId="1" applyFont="1" applyFill="1" applyBorder="1" applyAlignment="1">
      <alignment horizontal="justify" vertical="top" wrapText="1"/>
    </xf>
    <xf numFmtId="0" fontId="27" fillId="5" borderId="18" xfId="1" applyFont="1" applyFill="1" applyBorder="1" applyAlignment="1">
      <alignment horizontal="justify" vertical="top" wrapText="1"/>
    </xf>
    <xf numFmtId="0" fontId="27" fillId="5" borderId="19" xfId="1" applyFont="1" applyFill="1" applyBorder="1" applyAlignment="1">
      <alignment horizontal="justify" vertical="top" wrapText="1"/>
    </xf>
    <xf numFmtId="0" fontId="27" fillId="5" borderId="0" xfId="1" applyFont="1" applyFill="1" applyAlignment="1">
      <alignment horizontal="justify" vertical="top" wrapText="1"/>
    </xf>
    <xf numFmtId="0" fontId="27" fillId="5" borderId="20" xfId="1" applyFont="1" applyFill="1" applyBorder="1" applyAlignment="1">
      <alignment horizontal="justify" vertical="top" wrapText="1"/>
    </xf>
    <xf numFmtId="0" fontId="27" fillId="5" borderId="21" xfId="1" applyFont="1" applyFill="1" applyBorder="1" applyAlignment="1">
      <alignment horizontal="justify" vertical="top" wrapText="1"/>
    </xf>
    <xf numFmtId="0" fontId="27" fillId="5" borderId="14" xfId="1" applyFont="1" applyFill="1" applyBorder="1" applyAlignment="1">
      <alignment horizontal="justify" vertical="top" wrapText="1"/>
    </xf>
    <xf numFmtId="0" fontId="27" fillId="5" borderId="22" xfId="1" applyFont="1" applyFill="1" applyBorder="1" applyAlignment="1">
      <alignment horizontal="justify" vertical="top" wrapText="1"/>
    </xf>
    <xf numFmtId="14" fontId="14" fillId="10" borderId="1" xfId="1" applyNumberFormat="1" applyFont="1" applyFill="1" applyBorder="1" applyAlignment="1">
      <alignment horizontal="center"/>
    </xf>
    <xf numFmtId="0" fontId="14" fillId="10" borderId="1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7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285"/>
          <c:y val="1.892473246463347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98E-2"/>
          <c:y val="0.15127976640621565"/>
          <c:w val="0.90374557687922807"/>
          <c:h val="0.50004284142191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45666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3-4E56-9B84-68B9793C5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836400"/>
        <c:axId val="409840320"/>
      </c:barChart>
      <c:dateAx>
        <c:axId val="40983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s-MX"/>
          </a:p>
        </c:txPr>
        <c:crossAx val="409840320"/>
        <c:crosses val="autoZero"/>
        <c:auto val="1"/>
        <c:lblOffset val="100"/>
        <c:baseTimeUnit val="days"/>
      </c:dateAx>
      <c:valAx>
        <c:axId val="409840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29E-2"/>
              <c:y val="0.219416253960968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409836400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589"/>
          <c:y val="0.90870865523384337"/>
          <c:w val="7.3012873839794115E-2"/>
          <c:h val="7.983927388632793E-2"/>
        </c:manualLayout>
      </c:layout>
      <c:overlay val="0"/>
      <c:txPr>
        <a:bodyPr/>
        <a:lstStyle/>
        <a:p>
          <a:pPr>
            <a:defRPr sz="9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45666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E-46C7-A96F-AF1354E1A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841496"/>
        <c:axId val="409839536"/>
      </c:barChart>
      <c:dateAx>
        <c:axId val="409841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MX"/>
          </a:p>
        </c:txPr>
        <c:crossAx val="409839536"/>
        <c:crosses val="autoZero"/>
        <c:auto val="1"/>
        <c:lblOffset val="100"/>
        <c:baseTimeUnit val="days"/>
      </c:dateAx>
      <c:valAx>
        <c:axId val="4098395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100"/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41496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/>
        <a:lstStyle/>
        <a:p>
          <a:pPr>
            <a:defRPr sz="11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55893" y="179386"/>
          <a:ext cx="592252" cy="425636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/>
          </xdr:cNvSpPr>
        </xdr:nvSpPr>
        <xdr:spPr bwMode="auto"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 bwMode="auto"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133004</xdr:colOff>
          <xdr:row>2</xdr:row>
          <xdr:rowOff>199505</xdr:rowOff>
        </xdr:from>
        <xdr:to>
          <xdr:col>61</xdr:col>
          <xdr:colOff>49876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8</xdr:row>
          <xdr:rowOff>124691</xdr:rowOff>
        </xdr:from>
        <xdr:to>
          <xdr:col>61</xdr:col>
          <xdr:colOff>66502</xdr:colOff>
          <xdr:row>14</xdr:row>
          <xdr:rowOff>16625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199505</xdr:colOff>
          <xdr:row>1</xdr:row>
          <xdr:rowOff>0</xdr:rowOff>
        </xdr:from>
        <xdr:to>
          <xdr:col>8</xdr:col>
          <xdr:colOff>598516</xdr:colOff>
          <xdr:row>2</xdr:row>
          <xdr:rowOff>149629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199505</xdr:colOff>
          <xdr:row>0</xdr:row>
          <xdr:rowOff>157942</xdr:rowOff>
        </xdr:from>
        <xdr:to>
          <xdr:col>12</xdr:col>
          <xdr:colOff>91440</xdr:colOff>
          <xdr:row>3</xdr:row>
          <xdr:rowOff>116378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949440" y="67056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739833</xdr:colOff>
          <xdr:row>0</xdr:row>
          <xdr:rowOff>49876</xdr:rowOff>
        </xdr:from>
        <xdr:to>
          <xdr:col>4</xdr:col>
          <xdr:colOff>199505</xdr:colOff>
          <xdr:row>2</xdr:row>
          <xdr:rowOff>49876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257695</xdr:colOff>
          <xdr:row>1</xdr:row>
          <xdr:rowOff>58189</xdr:rowOff>
        </xdr:from>
        <xdr:to>
          <xdr:col>12</xdr:col>
          <xdr:colOff>149629</xdr:colOff>
          <xdr:row>4</xdr:row>
          <xdr:rowOff>91440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3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8121287" y="2674620"/>
          <a:ext cx="167640" cy="163286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17</xdr:row>
      <xdr:rowOff>152400</xdr:rowOff>
    </xdr:from>
    <xdr:to>
      <xdr:col>10</xdr:col>
      <xdr:colOff>281940</xdr:colOff>
      <xdr:row>18</xdr:row>
      <xdr:rowOff>152400</xdr:rowOff>
    </xdr:to>
    <xdr:sp macro="" textlink="">
      <xdr:nvSpPr>
        <xdr:cNvPr id="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6743700" y="2994660"/>
          <a:ext cx="167640" cy="160020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107240</xdr:colOff>
      <xdr:row>14</xdr:row>
      <xdr:rowOff>32063</xdr:rowOff>
    </xdr:from>
    <xdr:to>
      <xdr:col>10</xdr:col>
      <xdr:colOff>272144</xdr:colOff>
      <xdr:row>15</xdr:row>
      <xdr:rowOff>40821</xdr:rowOff>
    </xdr:to>
    <xdr:sp macro="" textlink="">
      <xdr:nvSpPr>
        <xdr:cNvPr id="2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8121847" y="2331670"/>
          <a:ext cx="164904" cy="172044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531783</xdr:colOff>
      <xdr:row>33</xdr:row>
      <xdr:rowOff>157249</xdr:rowOff>
    </xdr:from>
    <xdr:to>
      <xdr:col>3</xdr:col>
      <xdr:colOff>696687</xdr:colOff>
      <xdr:row>35</xdr:row>
      <xdr:rowOff>2721</xdr:rowOff>
    </xdr:to>
    <xdr:sp macro="" textlink="">
      <xdr:nvSpPr>
        <xdr:cNvPr id="6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2749747" y="5600106"/>
          <a:ext cx="164904" cy="172044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504008</xdr:colOff>
      <xdr:row>33</xdr:row>
      <xdr:rowOff>64771</xdr:rowOff>
    </xdr:from>
    <xdr:to>
      <xdr:col>3</xdr:col>
      <xdr:colOff>671648</xdr:colOff>
      <xdr:row>34</xdr:row>
      <xdr:rowOff>64771</xdr:rowOff>
    </xdr:to>
    <xdr:sp macro="" textlink="">
      <xdr:nvSpPr>
        <xdr:cNvPr id="7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2721972" y="5507628"/>
          <a:ext cx="167640" cy="163286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735891</xdr:colOff>
      <xdr:row>31</xdr:row>
      <xdr:rowOff>75606</xdr:rowOff>
    </xdr:from>
    <xdr:to>
      <xdr:col>5</xdr:col>
      <xdr:colOff>125187</xdr:colOff>
      <xdr:row>32</xdr:row>
      <xdr:rowOff>84364</xdr:rowOff>
    </xdr:to>
    <xdr:sp macro="" textlink="">
      <xdr:nvSpPr>
        <xdr:cNvPr id="9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3729462" y="5151070"/>
          <a:ext cx="164904" cy="172044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10</xdr:col>
      <xdr:colOff>0</xdr:colOff>
      <xdr:row>52</xdr:row>
      <xdr:rowOff>136071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714" y="2013857"/>
          <a:ext cx="7796893" cy="6667500"/>
        </a:xfrm>
        <a:prstGeom prst="rect">
          <a:avLst/>
        </a:prstGeom>
      </xdr:spPr>
    </xdr:pic>
    <xdr:clientData/>
  </xdr:twoCellAnchor>
  <xdr:twoCellAnchor>
    <xdr:from>
      <xdr:col>3</xdr:col>
      <xdr:colOff>204107</xdr:colOff>
      <xdr:row>23</xdr:row>
      <xdr:rowOff>81643</xdr:rowOff>
    </xdr:from>
    <xdr:to>
      <xdr:col>3</xdr:col>
      <xdr:colOff>326572</xdr:colOff>
      <xdr:row>24</xdr:row>
      <xdr:rowOff>68035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422071" y="3891643"/>
          <a:ext cx="122465" cy="149678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367393</xdr:colOff>
      <xdr:row>23</xdr:row>
      <xdr:rowOff>81643</xdr:rowOff>
    </xdr:from>
    <xdr:to>
      <xdr:col>3</xdr:col>
      <xdr:colOff>462643</xdr:colOff>
      <xdr:row>24</xdr:row>
      <xdr:rowOff>54428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585357" y="3891643"/>
          <a:ext cx="95250" cy="136071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BI116"/>
  <sheetViews>
    <sheetView showGridLines="0" tabSelected="1" view="pageBreakPreview" zoomScaleNormal="100" zoomScaleSheetLayoutView="100" workbookViewId="0">
      <selection activeCell="N13" sqref="N13"/>
    </sheetView>
  </sheetViews>
  <sheetFormatPr baseColWidth="10" defaultColWidth="11.5546875" defaultRowHeight="11.3" customHeight="1" zeroHeight="1"/>
  <cols>
    <col min="1" max="1" width="0.6640625" style="1" customWidth="1"/>
    <col min="2" max="135" width="2.33203125" style="1" customWidth="1"/>
    <col min="136" max="302" width="11.5546875" style="1" customWidth="1"/>
    <col min="303" max="16384" width="11.5546875" style="1"/>
  </cols>
  <sheetData>
    <row r="1" spans="1:61" ht="10.5"/>
    <row r="2" spans="1:61" ht="15.75">
      <c r="A2" s="130" t="s">
        <v>30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0"/>
    </row>
    <row r="3" spans="1:61" ht="18.350000000000001">
      <c r="A3" s="131" t="s">
        <v>31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</row>
    <row r="4" spans="1:61" ht="10.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61" ht="10.5"/>
    <row r="6" spans="1:61" ht="4.95" customHeight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8"/>
    </row>
    <row r="7" spans="1:61" ht="10.5">
      <c r="A7" s="9"/>
      <c r="B7" s="2" t="s">
        <v>0</v>
      </c>
      <c r="AV7" s="10"/>
    </row>
    <row r="8" spans="1:61" ht="5.4" customHeight="1">
      <c r="A8" s="9"/>
      <c r="AV8" s="10"/>
    </row>
    <row r="9" spans="1:61" ht="10.5">
      <c r="A9" s="9"/>
      <c r="B9" s="1" t="s">
        <v>1</v>
      </c>
      <c r="I9" s="132" t="s">
        <v>331</v>
      </c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3" t="s">
        <v>326</v>
      </c>
      <c r="U9" s="133"/>
      <c r="V9" s="133"/>
      <c r="W9" s="133"/>
      <c r="X9" s="133"/>
      <c r="Y9" s="133"/>
      <c r="Z9" s="134">
        <v>1056</v>
      </c>
      <c r="AA9" s="134"/>
      <c r="AB9" s="134"/>
      <c r="AC9" s="134"/>
      <c r="AD9" s="134"/>
      <c r="AE9" s="134"/>
      <c r="AF9" s="134"/>
      <c r="AG9" s="134"/>
      <c r="AI9" s="1" t="s">
        <v>2</v>
      </c>
      <c r="AM9" s="135" t="s">
        <v>332</v>
      </c>
      <c r="AN9" s="135"/>
      <c r="AO9" s="135"/>
      <c r="AP9" s="135"/>
      <c r="AQ9" s="135"/>
      <c r="AR9" s="135"/>
      <c r="AS9" s="135"/>
      <c r="AT9" s="135"/>
      <c r="AU9" s="135"/>
      <c r="AV9" s="10"/>
    </row>
    <row r="10" spans="1:61" ht="5.4" customHeight="1">
      <c r="A10" s="9"/>
      <c r="AV10" s="10"/>
    </row>
    <row r="11" spans="1:61" ht="10.5">
      <c r="A11" s="9"/>
      <c r="B11" s="143" t="s">
        <v>3</v>
      </c>
      <c r="C11" s="143"/>
      <c r="D11" s="143"/>
      <c r="E11" s="143"/>
      <c r="F11" s="144" t="s">
        <v>333</v>
      </c>
      <c r="G11" s="144"/>
      <c r="H11" s="144"/>
      <c r="I11" s="144"/>
      <c r="J11" s="144"/>
      <c r="K11" s="144"/>
      <c r="L11" s="144"/>
      <c r="M11" s="144"/>
      <c r="O11" s="1" t="s">
        <v>4</v>
      </c>
      <c r="X11" s="135" t="s">
        <v>334</v>
      </c>
      <c r="Y11" s="135"/>
      <c r="Z11" s="135"/>
      <c r="AA11" s="135"/>
      <c r="AB11" s="135"/>
      <c r="AC11" s="135"/>
      <c r="AD11" s="135"/>
      <c r="AE11" s="135"/>
      <c r="AF11" s="135"/>
      <c r="AG11" s="135"/>
      <c r="AI11" s="1" t="s">
        <v>5</v>
      </c>
      <c r="AP11" s="135" t="s">
        <v>335</v>
      </c>
      <c r="AQ11" s="135"/>
      <c r="AR11" s="135"/>
      <c r="AS11" s="135"/>
      <c r="AT11" s="135"/>
      <c r="AU11" s="135"/>
      <c r="AV11" s="10"/>
      <c r="BA11" s="145"/>
      <c r="BB11" s="145"/>
      <c r="BC11" s="145"/>
      <c r="BD11" s="145"/>
      <c r="BE11" s="145"/>
      <c r="BF11" s="145"/>
      <c r="BG11" s="145"/>
      <c r="BH11" s="145"/>
      <c r="BI11" s="145"/>
    </row>
    <row r="12" spans="1:61" ht="5.4" customHeight="1">
      <c r="A12" s="9"/>
      <c r="AV12" s="10"/>
      <c r="BA12" s="145"/>
      <c r="BB12" s="145"/>
      <c r="BC12" s="145"/>
      <c r="BD12" s="145"/>
      <c r="BE12" s="145"/>
      <c r="BF12" s="145"/>
      <c r="BG12" s="145"/>
      <c r="BH12" s="145"/>
      <c r="BI12" s="145"/>
    </row>
    <row r="13" spans="1:61" ht="10.5">
      <c r="A13" s="9"/>
      <c r="B13" s="1" t="s">
        <v>6</v>
      </c>
      <c r="F13" s="134" t="s">
        <v>345</v>
      </c>
      <c r="G13" s="134"/>
      <c r="H13" s="134"/>
      <c r="I13" s="134"/>
      <c r="J13" s="134"/>
      <c r="K13" s="134"/>
      <c r="L13" s="134"/>
      <c r="AV13" s="10"/>
      <c r="BA13" s="145"/>
      <c r="BB13" s="145"/>
      <c r="BC13" s="145"/>
      <c r="BD13" s="145"/>
      <c r="BE13" s="145"/>
      <c r="BF13" s="145"/>
      <c r="BG13" s="145"/>
      <c r="BH13" s="145"/>
      <c r="BI13" s="145"/>
    </row>
    <row r="14" spans="1:61" ht="5.4" customHeight="1">
      <c r="A14" s="9"/>
      <c r="AV14" s="10"/>
    </row>
    <row r="15" spans="1:61" ht="5.4" customHeight="1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/>
    </row>
    <row r="16" spans="1:61" ht="15.05" customHeight="1">
      <c r="A16" s="9"/>
      <c r="B16" s="2" t="s">
        <v>7</v>
      </c>
      <c r="AD16" s="91"/>
      <c r="AE16" s="136" t="s">
        <v>303</v>
      </c>
      <c r="AF16" s="136"/>
      <c r="AG16" s="136"/>
      <c r="AH16" s="136"/>
      <c r="AI16" s="136"/>
      <c r="AK16" s="114"/>
      <c r="AL16" s="4"/>
      <c r="AN16" s="137">
        <v>14</v>
      </c>
      <c r="AO16" s="138"/>
      <c r="AP16" s="137">
        <v>1</v>
      </c>
      <c r="AQ16" s="138"/>
      <c r="AR16" s="137">
        <v>2025</v>
      </c>
      <c r="AS16" s="139"/>
      <c r="AT16" s="139"/>
      <c r="AU16" s="138"/>
      <c r="AV16" s="10"/>
      <c r="BE16" s="140"/>
      <c r="BF16" s="140"/>
      <c r="BG16" s="140"/>
    </row>
    <row r="17" spans="1:48" ht="8.5500000000000007" customHeight="1">
      <c r="A17" s="9"/>
      <c r="AN17" s="141" t="s">
        <v>11</v>
      </c>
      <c r="AO17" s="141"/>
      <c r="AP17" s="141" t="s">
        <v>12</v>
      </c>
      <c r="AQ17" s="141"/>
      <c r="AR17" s="142" t="s">
        <v>13</v>
      </c>
      <c r="AS17" s="142"/>
      <c r="AT17" s="142"/>
      <c r="AU17" s="142"/>
      <c r="AV17" s="10"/>
    </row>
    <row r="18" spans="1:48" ht="10.5">
      <c r="A18" s="9"/>
      <c r="B18" s="1" t="s">
        <v>8</v>
      </c>
      <c r="G18" s="134" t="s">
        <v>360</v>
      </c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AB18" s="1" t="s">
        <v>9</v>
      </c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0"/>
    </row>
    <row r="19" spans="1:48" ht="5.4" customHeight="1">
      <c r="A19" s="9"/>
      <c r="AV19" s="10"/>
    </row>
    <row r="20" spans="1:48" s="4" customFormat="1" ht="13.95" customHeight="1">
      <c r="A20" s="18"/>
      <c r="B20" s="4" t="s">
        <v>10</v>
      </c>
      <c r="L20" s="137">
        <v>14</v>
      </c>
      <c r="M20" s="138"/>
      <c r="N20" s="137">
        <v>1</v>
      </c>
      <c r="O20" s="138"/>
      <c r="P20" s="137">
        <v>2025</v>
      </c>
      <c r="Q20" s="139"/>
      <c r="R20" s="139"/>
      <c r="S20" s="138"/>
      <c r="X20" s="4" t="s">
        <v>103</v>
      </c>
      <c r="AH20" s="146" t="s">
        <v>354</v>
      </c>
      <c r="AI20" s="147"/>
      <c r="AJ20" s="146" t="s">
        <v>342</v>
      </c>
      <c r="AK20" s="147"/>
      <c r="AL20" s="146" t="s">
        <v>343</v>
      </c>
      <c r="AM20" s="148"/>
      <c r="AN20" s="148"/>
      <c r="AO20" s="147"/>
      <c r="AS20" s="140"/>
      <c r="AT20" s="140"/>
      <c r="AU20" s="140"/>
      <c r="AV20" s="19"/>
    </row>
    <row r="21" spans="1:48" s="3" customFormat="1" ht="7.85">
      <c r="A21" s="14"/>
      <c r="L21" s="141" t="s">
        <v>11</v>
      </c>
      <c r="M21" s="141"/>
      <c r="N21" s="141" t="s">
        <v>12</v>
      </c>
      <c r="O21" s="141"/>
      <c r="P21" s="142" t="s">
        <v>13</v>
      </c>
      <c r="Q21" s="142"/>
      <c r="R21" s="142"/>
      <c r="S21" s="142"/>
      <c r="AH21" s="141" t="s">
        <v>11</v>
      </c>
      <c r="AI21" s="141"/>
      <c r="AJ21" s="141" t="s">
        <v>12</v>
      </c>
      <c r="AK21" s="141"/>
      <c r="AL21" s="142" t="s">
        <v>13</v>
      </c>
      <c r="AM21" s="142"/>
      <c r="AN21" s="142"/>
      <c r="AO21" s="142"/>
      <c r="AV21" s="16"/>
    </row>
    <row r="22" spans="1:48" ht="5.4" customHeight="1">
      <c r="A22" s="9"/>
      <c r="S22" s="4"/>
      <c r="T22" s="4"/>
      <c r="U22" s="4"/>
      <c r="AV22" s="10"/>
    </row>
    <row r="23" spans="1:48" ht="10.5">
      <c r="A23" s="9"/>
      <c r="B23" s="4" t="s">
        <v>14</v>
      </c>
      <c r="C23" s="4"/>
      <c r="D23" s="4"/>
      <c r="E23" s="4"/>
      <c r="F23" s="4"/>
      <c r="H23" s="135">
        <v>2</v>
      </c>
      <c r="I23" s="135"/>
      <c r="J23" s="135"/>
      <c r="L23" s="4" t="s">
        <v>15</v>
      </c>
      <c r="M23" s="4"/>
      <c r="N23" s="4"/>
      <c r="O23" s="4"/>
      <c r="P23" s="4"/>
      <c r="Q23" s="4"/>
      <c r="S23" s="134"/>
      <c r="T23" s="134"/>
      <c r="U23" s="134"/>
      <c r="W23" s="1" t="s">
        <v>16</v>
      </c>
      <c r="AB23" s="135">
        <v>0</v>
      </c>
      <c r="AC23" s="135"/>
      <c r="AD23" s="135"/>
      <c r="AF23" s="1" t="s">
        <v>17</v>
      </c>
      <c r="AL23" s="134">
        <v>0</v>
      </c>
      <c r="AM23" s="134"/>
      <c r="AN23" s="134"/>
      <c r="AV23" s="10"/>
    </row>
    <row r="24" spans="1:48" ht="4.95" customHeight="1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3"/>
    </row>
    <row r="25" spans="1:48" ht="4.95" customHeight="1"/>
    <row r="26" spans="1:48" ht="10.5">
      <c r="B26" s="2" t="s">
        <v>18</v>
      </c>
    </row>
    <row r="27" spans="1:48" ht="4.95" customHeight="1"/>
    <row r="28" spans="1:48" ht="10.5">
      <c r="B28" s="1" t="s">
        <v>19</v>
      </c>
    </row>
    <row r="29" spans="1:48" s="5" customFormat="1" ht="23.4" customHeight="1">
      <c r="B29" s="149" t="s">
        <v>20</v>
      </c>
      <c r="C29" s="149"/>
      <c r="D29" s="149"/>
      <c r="E29" s="149"/>
      <c r="F29" s="150" t="s">
        <v>34</v>
      </c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 t="s">
        <v>35</v>
      </c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 t="s">
        <v>36</v>
      </c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7"/>
    </row>
    <row r="30" spans="1:48" s="5" customFormat="1" ht="23.4" customHeight="1">
      <c r="B30" s="149"/>
      <c r="C30" s="149"/>
      <c r="D30" s="149"/>
      <c r="E30" s="149"/>
      <c r="F30" s="151" t="s">
        <v>32</v>
      </c>
      <c r="G30" s="151"/>
      <c r="H30" s="151"/>
      <c r="I30" s="151"/>
      <c r="J30" s="151"/>
      <c r="K30" s="149" t="s">
        <v>33</v>
      </c>
      <c r="L30" s="149"/>
      <c r="M30" s="149"/>
      <c r="N30" s="149"/>
      <c r="O30" s="149"/>
      <c r="P30" s="152" t="s">
        <v>259</v>
      </c>
      <c r="Q30" s="153"/>
      <c r="R30" s="153"/>
      <c r="S30" s="154"/>
      <c r="T30" s="149" t="s">
        <v>37</v>
      </c>
      <c r="U30" s="149"/>
      <c r="V30" s="149"/>
      <c r="W30" s="149"/>
      <c r="X30" s="149"/>
      <c r="Y30" s="149" t="s">
        <v>38</v>
      </c>
      <c r="Z30" s="149"/>
      <c r="AA30" s="149"/>
      <c r="AB30" s="149"/>
      <c r="AC30" s="149"/>
      <c r="AD30" s="152" t="s">
        <v>260</v>
      </c>
      <c r="AE30" s="153"/>
      <c r="AF30" s="153"/>
      <c r="AG30" s="154"/>
      <c r="AH30" s="149" t="s">
        <v>107</v>
      </c>
      <c r="AI30" s="149"/>
      <c r="AJ30" s="149"/>
      <c r="AK30" s="149"/>
      <c r="AL30" s="149"/>
      <c r="AM30" s="149" t="s">
        <v>39</v>
      </c>
      <c r="AN30" s="149"/>
      <c r="AO30" s="149"/>
      <c r="AP30" s="149"/>
      <c r="AQ30" s="149"/>
      <c r="AR30" s="152" t="s">
        <v>261</v>
      </c>
      <c r="AS30" s="153"/>
      <c r="AT30" s="153"/>
      <c r="AU30" s="154"/>
      <c r="AV30" s="17"/>
    </row>
    <row r="31" spans="1:48" ht="18" customHeight="1">
      <c r="A31" s="1">
        <v>0</v>
      </c>
      <c r="B31" s="150" t="s">
        <v>254</v>
      </c>
      <c r="C31" s="150"/>
      <c r="D31" s="150"/>
      <c r="E31" s="150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7"/>
      <c r="Q31" s="148"/>
      <c r="R31" s="148"/>
      <c r="S31" s="147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5"/>
      <c r="AE31" s="155"/>
      <c r="AF31" s="155"/>
      <c r="AG31" s="155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5"/>
      <c r="AS31" s="155"/>
      <c r="AT31" s="155"/>
      <c r="AU31" s="155"/>
    </row>
    <row r="32" spans="1:48" ht="18" customHeight="1">
      <c r="B32" s="150" t="s">
        <v>22</v>
      </c>
      <c r="C32" s="150"/>
      <c r="D32" s="150"/>
      <c r="E32" s="150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5"/>
      <c r="AE32" s="155"/>
      <c r="AF32" s="155"/>
      <c r="AG32" s="155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5"/>
      <c r="AS32" s="155"/>
      <c r="AT32" s="155"/>
      <c r="AU32" s="155"/>
    </row>
    <row r="33" spans="1:47" ht="18" customHeight="1">
      <c r="B33" s="150" t="s">
        <v>23</v>
      </c>
      <c r="C33" s="150"/>
      <c r="D33" s="150"/>
      <c r="E33" s="150"/>
      <c r="F33" s="155"/>
      <c r="G33" s="155"/>
      <c r="H33" s="155"/>
      <c r="I33" s="155"/>
      <c r="J33" s="155"/>
      <c r="K33" s="155">
        <v>1</v>
      </c>
      <c r="L33" s="155"/>
      <c r="M33" s="155"/>
      <c r="N33" s="155"/>
      <c r="O33" s="155"/>
      <c r="P33" s="155">
        <v>1</v>
      </c>
      <c r="Q33" s="155"/>
      <c r="R33" s="155"/>
      <c r="S33" s="155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5"/>
      <c r="AE33" s="155"/>
      <c r="AF33" s="155"/>
      <c r="AG33" s="155"/>
      <c r="AH33" s="137"/>
      <c r="AI33" s="139"/>
      <c r="AJ33" s="139"/>
      <c r="AK33" s="139"/>
      <c r="AL33" s="138"/>
      <c r="AM33" s="137">
        <v>1</v>
      </c>
      <c r="AN33" s="139"/>
      <c r="AO33" s="139"/>
      <c r="AP33" s="139"/>
      <c r="AQ33" s="138"/>
      <c r="AR33" s="155">
        <v>1</v>
      </c>
      <c r="AS33" s="155"/>
      <c r="AT33" s="155"/>
      <c r="AU33" s="155"/>
    </row>
    <row r="34" spans="1:47" ht="18" customHeight="1">
      <c r="B34" s="150" t="s">
        <v>24</v>
      </c>
      <c r="C34" s="150"/>
      <c r="D34" s="150"/>
      <c r="E34" s="150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5"/>
      <c r="AE34" s="155"/>
      <c r="AF34" s="155"/>
      <c r="AG34" s="155"/>
      <c r="AH34" s="137"/>
      <c r="AI34" s="139"/>
      <c r="AJ34" s="139"/>
      <c r="AK34" s="139"/>
      <c r="AL34" s="138"/>
      <c r="AM34" s="137">
        <v>1</v>
      </c>
      <c r="AN34" s="139"/>
      <c r="AO34" s="139"/>
      <c r="AP34" s="139"/>
      <c r="AQ34" s="138"/>
      <c r="AR34" s="155">
        <v>1</v>
      </c>
      <c r="AS34" s="155"/>
      <c r="AT34" s="155"/>
      <c r="AU34" s="155"/>
    </row>
    <row r="35" spans="1:47" ht="18" customHeight="1">
      <c r="B35" s="150" t="s">
        <v>25</v>
      </c>
      <c r="C35" s="150"/>
      <c r="D35" s="150"/>
      <c r="E35" s="150"/>
      <c r="F35" s="155"/>
      <c r="G35" s="155"/>
      <c r="H35" s="155"/>
      <c r="I35" s="155"/>
      <c r="J35" s="155"/>
      <c r="K35" s="155">
        <v>1</v>
      </c>
      <c r="L35" s="155"/>
      <c r="M35" s="155"/>
      <c r="N35" s="155"/>
      <c r="O35" s="155"/>
      <c r="P35" s="155">
        <v>1</v>
      </c>
      <c r="Q35" s="155"/>
      <c r="R35" s="155"/>
      <c r="S35" s="155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5"/>
      <c r="AE35" s="155"/>
      <c r="AF35" s="155"/>
      <c r="AG35" s="155"/>
      <c r="AH35" s="156">
        <v>1</v>
      </c>
      <c r="AI35" s="156"/>
      <c r="AJ35" s="156"/>
      <c r="AK35" s="156"/>
      <c r="AL35" s="156"/>
      <c r="AM35" s="156">
        <v>1</v>
      </c>
      <c r="AN35" s="156"/>
      <c r="AO35" s="156"/>
      <c r="AP35" s="156"/>
      <c r="AQ35" s="156"/>
      <c r="AR35" s="155">
        <v>2</v>
      </c>
      <c r="AS35" s="155"/>
      <c r="AT35" s="155"/>
      <c r="AU35" s="155"/>
    </row>
    <row r="36" spans="1:47" ht="18" customHeight="1">
      <c r="B36" s="150" t="s">
        <v>26</v>
      </c>
      <c r="C36" s="150"/>
      <c r="D36" s="150"/>
      <c r="E36" s="150"/>
      <c r="F36" s="155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S36" s="155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5"/>
      <c r="AE36" s="155"/>
      <c r="AF36" s="155"/>
      <c r="AG36" s="155"/>
      <c r="AH36" s="156"/>
      <c r="AI36" s="156"/>
      <c r="AJ36" s="156"/>
      <c r="AK36" s="156"/>
      <c r="AL36" s="156"/>
      <c r="AM36" s="156">
        <v>1</v>
      </c>
      <c r="AN36" s="156"/>
      <c r="AO36" s="156"/>
      <c r="AP36" s="156"/>
      <c r="AQ36" s="156"/>
      <c r="AR36" s="155">
        <v>1</v>
      </c>
      <c r="AS36" s="155"/>
      <c r="AT36" s="155"/>
      <c r="AU36" s="155"/>
    </row>
    <row r="37" spans="1:47" ht="18" customHeight="1">
      <c r="B37" s="150" t="s">
        <v>27</v>
      </c>
      <c r="C37" s="150"/>
      <c r="D37" s="150"/>
      <c r="E37" s="150"/>
      <c r="F37" s="155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5"/>
      <c r="AE37" s="155"/>
      <c r="AF37" s="155"/>
      <c r="AG37" s="155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5"/>
      <c r="AS37" s="155"/>
      <c r="AT37" s="155"/>
      <c r="AU37" s="155"/>
    </row>
    <row r="38" spans="1:47" ht="18" customHeight="1">
      <c r="A38" s="1">
        <v>17</v>
      </c>
      <c r="B38" s="150" t="s">
        <v>28</v>
      </c>
      <c r="C38" s="150"/>
      <c r="D38" s="150"/>
      <c r="E38" s="150"/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5"/>
      <c r="AE38" s="155"/>
      <c r="AF38" s="155"/>
      <c r="AG38" s="155"/>
      <c r="AH38" s="156"/>
      <c r="AI38" s="156"/>
      <c r="AJ38" s="156"/>
      <c r="AK38" s="156"/>
      <c r="AL38" s="156"/>
      <c r="AM38" s="156"/>
      <c r="AN38" s="156"/>
      <c r="AO38" s="156"/>
      <c r="AP38" s="156"/>
      <c r="AQ38" s="156"/>
      <c r="AR38" s="155"/>
      <c r="AS38" s="155"/>
      <c r="AT38" s="155"/>
      <c r="AU38" s="155"/>
    </row>
    <row r="39" spans="1:47" ht="18" customHeight="1">
      <c r="B39" s="150" t="s">
        <v>29</v>
      </c>
      <c r="C39" s="150"/>
      <c r="D39" s="150"/>
      <c r="E39" s="150"/>
      <c r="F39" s="155"/>
      <c r="G39" s="155"/>
      <c r="H39" s="155"/>
      <c r="I39" s="155"/>
      <c r="J39" s="155"/>
      <c r="K39" s="155">
        <v>2</v>
      </c>
      <c r="L39" s="155"/>
      <c r="M39" s="155"/>
      <c r="N39" s="155"/>
      <c r="O39" s="155"/>
      <c r="P39" s="155">
        <v>2</v>
      </c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>
        <v>1</v>
      </c>
      <c r="AI39" s="155"/>
      <c r="AJ39" s="155"/>
      <c r="AK39" s="155"/>
      <c r="AL39" s="155"/>
      <c r="AM39" s="155">
        <v>4</v>
      </c>
      <c r="AN39" s="155"/>
      <c r="AO39" s="155"/>
      <c r="AP39" s="155"/>
      <c r="AQ39" s="155"/>
      <c r="AR39" s="155">
        <v>5</v>
      </c>
      <c r="AS39" s="155"/>
      <c r="AT39" s="155"/>
      <c r="AU39" s="155"/>
    </row>
    <row r="40" spans="1:47" ht="10.5"/>
    <row r="41" spans="1:47" ht="10.5">
      <c r="B41" s="161" t="s">
        <v>44</v>
      </c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3" t="s">
        <v>258</v>
      </c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</row>
    <row r="42" spans="1:47" ht="10.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</row>
    <row r="43" spans="1:47" ht="24.55" customHeight="1">
      <c r="B43" s="149" t="s">
        <v>20</v>
      </c>
      <c r="C43" s="149"/>
      <c r="D43" s="149"/>
      <c r="E43" s="149"/>
      <c r="F43" s="150" t="s">
        <v>40</v>
      </c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 t="s">
        <v>255</v>
      </c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49" t="s">
        <v>257</v>
      </c>
      <c r="AI43" s="149"/>
      <c r="AJ43" s="149"/>
      <c r="AK43" s="149"/>
      <c r="AL43" s="149"/>
      <c r="AM43" s="150" t="s">
        <v>43</v>
      </c>
      <c r="AN43" s="150"/>
      <c r="AO43" s="150"/>
      <c r="AP43" s="150"/>
      <c r="AQ43" s="150"/>
      <c r="AR43" s="150"/>
      <c r="AS43" s="150"/>
      <c r="AT43" s="150"/>
      <c r="AU43" s="150"/>
    </row>
    <row r="44" spans="1:47" ht="24.55" customHeight="1">
      <c r="B44" s="149"/>
      <c r="C44" s="149"/>
      <c r="D44" s="149"/>
      <c r="E44" s="149"/>
      <c r="F44" s="151" t="s">
        <v>105</v>
      </c>
      <c r="G44" s="151"/>
      <c r="H44" s="151"/>
      <c r="I44" s="151"/>
      <c r="J44" s="151"/>
      <c r="K44" s="149" t="s">
        <v>106</v>
      </c>
      <c r="L44" s="149"/>
      <c r="M44" s="149"/>
      <c r="N44" s="149"/>
      <c r="O44" s="149"/>
      <c r="P44" s="158" t="s">
        <v>50</v>
      </c>
      <c r="Q44" s="159"/>
      <c r="R44" s="159"/>
      <c r="S44" s="160"/>
      <c r="T44" s="151" t="s">
        <v>105</v>
      </c>
      <c r="U44" s="151"/>
      <c r="V44" s="151"/>
      <c r="W44" s="151"/>
      <c r="X44" s="151"/>
      <c r="Y44" s="149" t="s">
        <v>106</v>
      </c>
      <c r="Z44" s="149"/>
      <c r="AA44" s="149"/>
      <c r="AB44" s="149"/>
      <c r="AC44" s="149"/>
      <c r="AD44" s="152" t="s">
        <v>256</v>
      </c>
      <c r="AE44" s="153"/>
      <c r="AF44" s="153"/>
      <c r="AG44" s="154"/>
      <c r="AH44" s="149"/>
      <c r="AI44" s="149"/>
      <c r="AJ44" s="149"/>
      <c r="AK44" s="149"/>
      <c r="AL44" s="149"/>
      <c r="AM44" s="149" t="s">
        <v>108</v>
      </c>
      <c r="AN44" s="149"/>
      <c r="AO44" s="149"/>
      <c r="AP44" s="149"/>
      <c r="AQ44" s="149"/>
      <c r="AR44" s="150" t="s">
        <v>42</v>
      </c>
      <c r="AS44" s="150"/>
      <c r="AT44" s="150"/>
      <c r="AU44" s="150"/>
    </row>
    <row r="45" spans="1:47" ht="18" customHeight="1">
      <c r="B45" s="150" t="s">
        <v>21</v>
      </c>
      <c r="C45" s="150"/>
      <c r="D45" s="150"/>
      <c r="E45" s="150"/>
      <c r="F45" s="165" t="e">
        <f>(F31/AH31)*100</f>
        <v>#DIV/0!</v>
      </c>
      <c r="G45" s="165"/>
      <c r="H45" s="165"/>
      <c r="I45" s="165"/>
      <c r="J45" s="165"/>
      <c r="K45" s="165" t="e">
        <f>(K31/AM31)*100</f>
        <v>#DIV/0!</v>
      </c>
      <c r="L45" s="165"/>
      <c r="M45" s="165"/>
      <c r="N45" s="165"/>
      <c r="O45" s="165"/>
      <c r="P45" s="165" t="e">
        <f>(P31/AR31)*100</f>
        <v>#DIV/0!</v>
      </c>
      <c r="Q45" s="165"/>
      <c r="R45" s="165"/>
      <c r="S45" s="165"/>
      <c r="T45" s="165">
        <v>0</v>
      </c>
      <c r="U45" s="165"/>
      <c r="V45" s="165"/>
      <c r="W45" s="165"/>
      <c r="X45" s="165"/>
      <c r="Y45" s="165">
        <v>0</v>
      </c>
      <c r="Z45" s="165"/>
      <c r="AA45" s="165"/>
      <c r="AB45" s="165"/>
      <c r="AC45" s="165"/>
      <c r="AD45" s="165">
        <v>0</v>
      </c>
      <c r="AE45" s="165"/>
      <c r="AF45" s="165"/>
      <c r="AG45" s="165"/>
      <c r="AH45" s="166" t="s">
        <v>327</v>
      </c>
      <c r="AI45" s="166"/>
      <c r="AJ45" s="166"/>
      <c r="AK45" s="166"/>
      <c r="AL45" s="166"/>
      <c r="AM45" s="155">
        <v>2</v>
      </c>
      <c r="AN45" s="155"/>
      <c r="AO45" s="155"/>
      <c r="AP45" s="155"/>
      <c r="AQ45" s="155"/>
      <c r="AR45" s="165">
        <v>100</v>
      </c>
      <c r="AS45" s="165"/>
      <c r="AT45" s="165"/>
      <c r="AU45" s="165"/>
    </row>
    <row r="46" spans="1:47" ht="18" customHeight="1">
      <c r="B46" s="150" t="s">
        <v>22</v>
      </c>
      <c r="C46" s="150"/>
      <c r="D46" s="150"/>
      <c r="E46" s="150"/>
      <c r="F46" s="165" t="e">
        <f t="shared" ref="F46:F53" si="0">(F32/AH32)*100</f>
        <v>#DIV/0!</v>
      </c>
      <c r="G46" s="165"/>
      <c r="H46" s="165"/>
      <c r="I46" s="165"/>
      <c r="J46" s="165"/>
      <c r="K46" s="165" t="e">
        <f t="shared" ref="K46:K53" si="1">(K32/AM32)*100</f>
        <v>#DIV/0!</v>
      </c>
      <c r="L46" s="165"/>
      <c r="M46" s="165"/>
      <c r="N46" s="165"/>
      <c r="O46" s="165"/>
      <c r="P46" s="165" t="e">
        <f t="shared" ref="P46:P53" si="2">(P32/AR32)*100</f>
        <v>#DIV/0!</v>
      </c>
      <c r="Q46" s="165"/>
      <c r="R46" s="165"/>
      <c r="S46" s="165"/>
      <c r="T46" s="165">
        <v>0</v>
      </c>
      <c r="U46" s="165"/>
      <c r="V46" s="165"/>
      <c r="W46" s="165"/>
      <c r="X46" s="165"/>
      <c r="Y46" s="165">
        <v>0</v>
      </c>
      <c r="Z46" s="165"/>
      <c r="AA46" s="165"/>
      <c r="AB46" s="165"/>
      <c r="AC46" s="165"/>
      <c r="AD46" s="165">
        <v>0</v>
      </c>
      <c r="AE46" s="165"/>
      <c r="AF46" s="165"/>
      <c r="AG46" s="165"/>
      <c r="AH46" s="166" t="s">
        <v>328</v>
      </c>
      <c r="AI46" s="166"/>
      <c r="AJ46" s="166"/>
      <c r="AK46" s="166"/>
      <c r="AL46" s="166"/>
      <c r="AM46" s="155">
        <v>2</v>
      </c>
      <c r="AN46" s="155"/>
      <c r="AO46" s="155"/>
      <c r="AP46" s="155"/>
      <c r="AQ46" s="155"/>
      <c r="AR46" s="165">
        <v>100</v>
      </c>
      <c r="AS46" s="165"/>
      <c r="AT46" s="165"/>
      <c r="AU46" s="165"/>
    </row>
    <row r="47" spans="1:47" ht="19.5" customHeight="1">
      <c r="B47" s="150" t="s">
        <v>23</v>
      </c>
      <c r="C47" s="150"/>
      <c r="D47" s="150"/>
      <c r="E47" s="150"/>
      <c r="F47" s="165" t="e">
        <f t="shared" si="0"/>
        <v>#DIV/0!</v>
      </c>
      <c r="G47" s="165"/>
      <c r="H47" s="165"/>
      <c r="I47" s="165"/>
      <c r="J47" s="165"/>
      <c r="K47" s="165">
        <v>1</v>
      </c>
      <c r="L47" s="165"/>
      <c r="M47" s="165"/>
      <c r="N47" s="165"/>
      <c r="O47" s="165"/>
      <c r="P47" s="165">
        <v>1</v>
      </c>
      <c r="Q47" s="165"/>
      <c r="R47" s="165"/>
      <c r="S47" s="165"/>
      <c r="T47" s="165">
        <v>0</v>
      </c>
      <c r="U47" s="165"/>
      <c r="V47" s="165"/>
      <c r="W47" s="165"/>
      <c r="X47" s="165"/>
      <c r="Y47" s="165">
        <v>0</v>
      </c>
      <c r="Z47" s="165"/>
      <c r="AA47" s="165"/>
      <c r="AB47" s="165"/>
      <c r="AC47" s="165"/>
      <c r="AD47" s="165">
        <v>0</v>
      </c>
      <c r="AE47" s="165"/>
      <c r="AF47" s="165"/>
      <c r="AG47" s="165"/>
      <c r="AH47" s="166" t="s">
        <v>346</v>
      </c>
      <c r="AI47" s="166"/>
      <c r="AJ47" s="166"/>
      <c r="AK47" s="166"/>
      <c r="AL47" s="166"/>
      <c r="AM47" s="155">
        <v>2</v>
      </c>
      <c r="AN47" s="155"/>
      <c r="AO47" s="155"/>
      <c r="AP47" s="155"/>
      <c r="AQ47" s="155"/>
      <c r="AR47" s="165">
        <v>100</v>
      </c>
      <c r="AS47" s="165"/>
      <c r="AT47" s="165"/>
      <c r="AU47" s="165"/>
    </row>
    <row r="48" spans="1:47" ht="20.3" customHeight="1">
      <c r="B48" s="150" t="s">
        <v>24</v>
      </c>
      <c r="C48" s="150"/>
      <c r="D48" s="150"/>
      <c r="E48" s="150"/>
      <c r="F48" s="165">
        <v>0</v>
      </c>
      <c r="G48" s="165"/>
      <c r="H48" s="165"/>
      <c r="I48" s="165"/>
      <c r="J48" s="165"/>
      <c r="K48" s="165">
        <f t="shared" si="1"/>
        <v>0</v>
      </c>
      <c r="L48" s="165"/>
      <c r="M48" s="165"/>
      <c r="N48" s="165"/>
      <c r="O48" s="165"/>
      <c r="P48" s="165">
        <v>0</v>
      </c>
      <c r="Q48" s="165"/>
      <c r="R48" s="165"/>
      <c r="S48" s="165"/>
      <c r="T48" s="165">
        <v>0</v>
      </c>
      <c r="U48" s="165"/>
      <c r="V48" s="165"/>
      <c r="W48" s="165"/>
      <c r="X48" s="165"/>
      <c r="Y48" s="165">
        <v>0</v>
      </c>
      <c r="Z48" s="165"/>
      <c r="AA48" s="165"/>
      <c r="AB48" s="165"/>
      <c r="AC48" s="165"/>
      <c r="AD48" s="165">
        <v>0</v>
      </c>
      <c r="AE48" s="165"/>
      <c r="AF48" s="165"/>
      <c r="AG48" s="165"/>
      <c r="AH48" s="166"/>
      <c r="AI48" s="166"/>
      <c r="AJ48" s="166"/>
      <c r="AK48" s="166"/>
      <c r="AL48" s="166"/>
      <c r="AM48" s="155"/>
      <c r="AN48" s="155"/>
      <c r="AO48" s="155"/>
      <c r="AP48" s="155"/>
      <c r="AQ48" s="155"/>
      <c r="AR48" s="165"/>
      <c r="AS48" s="165"/>
      <c r="AT48" s="165"/>
      <c r="AU48" s="165"/>
    </row>
    <row r="49" spans="2:48" ht="18" customHeight="1">
      <c r="B49" s="150" t="s">
        <v>25</v>
      </c>
      <c r="C49" s="150"/>
      <c r="D49" s="150"/>
      <c r="E49" s="150"/>
      <c r="F49" s="165">
        <f t="shared" si="0"/>
        <v>0</v>
      </c>
      <c r="G49" s="165"/>
      <c r="H49" s="165"/>
      <c r="I49" s="165"/>
      <c r="J49" s="165"/>
      <c r="K49" s="165">
        <v>1</v>
      </c>
      <c r="L49" s="165"/>
      <c r="M49" s="165"/>
      <c r="N49" s="165"/>
      <c r="O49" s="165"/>
      <c r="P49" s="165">
        <v>1</v>
      </c>
      <c r="Q49" s="165"/>
      <c r="R49" s="165"/>
      <c r="S49" s="165"/>
      <c r="T49" s="165">
        <v>0</v>
      </c>
      <c r="U49" s="165"/>
      <c r="V49" s="165"/>
      <c r="W49" s="165"/>
      <c r="X49" s="165"/>
      <c r="Y49" s="165">
        <v>0</v>
      </c>
      <c r="Z49" s="165"/>
      <c r="AA49" s="165"/>
      <c r="AB49" s="165"/>
      <c r="AC49" s="165"/>
      <c r="AD49" s="165">
        <v>0</v>
      </c>
      <c r="AE49" s="165"/>
      <c r="AF49" s="165"/>
      <c r="AG49" s="165"/>
      <c r="AH49" s="166"/>
      <c r="AI49" s="166"/>
      <c r="AJ49" s="166"/>
      <c r="AK49" s="166"/>
      <c r="AL49" s="166"/>
      <c r="AM49" s="155"/>
      <c r="AN49" s="155"/>
      <c r="AO49" s="155"/>
      <c r="AP49" s="155"/>
      <c r="AQ49" s="155"/>
      <c r="AR49" s="165"/>
      <c r="AS49" s="165"/>
      <c r="AT49" s="165"/>
      <c r="AU49" s="165"/>
    </row>
    <row r="50" spans="2:48" ht="18" customHeight="1">
      <c r="B50" s="150" t="s">
        <v>26</v>
      </c>
      <c r="C50" s="150"/>
      <c r="D50" s="150"/>
      <c r="E50" s="150"/>
      <c r="F50" s="165" t="e">
        <f t="shared" si="0"/>
        <v>#DIV/0!</v>
      </c>
      <c r="G50" s="165"/>
      <c r="H50" s="165"/>
      <c r="I50" s="165"/>
      <c r="J50" s="165"/>
      <c r="K50" s="165">
        <f t="shared" si="1"/>
        <v>0</v>
      </c>
      <c r="L50" s="165"/>
      <c r="M50" s="165"/>
      <c r="N50" s="165"/>
      <c r="O50" s="165"/>
      <c r="P50" s="165">
        <f t="shared" si="2"/>
        <v>0</v>
      </c>
      <c r="Q50" s="165"/>
      <c r="R50" s="165"/>
      <c r="S50" s="165"/>
      <c r="T50" s="165">
        <v>0</v>
      </c>
      <c r="U50" s="165"/>
      <c r="V50" s="165"/>
      <c r="W50" s="165"/>
      <c r="X50" s="165"/>
      <c r="Y50" s="165">
        <v>0</v>
      </c>
      <c r="Z50" s="165"/>
      <c r="AA50" s="165"/>
      <c r="AB50" s="165"/>
      <c r="AC50" s="165"/>
      <c r="AD50" s="165">
        <v>0</v>
      </c>
      <c r="AE50" s="165"/>
      <c r="AF50" s="165"/>
      <c r="AG50" s="165"/>
      <c r="AH50" s="166"/>
      <c r="AI50" s="166"/>
      <c r="AJ50" s="166"/>
      <c r="AK50" s="166"/>
      <c r="AL50" s="166"/>
      <c r="AM50" s="155"/>
      <c r="AN50" s="155"/>
      <c r="AO50" s="155"/>
      <c r="AP50" s="155"/>
      <c r="AQ50" s="155"/>
      <c r="AR50" s="165"/>
      <c r="AS50" s="165"/>
      <c r="AT50" s="165"/>
      <c r="AU50" s="165"/>
    </row>
    <row r="51" spans="2:48" ht="18" customHeight="1">
      <c r="B51" s="150" t="s">
        <v>27</v>
      </c>
      <c r="C51" s="150"/>
      <c r="D51" s="150"/>
      <c r="E51" s="150"/>
      <c r="F51" s="165" t="e">
        <f t="shared" si="0"/>
        <v>#DIV/0!</v>
      </c>
      <c r="G51" s="165"/>
      <c r="H51" s="165"/>
      <c r="I51" s="165"/>
      <c r="J51" s="165"/>
      <c r="K51" s="165" t="e">
        <f t="shared" si="1"/>
        <v>#DIV/0!</v>
      </c>
      <c r="L51" s="165"/>
      <c r="M51" s="165"/>
      <c r="N51" s="165"/>
      <c r="O51" s="165"/>
      <c r="P51" s="165" t="e">
        <f t="shared" si="2"/>
        <v>#DIV/0!</v>
      </c>
      <c r="Q51" s="165"/>
      <c r="R51" s="165"/>
      <c r="S51" s="165"/>
      <c r="T51" s="165">
        <v>0</v>
      </c>
      <c r="U51" s="165"/>
      <c r="V51" s="165"/>
      <c r="W51" s="165"/>
      <c r="X51" s="165"/>
      <c r="Y51" s="165">
        <v>0</v>
      </c>
      <c r="Z51" s="165"/>
      <c r="AA51" s="165"/>
      <c r="AB51" s="165"/>
      <c r="AC51" s="165"/>
      <c r="AD51" s="165">
        <v>0</v>
      </c>
      <c r="AE51" s="165"/>
      <c r="AF51" s="165"/>
      <c r="AG51" s="165"/>
      <c r="AH51" s="166"/>
      <c r="AI51" s="166"/>
      <c r="AJ51" s="166"/>
      <c r="AK51" s="166"/>
      <c r="AL51" s="166"/>
      <c r="AM51" s="155"/>
      <c r="AN51" s="155"/>
      <c r="AO51" s="155"/>
      <c r="AP51" s="155"/>
      <c r="AQ51" s="155"/>
      <c r="AR51" s="165"/>
      <c r="AS51" s="165"/>
      <c r="AT51" s="165"/>
      <c r="AU51" s="165"/>
    </row>
    <row r="52" spans="2:48" ht="18" customHeight="1">
      <c r="B52" s="150" t="s">
        <v>28</v>
      </c>
      <c r="C52" s="150"/>
      <c r="D52" s="150"/>
      <c r="E52" s="150"/>
      <c r="F52" s="165" t="e">
        <f t="shared" si="0"/>
        <v>#DIV/0!</v>
      </c>
      <c r="G52" s="165"/>
      <c r="H52" s="165"/>
      <c r="I52" s="165"/>
      <c r="J52" s="165"/>
      <c r="K52" s="165" t="e">
        <f t="shared" si="1"/>
        <v>#DIV/0!</v>
      </c>
      <c r="L52" s="165"/>
      <c r="M52" s="165"/>
      <c r="N52" s="165"/>
      <c r="O52" s="165"/>
      <c r="P52" s="165" t="e">
        <f t="shared" si="2"/>
        <v>#DIV/0!</v>
      </c>
      <c r="Q52" s="165"/>
      <c r="R52" s="165"/>
      <c r="S52" s="165"/>
      <c r="T52" s="165">
        <v>0</v>
      </c>
      <c r="U52" s="165"/>
      <c r="V52" s="165"/>
      <c r="W52" s="165"/>
      <c r="X52" s="165"/>
      <c r="Y52" s="165">
        <v>0</v>
      </c>
      <c r="Z52" s="165"/>
      <c r="AA52" s="165"/>
      <c r="AB52" s="165"/>
      <c r="AC52" s="165"/>
      <c r="AD52" s="165">
        <v>0</v>
      </c>
      <c r="AE52" s="165"/>
      <c r="AF52" s="165"/>
      <c r="AG52" s="165"/>
      <c r="AH52" s="166"/>
      <c r="AI52" s="166"/>
      <c r="AJ52" s="166"/>
      <c r="AK52" s="166"/>
      <c r="AL52" s="166"/>
      <c r="AM52" s="155"/>
      <c r="AN52" s="155"/>
      <c r="AO52" s="155"/>
      <c r="AP52" s="155"/>
      <c r="AQ52" s="155"/>
      <c r="AR52" s="165"/>
      <c r="AS52" s="165"/>
      <c r="AT52" s="165"/>
      <c r="AU52" s="165"/>
    </row>
    <row r="53" spans="2:48" ht="18" customHeight="1">
      <c r="B53" s="150" t="s">
        <v>29</v>
      </c>
      <c r="C53" s="150"/>
      <c r="D53" s="150"/>
      <c r="E53" s="150"/>
      <c r="F53" s="165">
        <f t="shared" si="0"/>
        <v>0</v>
      </c>
      <c r="G53" s="165"/>
      <c r="H53" s="165"/>
      <c r="I53" s="165"/>
      <c r="J53" s="165"/>
      <c r="K53" s="165">
        <f t="shared" si="1"/>
        <v>50</v>
      </c>
      <c r="L53" s="165"/>
      <c r="M53" s="165"/>
      <c r="N53" s="165"/>
      <c r="O53" s="165"/>
      <c r="P53" s="165">
        <f t="shared" si="2"/>
        <v>40</v>
      </c>
      <c r="Q53" s="165"/>
      <c r="R53" s="165"/>
      <c r="S53" s="165"/>
      <c r="T53" s="165">
        <v>0</v>
      </c>
      <c r="U53" s="165"/>
      <c r="V53" s="165"/>
      <c r="W53" s="165"/>
      <c r="X53" s="165"/>
      <c r="Y53" s="165">
        <v>0</v>
      </c>
      <c r="Z53" s="165"/>
      <c r="AA53" s="165"/>
      <c r="AB53" s="165"/>
      <c r="AC53" s="165"/>
      <c r="AD53" s="165">
        <v>0</v>
      </c>
      <c r="AE53" s="165"/>
      <c r="AF53" s="165"/>
      <c r="AG53" s="165"/>
      <c r="AH53" s="155" t="s">
        <v>50</v>
      </c>
      <c r="AI53" s="155"/>
      <c r="AJ53" s="155"/>
      <c r="AK53" s="155"/>
      <c r="AL53" s="155"/>
      <c r="AM53" s="155">
        <v>2</v>
      </c>
      <c r="AN53" s="155"/>
      <c r="AO53" s="155"/>
      <c r="AP53" s="155"/>
      <c r="AQ53" s="155"/>
      <c r="AR53" s="165">
        <v>100</v>
      </c>
      <c r="AS53" s="165"/>
      <c r="AT53" s="165"/>
      <c r="AU53" s="165"/>
    </row>
    <row r="54" spans="2:48" ht="10.5">
      <c r="B54" s="1" t="s">
        <v>45</v>
      </c>
    </row>
    <row r="55" spans="2:48" ht="10.5"/>
    <row r="56" spans="2:48" ht="10.5"/>
    <row r="57" spans="2:48" ht="10.5">
      <c r="B57" s="2" t="s">
        <v>46</v>
      </c>
    </row>
    <row r="58" spans="2:48" ht="10.5">
      <c r="B58" s="161" t="s">
        <v>47</v>
      </c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</row>
    <row r="59" spans="2:48" ht="10.5">
      <c r="B59" s="161"/>
      <c r="C59" s="161"/>
      <c r="D59" s="161"/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</row>
    <row r="60" spans="2:48" ht="10.5"/>
    <row r="61" spans="2:48" ht="10.5"/>
    <row r="62" spans="2:48" ht="10.5"/>
    <row r="63" spans="2:48" ht="10.5"/>
    <row r="64" spans="2:48" ht="10.5"/>
    <row r="65" spans="2:48" ht="10.5"/>
    <row r="66" spans="2:48" ht="10.5"/>
    <row r="67" spans="2:48" ht="10.5"/>
    <row r="68" spans="2:48" ht="10.5"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</row>
    <row r="69" spans="2:48" ht="10.5"/>
    <row r="70" spans="2:48" ht="10.5"/>
    <row r="71" spans="2:48" ht="10.5"/>
    <row r="72" spans="2:48" ht="10.5"/>
    <row r="73" spans="2:48" ht="10.5"/>
    <row r="74" spans="2:48" ht="10.5"/>
    <row r="75" spans="2:48" ht="10.5"/>
    <row r="76" spans="2:48" ht="10.5"/>
    <row r="77" spans="2:48" ht="10.5"/>
    <row r="78" spans="2:48" ht="10.5"/>
    <row r="79" spans="2:48" ht="10.15" customHeight="1">
      <c r="B79" s="161" t="s">
        <v>48</v>
      </c>
      <c r="C79" s="161"/>
      <c r="D79" s="161"/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  <c r="AF79" s="161"/>
      <c r="AG79" s="161"/>
      <c r="AH79" s="161"/>
      <c r="AI79" s="161"/>
      <c r="AJ79" s="161"/>
      <c r="AK79" s="161"/>
      <c r="AL79" s="161"/>
      <c r="AM79" s="161"/>
      <c r="AN79" s="161"/>
      <c r="AO79" s="161"/>
      <c r="AP79" s="161"/>
      <c r="AQ79" s="161"/>
      <c r="AR79" s="161"/>
      <c r="AS79" s="161"/>
      <c r="AT79" s="161"/>
      <c r="AU79" s="161"/>
      <c r="AV79" s="161"/>
    </row>
    <row r="80" spans="2:48" ht="10.5">
      <c r="B80" s="161"/>
      <c r="C80" s="161"/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161"/>
      <c r="AM80" s="161"/>
      <c r="AN80" s="161"/>
      <c r="AO80" s="161"/>
      <c r="AP80" s="161"/>
      <c r="AQ80" s="161"/>
      <c r="AR80" s="161"/>
      <c r="AS80" s="161"/>
      <c r="AT80" s="161"/>
      <c r="AU80" s="161"/>
      <c r="AV80" s="161"/>
    </row>
    <row r="81" spans="2:47" ht="10.5"/>
    <row r="82" spans="2:47" ht="14.4" customHeight="1">
      <c r="B82" s="156" t="s">
        <v>49</v>
      </c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 t="s">
        <v>43</v>
      </c>
      <c r="AC82" s="156"/>
      <c r="AD82" s="156"/>
      <c r="AE82" s="156"/>
      <c r="AF82" s="156"/>
      <c r="AG82" s="156"/>
      <c r="AH82" s="156"/>
      <c r="AI82" s="156"/>
      <c r="AJ82" s="156"/>
      <c r="AK82" s="156"/>
      <c r="AL82" s="167" t="s">
        <v>16</v>
      </c>
      <c r="AM82" s="167"/>
      <c r="AN82" s="167"/>
      <c r="AO82" s="167"/>
      <c r="AP82" s="167"/>
      <c r="AQ82" s="167"/>
      <c r="AR82" s="167"/>
      <c r="AS82" s="167"/>
      <c r="AT82" s="167"/>
      <c r="AU82" s="167"/>
    </row>
    <row r="83" spans="2:47" ht="10.5">
      <c r="B83" s="156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 t="s">
        <v>41</v>
      </c>
      <c r="AC83" s="156"/>
      <c r="AD83" s="156"/>
      <c r="AE83" s="156"/>
      <c r="AF83" s="156"/>
      <c r="AG83" s="156" t="s">
        <v>42</v>
      </c>
      <c r="AH83" s="156"/>
      <c r="AI83" s="156"/>
      <c r="AJ83" s="156"/>
      <c r="AK83" s="156"/>
      <c r="AL83" s="156" t="s">
        <v>41</v>
      </c>
      <c r="AM83" s="156"/>
      <c r="AN83" s="156"/>
      <c r="AO83" s="156"/>
      <c r="AP83" s="156"/>
      <c r="AQ83" s="156"/>
      <c r="AR83" s="156"/>
      <c r="AS83" s="156"/>
      <c r="AT83" s="156"/>
      <c r="AU83" s="156"/>
    </row>
    <row r="84" spans="2:47" ht="16.850000000000001" customHeight="1">
      <c r="B84" s="137" t="s">
        <v>156</v>
      </c>
      <c r="C84" s="139"/>
      <c r="D84" s="139"/>
      <c r="E84" s="139"/>
      <c r="F84" s="139"/>
      <c r="G84" s="138"/>
      <c r="H84" s="137" t="s">
        <v>351</v>
      </c>
      <c r="I84" s="139"/>
      <c r="J84" s="139"/>
      <c r="K84" s="139"/>
      <c r="L84" s="139"/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39"/>
      <c r="AA84" s="138"/>
      <c r="AB84" s="156">
        <v>2</v>
      </c>
      <c r="AC84" s="156"/>
      <c r="AD84" s="156"/>
      <c r="AE84" s="156"/>
      <c r="AF84" s="156"/>
      <c r="AG84" s="155">
        <v>100</v>
      </c>
      <c r="AH84" s="155"/>
      <c r="AI84" s="155"/>
      <c r="AJ84" s="155"/>
      <c r="AK84" s="155"/>
      <c r="AL84" s="156">
        <v>0</v>
      </c>
      <c r="AM84" s="156"/>
      <c r="AN84" s="156"/>
      <c r="AO84" s="156"/>
      <c r="AP84" s="156"/>
      <c r="AQ84" s="155">
        <v>0</v>
      </c>
      <c r="AR84" s="155"/>
      <c r="AS84" s="155"/>
      <c r="AT84" s="155"/>
      <c r="AU84" s="155"/>
    </row>
    <row r="85" spans="2:47" ht="16.850000000000001" customHeight="1">
      <c r="B85" s="137"/>
      <c r="C85" s="139"/>
      <c r="D85" s="139"/>
      <c r="E85" s="139"/>
      <c r="F85" s="139"/>
      <c r="G85" s="138"/>
      <c r="H85" s="137"/>
      <c r="I85" s="139"/>
      <c r="J85" s="139"/>
      <c r="K85" s="139"/>
      <c r="L85" s="139"/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39"/>
      <c r="AA85" s="138"/>
      <c r="AB85" s="156"/>
      <c r="AC85" s="156"/>
      <c r="AD85" s="156"/>
      <c r="AE85" s="156"/>
      <c r="AF85" s="156"/>
      <c r="AG85" s="155"/>
      <c r="AH85" s="155"/>
      <c r="AI85" s="155"/>
      <c r="AJ85" s="155"/>
      <c r="AK85" s="155"/>
      <c r="AL85" s="156"/>
      <c r="AM85" s="156"/>
      <c r="AN85" s="156"/>
      <c r="AO85" s="156"/>
      <c r="AP85" s="156"/>
      <c r="AQ85" s="155"/>
      <c r="AR85" s="155"/>
      <c r="AS85" s="155"/>
      <c r="AT85" s="155"/>
      <c r="AU85" s="155"/>
    </row>
    <row r="86" spans="2:47" ht="16.850000000000001" customHeight="1">
      <c r="B86" s="137"/>
      <c r="C86" s="139"/>
      <c r="D86" s="139"/>
      <c r="E86" s="139"/>
      <c r="F86" s="139"/>
      <c r="G86" s="138"/>
      <c r="H86" s="137"/>
      <c r="I86" s="139"/>
      <c r="J86" s="139"/>
      <c r="K86" s="139"/>
      <c r="L86" s="139"/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39"/>
      <c r="AA86" s="138"/>
      <c r="AB86" s="156"/>
      <c r="AC86" s="156"/>
      <c r="AD86" s="156"/>
      <c r="AE86" s="156"/>
      <c r="AF86" s="156"/>
      <c r="AG86" s="155"/>
      <c r="AH86" s="155"/>
      <c r="AI86" s="155"/>
      <c r="AJ86" s="155"/>
      <c r="AK86" s="155"/>
      <c r="AL86" s="156"/>
      <c r="AM86" s="156"/>
      <c r="AN86" s="156"/>
      <c r="AO86" s="156"/>
      <c r="AP86" s="156"/>
      <c r="AQ86" s="155"/>
      <c r="AR86" s="155"/>
      <c r="AS86" s="155"/>
      <c r="AT86" s="155"/>
      <c r="AU86" s="155"/>
    </row>
    <row r="87" spans="2:47" ht="16.850000000000001" customHeight="1">
      <c r="B87" s="137"/>
      <c r="C87" s="139"/>
      <c r="D87" s="139"/>
      <c r="E87" s="139"/>
      <c r="F87" s="139"/>
      <c r="G87" s="138"/>
      <c r="H87" s="137"/>
      <c r="I87" s="139"/>
      <c r="J87" s="139"/>
      <c r="K87" s="139"/>
      <c r="L87" s="139"/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39"/>
      <c r="AA87" s="138"/>
      <c r="AB87" s="156"/>
      <c r="AC87" s="156"/>
      <c r="AD87" s="156"/>
      <c r="AE87" s="156"/>
      <c r="AF87" s="156"/>
      <c r="AG87" s="155"/>
      <c r="AH87" s="155"/>
      <c r="AI87" s="155"/>
      <c r="AJ87" s="155"/>
      <c r="AK87" s="155"/>
      <c r="AL87" s="156"/>
      <c r="AM87" s="156"/>
      <c r="AN87" s="156"/>
      <c r="AO87" s="156"/>
      <c r="AP87" s="156"/>
      <c r="AQ87" s="155"/>
      <c r="AR87" s="155"/>
      <c r="AS87" s="155"/>
      <c r="AT87" s="155"/>
      <c r="AU87" s="155"/>
    </row>
    <row r="88" spans="2:47" ht="16.850000000000001" customHeight="1">
      <c r="B88" s="137" t="s">
        <v>50</v>
      </c>
      <c r="C88" s="139"/>
      <c r="D88" s="139"/>
      <c r="E88" s="139"/>
      <c r="F88" s="139"/>
      <c r="G88" s="139"/>
      <c r="H88" s="139"/>
      <c r="I88" s="139"/>
      <c r="J88" s="139"/>
      <c r="K88" s="139"/>
      <c r="L88" s="139"/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39"/>
      <c r="AA88" s="138"/>
      <c r="AB88" s="155">
        <v>2</v>
      </c>
      <c r="AC88" s="155"/>
      <c r="AD88" s="155"/>
      <c r="AE88" s="155"/>
      <c r="AF88" s="155"/>
      <c r="AG88" s="155">
        <v>100</v>
      </c>
      <c r="AH88" s="155"/>
      <c r="AI88" s="155"/>
      <c r="AJ88" s="155"/>
      <c r="AK88" s="155"/>
      <c r="AL88" s="155">
        <v>0</v>
      </c>
      <c r="AM88" s="155"/>
      <c r="AN88" s="155"/>
      <c r="AO88" s="155"/>
      <c r="AP88" s="155"/>
      <c r="AQ88" s="155">
        <v>0</v>
      </c>
      <c r="AR88" s="155"/>
      <c r="AS88" s="155"/>
      <c r="AT88" s="155"/>
      <c r="AU88" s="155"/>
    </row>
    <row r="89" spans="2:47" ht="5.4" customHeight="1"/>
    <row r="90" spans="2:47" ht="10.5">
      <c r="B90" s="2" t="s">
        <v>51</v>
      </c>
    </row>
    <row r="91" spans="2:47" ht="5.4" customHeight="1"/>
    <row r="92" spans="2:47" ht="10.5">
      <c r="B92" s="1" t="s">
        <v>56</v>
      </c>
      <c r="O92" s="4"/>
      <c r="P92" s="168" t="s">
        <v>350</v>
      </c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</row>
    <row r="93" spans="2:47" ht="16.850000000000001" customHeight="1">
      <c r="B93" s="168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  <c r="AA93" s="168"/>
      <c r="AB93" s="168"/>
      <c r="AC93" s="168"/>
      <c r="AD93" s="168"/>
      <c r="AE93" s="168"/>
      <c r="AF93" s="168"/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</row>
    <row r="94" spans="2:47" ht="16.850000000000001" customHeight="1"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</row>
    <row r="95" spans="2:47" ht="5.4" customHeight="1"/>
    <row r="96" spans="2:47" ht="10.5">
      <c r="B96" s="1" t="s">
        <v>349</v>
      </c>
      <c r="K96" s="4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  <c r="AO96" s="129"/>
      <c r="AP96" s="129"/>
      <c r="AQ96" s="129"/>
      <c r="AR96" s="129"/>
      <c r="AS96" s="129"/>
      <c r="AT96" s="129"/>
      <c r="AU96" s="129"/>
    </row>
    <row r="97" spans="2:47" ht="16.850000000000001" customHeight="1">
      <c r="B97" s="168"/>
      <c r="C97" s="168"/>
      <c r="D97" s="168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  <c r="AA97" s="168"/>
      <c r="AB97" s="168"/>
      <c r="AC97" s="168"/>
      <c r="AD97" s="168"/>
      <c r="AE97" s="168"/>
      <c r="AF97" s="168"/>
      <c r="AG97" s="168"/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T97" s="168"/>
      <c r="AU97" s="168"/>
    </row>
    <row r="98" spans="2:47" ht="16.850000000000001" customHeight="1">
      <c r="B98" s="168"/>
      <c r="C98" s="168"/>
      <c r="D98" s="168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68"/>
      <c r="AB98" s="168"/>
      <c r="AC98" s="168"/>
      <c r="AD98" s="168"/>
      <c r="AE98" s="168"/>
      <c r="AF98" s="168"/>
      <c r="AG98" s="168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T98" s="168"/>
      <c r="AU98" s="168"/>
    </row>
    <row r="99" spans="2:47" ht="5.4" customHeight="1"/>
    <row r="100" spans="2:47" ht="10.5">
      <c r="B100" s="4" t="s">
        <v>347</v>
      </c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129"/>
      <c r="P100" s="129"/>
      <c r="Q100" s="129"/>
      <c r="R100" s="129"/>
      <c r="S100" s="129"/>
      <c r="T100" s="129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29"/>
      <c r="AF100" s="129"/>
      <c r="AG100" s="129"/>
      <c r="AH100" s="129"/>
      <c r="AI100" s="129"/>
      <c r="AJ100" s="129"/>
      <c r="AK100" s="129"/>
      <c r="AL100" s="129"/>
      <c r="AM100" s="129"/>
      <c r="AN100" s="129"/>
      <c r="AO100" s="129"/>
      <c r="AP100" s="129"/>
      <c r="AQ100" s="129"/>
      <c r="AR100" s="129"/>
      <c r="AS100" s="129"/>
      <c r="AT100" s="129"/>
      <c r="AU100" s="129"/>
    </row>
    <row r="101" spans="2:47" ht="16.850000000000001" customHeight="1">
      <c r="B101" s="168"/>
      <c r="C101" s="168"/>
      <c r="D101" s="168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168"/>
      <c r="AD101" s="168"/>
      <c r="AE101" s="168"/>
      <c r="AF101" s="168"/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T101" s="168"/>
      <c r="AU101" s="168"/>
    </row>
    <row r="102" spans="2:47" ht="16.850000000000001" customHeight="1">
      <c r="B102" s="168"/>
      <c r="C102" s="168"/>
      <c r="D102" s="168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168"/>
      <c r="AD102" s="168"/>
      <c r="AE102" s="168"/>
      <c r="AF102" s="168"/>
      <c r="AG102" s="168"/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T102" s="168"/>
      <c r="AU102" s="168"/>
    </row>
    <row r="103" spans="2:47" ht="5.4" customHeight="1"/>
    <row r="104" spans="2:47" ht="10.5">
      <c r="B104" s="2" t="s">
        <v>52</v>
      </c>
    </row>
    <row r="105" spans="2:47" ht="20.3" customHeight="1">
      <c r="B105" s="168" t="s">
        <v>344</v>
      </c>
      <c r="C105" s="168"/>
      <c r="D105" s="168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  <c r="AA105" s="168"/>
      <c r="AB105" s="168"/>
      <c r="AC105" s="168"/>
      <c r="AD105" s="168"/>
      <c r="AE105" s="168"/>
      <c r="AF105" s="168"/>
      <c r="AG105" s="168"/>
      <c r="AH105" s="168"/>
      <c r="AI105" s="168"/>
      <c r="AJ105" s="168"/>
      <c r="AK105" s="168"/>
      <c r="AL105" s="168"/>
      <c r="AM105" s="168"/>
      <c r="AN105" s="168"/>
      <c r="AO105" s="168"/>
      <c r="AP105" s="168"/>
      <c r="AQ105" s="168"/>
      <c r="AR105" s="168"/>
      <c r="AS105" s="168"/>
      <c r="AT105" s="168"/>
      <c r="AU105" s="168"/>
    </row>
    <row r="106" spans="2:47" ht="16.850000000000001" customHeight="1">
      <c r="B106" s="168" t="s">
        <v>341</v>
      </c>
      <c r="C106" s="168"/>
      <c r="D106" s="168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68"/>
      <c r="AB106" s="168"/>
      <c r="AC106" s="168"/>
      <c r="AD106" s="168"/>
      <c r="AE106" s="168"/>
      <c r="AF106" s="168"/>
      <c r="AG106" s="168"/>
      <c r="AH106" s="168"/>
      <c r="AI106" s="168"/>
      <c r="AJ106" s="168"/>
      <c r="AK106" s="168"/>
      <c r="AL106" s="168"/>
      <c r="AM106" s="168"/>
      <c r="AN106" s="168"/>
      <c r="AO106" s="168"/>
      <c r="AP106" s="168"/>
      <c r="AQ106" s="168"/>
      <c r="AR106" s="168"/>
      <c r="AS106" s="168"/>
      <c r="AT106" s="168"/>
      <c r="AU106" s="168"/>
    </row>
    <row r="107" spans="2:47" ht="16.850000000000001" customHeight="1">
      <c r="B107" s="168" t="s">
        <v>348</v>
      </c>
      <c r="C107" s="168"/>
      <c r="D107" s="168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  <c r="AA107" s="168"/>
      <c r="AB107" s="168"/>
      <c r="AC107" s="168"/>
      <c r="AD107" s="168"/>
      <c r="AE107" s="168"/>
      <c r="AF107" s="168"/>
      <c r="AG107" s="168"/>
      <c r="AH107" s="168"/>
      <c r="AI107" s="168"/>
      <c r="AJ107" s="168"/>
      <c r="AK107" s="168"/>
      <c r="AL107" s="168"/>
      <c r="AM107" s="168"/>
      <c r="AN107" s="168"/>
      <c r="AO107" s="168"/>
      <c r="AP107" s="168"/>
      <c r="AQ107" s="168"/>
      <c r="AR107" s="168"/>
      <c r="AS107" s="168"/>
      <c r="AT107" s="168"/>
      <c r="AU107" s="168"/>
    </row>
    <row r="108" spans="2:47" ht="16.850000000000001" customHeight="1">
      <c r="B108" s="168" t="s">
        <v>340</v>
      </c>
      <c r="C108" s="168"/>
      <c r="D108" s="168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68"/>
      <c r="AE108" s="168"/>
      <c r="AF108" s="168"/>
      <c r="AG108" s="168"/>
      <c r="AH108" s="168"/>
      <c r="AI108" s="168"/>
      <c r="AJ108" s="168"/>
      <c r="AK108" s="168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</row>
    <row r="109" spans="2:47" ht="16.850000000000001" customHeight="1">
      <c r="B109" s="168"/>
      <c r="C109" s="168"/>
      <c r="D109" s="168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168"/>
      <c r="R109" s="168"/>
      <c r="S109" s="168"/>
      <c r="T109" s="168"/>
      <c r="U109" s="168"/>
      <c r="V109" s="168"/>
      <c r="W109" s="168"/>
      <c r="X109" s="168"/>
      <c r="Y109" s="168"/>
      <c r="Z109" s="168"/>
      <c r="AA109" s="168"/>
      <c r="AB109" s="168"/>
      <c r="AC109" s="168"/>
      <c r="AD109" s="168"/>
      <c r="AE109" s="168"/>
      <c r="AF109" s="168"/>
      <c r="AG109" s="168"/>
      <c r="AH109" s="168"/>
      <c r="AI109" s="168"/>
      <c r="AJ109" s="168"/>
      <c r="AK109" s="168"/>
      <c r="AL109" s="168"/>
      <c r="AM109" s="168"/>
      <c r="AN109" s="168"/>
      <c r="AO109" s="168"/>
      <c r="AP109" s="168"/>
      <c r="AQ109" s="168"/>
      <c r="AR109" s="168"/>
      <c r="AS109" s="168"/>
      <c r="AT109" s="168"/>
      <c r="AU109" s="168"/>
    </row>
    <row r="110" spans="2:47" ht="10.5"/>
    <row r="111" spans="2:47" ht="10.5"/>
    <row r="112" spans="2:47" ht="15.05" customHeight="1">
      <c r="B112" s="134" t="s">
        <v>339</v>
      </c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Q112" s="4"/>
      <c r="R112" s="134" t="s">
        <v>339</v>
      </c>
      <c r="S112" s="134"/>
      <c r="T112" s="134"/>
      <c r="U112" s="134"/>
      <c r="V112" s="134"/>
      <c r="W112" s="134"/>
      <c r="X112" s="134"/>
      <c r="Y112" s="134"/>
      <c r="Z112" s="134"/>
      <c r="AA112" s="134"/>
      <c r="AB112" s="134"/>
      <c r="AC112" s="134"/>
      <c r="AD112" s="134"/>
      <c r="AE112" s="134"/>
      <c r="AG112" s="1" t="s">
        <v>68</v>
      </c>
      <c r="AH112" s="134" t="s">
        <v>359</v>
      </c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  <c r="AT112" s="134"/>
      <c r="AU112" s="134"/>
    </row>
    <row r="113" spans="2:47" ht="10.5">
      <c r="B113" s="169" t="s">
        <v>53</v>
      </c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R113" s="169" t="s">
        <v>54</v>
      </c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69"/>
      <c r="AE113" s="169"/>
      <c r="AH113" s="169" t="s">
        <v>55</v>
      </c>
      <c r="AI113" s="169"/>
      <c r="AJ113" s="169"/>
      <c r="AK113" s="169"/>
      <c r="AL113" s="169"/>
      <c r="AM113" s="169"/>
      <c r="AN113" s="169"/>
      <c r="AO113" s="169"/>
      <c r="AP113" s="169"/>
      <c r="AQ113" s="169"/>
      <c r="AR113" s="169"/>
      <c r="AS113" s="169"/>
      <c r="AT113" s="169"/>
      <c r="AU113" s="169"/>
    </row>
    <row r="114" spans="2:47" ht="10.5"/>
    <row r="115" spans="2:47" ht="10.5">
      <c r="B115" s="20" t="s">
        <v>57</v>
      </c>
    </row>
    <row r="116" spans="2:47" ht="10.5">
      <c r="B116" s="20" t="s">
        <v>58</v>
      </c>
    </row>
  </sheetData>
  <mergeCells count="303">
    <mergeCell ref="B109:AU109"/>
    <mergeCell ref="B112:O112"/>
    <mergeCell ref="R112:AE112"/>
    <mergeCell ref="AH112:AU112"/>
    <mergeCell ref="B113:O113"/>
    <mergeCell ref="R113:AE113"/>
    <mergeCell ref="AH113:AU113"/>
    <mergeCell ref="B101:AU101"/>
    <mergeCell ref="B102:AU102"/>
    <mergeCell ref="B105:AU105"/>
    <mergeCell ref="B106:AU106"/>
    <mergeCell ref="B107:AU107"/>
    <mergeCell ref="B108:AU108"/>
    <mergeCell ref="B93:AU93"/>
    <mergeCell ref="B94:AU94"/>
    <mergeCell ref="B97:AU97"/>
    <mergeCell ref="B98:AU98"/>
    <mergeCell ref="B88:AA88"/>
    <mergeCell ref="AB88:AF88"/>
    <mergeCell ref="AG88:AK88"/>
    <mergeCell ref="AL88:AP88"/>
    <mergeCell ref="AQ88:AU88"/>
    <mergeCell ref="P92:AU92"/>
    <mergeCell ref="B87:G87"/>
    <mergeCell ref="H87:AA87"/>
    <mergeCell ref="AB87:AF87"/>
    <mergeCell ref="AG87:AK87"/>
    <mergeCell ref="AL87:AP87"/>
    <mergeCell ref="AQ87:AU87"/>
    <mergeCell ref="B86:G86"/>
    <mergeCell ref="H86:AA86"/>
    <mergeCell ref="AB86:AF86"/>
    <mergeCell ref="AG86:AK86"/>
    <mergeCell ref="AL86:AP86"/>
    <mergeCell ref="AQ86:AU86"/>
    <mergeCell ref="B85:G85"/>
    <mergeCell ref="H85:AA85"/>
    <mergeCell ref="AB85:AF85"/>
    <mergeCell ref="AG85:AK85"/>
    <mergeCell ref="AL85:AP85"/>
    <mergeCell ref="AQ85:AU85"/>
    <mergeCell ref="B84:G84"/>
    <mergeCell ref="H84:AA84"/>
    <mergeCell ref="AB84:AF84"/>
    <mergeCell ref="AG84:AK84"/>
    <mergeCell ref="AL84:AP84"/>
    <mergeCell ref="AQ84:AU84"/>
    <mergeCell ref="B53:E53"/>
    <mergeCell ref="F53:J53"/>
    <mergeCell ref="K53:O53"/>
    <mergeCell ref="P53:S53"/>
    <mergeCell ref="T53:X53"/>
    <mergeCell ref="Y53:AC53"/>
    <mergeCell ref="B82:AA83"/>
    <mergeCell ref="AB82:AK82"/>
    <mergeCell ref="AL82:AU82"/>
    <mergeCell ref="AB83:AF83"/>
    <mergeCell ref="AG83:AK83"/>
    <mergeCell ref="AL83:AP83"/>
    <mergeCell ref="AQ83:AU83"/>
    <mergeCell ref="AD53:AG53"/>
    <mergeCell ref="AH53:AL53"/>
    <mergeCell ref="AM53:AQ53"/>
    <mergeCell ref="AR53:AU53"/>
    <mergeCell ref="B58:AV59"/>
    <mergeCell ref="B79:AV80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D45:AG45"/>
    <mergeCell ref="AH45:AL45"/>
    <mergeCell ref="AM45:AQ45"/>
    <mergeCell ref="AR45:AU45"/>
    <mergeCell ref="B46:E46"/>
    <mergeCell ref="F46:J46"/>
    <mergeCell ref="K46:O46"/>
    <mergeCell ref="P46:S46"/>
    <mergeCell ref="T46:X46"/>
    <mergeCell ref="Y46:AC46"/>
    <mergeCell ref="B45:E45"/>
    <mergeCell ref="F45:J45"/>
    <mergeCell ref="K45:O45"/>
    <mergeCell ref="P45:S45"/>
    <mergeCell ref="T45:X45"/>
    <mergeCell ref="Y45:AC45"/>
    <mergeCell ref="AD46:AG46"/>
    <mergeCell ref="AH46:AL46"/>
    <mergeCell ref="AM46:AQ46"/>
    <mergeCell ref="AR46:AU46"/>
    <mergeCell ref="P44:S44"/>
    <mergeCell ref="T44:X44"/>
    <mergeCell ref="Y44:AC44"/>
    <mergeCell ref="AD44:AG44"/>
    <mergeCell ref="AM44:AQ44"/>
    <mergeCell ref="AR44:AU44"/>
    <mergeCell ref="AR39:AU39"/>
    <mergeCell ref="B41:AG42"/>
    <mergeCell ref="AH41:AU42"/>
    <mergeCell ref="B43:E44"/>
    <mergeCell ref="F43:S43"/>
    <mergeCell ref="T43:AG43"/>
    <mergeCell ref="AH43:AL44"/>
    <mergeCell ref="AM43:AU43"/>
    <mergeCell ref="F44:J44"/>
    <mergeCell ref="K44:O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H23:J23"/>
    <mergeCell ref="S23:U23"/>
    <mergeCell ref="AB23:AD23"/>
    <mergeCell ref="AL23:AN23"/>
    <mergeCell ref="B29:E30"/>
    <mergeCell ref="F29:S29"/>
    <mergeCell ref="T29:AG29"/>
    <mergeCell ref="AH29:AU29"/>
    <mergeCell ref="F30:J30"/>
    <mergeCell ref="K30:O30"/>
    <mergeCell ref="AR30:AU30"/>
    <mergeCell ref="P30:S30"/>
    <mergeCell ref="T30:X30"/>
    <mergeCell ref="Y30:AC30"/>
    <mergeCell ref="AD30:AG30"/>
    <mergeCell ref="AH30:AL30"/>
    <mergeCell ref="AM30:AQ30"/>
    <mergeCell ref="L21:M21"/>
    <mergeCell ref="N21:O21"/>
    <mergeCell ref="P21:S21"/>
    <mergeCell ref="AH21:AI21"/>
    <mergeCell ref="AJ21:AK21"/>
    <mergeCell ref="AL21:AO21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BE16:BG16"/>
    <mergeCell ref="AN17:AO17"/>
    <mergeCell ref="AP17:AQ17"/>
    <mergeCell ref="AR17:AU17"/>
    <mergeCell ref="B11:E11"/>
    <mergeCell ref="F11:M11"/>
    <mergeCell ref="X11:AG11"/>
    <mergeCell ref="AP11:AU11"/>
    <mergeCell ref="BA11:BI13"/>
    <mergeCell ref="F13:L13"/>
    <mergeCell ref="A2:AV2"/>
    <mergeCell ref="A3:AV3"/>
    <mergeCell ref="I9:S9"/>
    <mergeCell ref="T9:Y9"/>
    <mergeCell ref="Z9:AG9"/>
    <mergeCell ref="AM9:AU9"/>
    <mergeCell ref="AE16:AI16"/>
    <mergeCell ref="AN16:AO16"/>
    <mergeCell ref="AP16:AQ16"/>
    <mergeCell ref="AR16:AU16"/>
  </mergeCells>
  <conditionalFormatting sqref="AD16">
    <cfRule type="containsText" dxfId="71" priority="3" operator="containsText" text="INACTIVO">
      <formula>NOT(ISERROR(SEARCH("INACTIVO",AD16)))</formula>
    </cfRule>
    <cfRule type="containsText" dxfId="70" priority="4" operator="containsText" text="ACTIVO">
      <formula>NOT(ISERROR(SEARCH("ACTIVO",AD16)))</formula>
    </cfRule>
  </conditionalFormatting>
  <conditionalFormatting sqref="AE16:AI16">
    <cfRule type="containsText" dxfId="69" priority="1" operator="containsText" text="SEGUIMIENTO">
      <formula>NOT(ISERROR(SEARCH("SEGUIMIENTO",AE16)))</formula>
    </cfRule>
    <cfRule type="containsText" dxfId="68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sqref="AE16:AI16" xr:uid="{00000000-0002-0000-0000-000000000000}">
      <formula1>"INF_INICIAL, SEGUIMIENTO, ALTA"</formula1>
    </dataValidation>
    <dataValidation type="list" allowBlank="1" showInputMessage="1" showErrorMessage="1" sqref="AK16" xr:uid="{00000000-0002-0000-0000-000001000000}">
      <formula1>seguimient</formula1>
    </dataValidation>
    <dataValidation type="list" allowBlank="1" showInputMessage="1" showErrorMessage="1" sqref="AR16:AU16 P20:S20" xr:uid="{00000000-0002-0000-0000-000002000000}">
      <formula1>AÑO</formula1>
    </dataValidation>
    <dataValidation type="list" allowBlank="1" showInputMessage="1" showErrorMessage="1" sqref="AP16 N20" xr:uid="{00000000-0002-0000-0000-000003000000}">
      <formula1>MES</formula1>
    </dataValidation>
    <dataValidation type="list" allowBlank="1" showInputMessage="1" showErrorMessage="1" sqref="AN16:AO16 L20:M20" xr:uid="{00000000-0002-0000-0000-000004000000}">
      <formula1>DIA</formula1>
    </dataValidation>
    <dataValidation type="list" allowBlank="1" showInputMessage="1" showErrorMessage="1" errorTitle="Error en los datos" prompt="Elige una opción" sqref="F13" xr:uid="{00000000-0002-0000-0000-000005000000}">
      <formula1>"SSA,IMSS,ISSSTE,OTRAS,IMSS PROSPERA,DIF,PEMEX,SEDENA"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5984" right="0.31496062992125984" top="0.74803149606299213" bottom="0.74803149606299213" header="0.31496062992125984" footer="0.31496062992125984"/>
  <pageSetup scale="90" orientation="portrait" r:id="rId1"/>
  <rowBreaks count="1" manualBreakCount="1">
    <brk id="56" max="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NuevoSeguimiento">
                <anchor moveWithCells="1" sizeWithCells="1">
                  <from>
                    <xdr:col>51</xdr:col>
                    <xdr:colOff>133004</xdr:colOff>
                    <xdr:row>2</xdr:row>
                    <xdr:rowOff>199505</xdr:rowOff>
                  </from>
                  <to>
                    <xdr:col>61</xdr:col>
                    <xdr:colOff>49876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Hoja14.ACTUALIZAR">
                <anchor moveWithCells="1" sizeWithCells="1">
                  <from>
                    <xdr:col>52</xdr:col>
                    <xdr:colOff>0</xdr:colOff>
                    <xdr:row>8</xdr:row>
                    <xdr:rowOff>124691</xdr:rowOff>
                  </from>
                  <to>
                    <xdr:col>61</xdr:col>
                    <xdr:colOff>66502</xdr:colOff>
                    <xdr:row>14</xdr:row>
                    <xdr:rowOff>16625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</sheetPr>
  <dimension ref="A1:AS3190"/>
  <sheetViews>
    <sheetView showGridLines="0" view="pageBreakPreview" zoomScale="85" zoomScaleNormal="100" zoomScaleSheetLayoutView="85" workbookViewId="0">
      <selection activeCell="G14" sqref="G14:H14"/>
    </sheetView>
  </sheetViews>
  <sheetFormatPr baseColWidth="10" defaultRowHeight="12.45"/>
  <cols>
    <col min="1" max="1" width="7.33203125" style="21" customWidth="1"/>
    <col min="2" max="2" width="14.88671875" style="92" customWidth="1"/>
    <col min="3" max="3" width="8.33203125" style="92" customWidth="1"/>
    <col min="4" max="4" width="6.6640625" style="92" customWidth="1"/>
    <col min="5" max="5" width="7.6640625" style="21" customWidth="1"/>
    <col min="6" max="6" width="4.88671875" style="21" customWidth="1"/>
    <col min="7" max="7" width="12.5546875" style="21" customWidth="1"/>
    <col min="8" max="8" width="2.5546875" style="21" customWidth="1"/>
    <col min="9" max="9" width="12.33203125" style="21" customWidth="1"/>
    <col min="10" max="10" width="10.88671875" style="21" customWidth="1"/>
    <col min="11" max="11" width="7" style="67" customWidth="1"/>
    <col min="12" max="13" width="6" style="67" customWidth="1"/>
    <col min="14" max="14" width="19.88671875" style="21" customWidth="1"/>
    <col min="15" max="20" width="6" style="21" customWidth="1"/>
    <col min="21" max="21" width="8.88671875" style="21" customWidth="1"/>
    <col min="22" max="24" width="6" style="21" customWidth="1"/>
    <col min="25" max="25" width="10" style="21" customWidth="1"/>
    <col min="26" max="26" width="8.109375" style="21" customWidth="1"/>
    <col min="27" max="29" width="11" style="21" customWidth="1"/>
    <col min="30" max="30" width="15.33203125" style="21" customWidth="1"/>
    <col min="31" max="31" width="17.109375" style="21" customWidth="1"/>
    <col min="32" max="34" width="6" style="21" customWidth="1"/>
    <col min="35" max="35" width="23.5546875" style="21" customWidth="1"/>
    <col min="36" max="36" width="11.44140625" style="26" hidden="1" customWidth="1"/>
    <col min="37" max="258" width="11.5546875" style="21"/>
    <col min="259" max="259" width="7.33203125" style="21" customWidth="1"/>
    <col min="260" max="260" width="14.88671875" style="21" customWidth="1"/>
    <col min="261" max="261" width="13.5546875" style="21" customWidth="1"/>
    <col min="262" max="262" width="3.109375" style="21" customWidth="1"/>
    <col min="263" max="264" width="4.88671875" style="21" customWidth="1"/>
    <col min="265" max="265" width="12.5546875" style="21" customWidth="1"/>
    <col min="266" max="266" width="1.109375" style="21" customWidth="1"/>
    <col min="267" max="267" width="17.33203125" style="21" customWidth="1"/>
    <col min="268" max="268" width="11.88671875" style="21" customWidth="1"/>
    <col min="269" max="269" width="19.88671875" style="21" customWidth="1"/>
    <col min="270" max="270" width="12.5546875" style="21" customWidth="1"/>
    <col min="271" max="271" width="11.5546875" style="21"/>
    <col min="272" max="272" width="8.88671875" style="21" customWidth="1"/>
    <col min="273" max="273" width="10.33203125" style="21" customWidth="1"/>
    <col min="274" max="274" width="10" style="21" customWidth="1"/>
    <col min="275" max="275" width="8.109375" style="21" customWidth="1"/>
    <col min="276" max="283" width="10.6640625" style="21" customWidth="1"/>
    <col min="284" max="284" width="8.44140625" style="21" customWidth="1"/>
    <col min="285" max="285" width="10" style="21" customWidth="1"/>
    <col min="286" max="286" width="7.33203125" style="21" customWidth="1"/>
    <col min="287" max="287" width="9.44140625" style="21" customWidth="1"/>
    <col min="288" max="288" width="8.6640625" style="21" customWidth="1"/>
    <col min="289" max="289" width="17.109375" style="21" customWidth="1"/>
    <col min="290" max="290" width="26.33203125" style="21" customWidth="1"/>
    <col min="291" max="514" width="11.5546875" style="21"/>
    <col min="515" max="515" width="7.33203125" style="21" customWidth="1"/>
    <col min="516" max="516" width="14.88671875" style="21" customWidth="1"/>
    <col min="517" max="517" width="13.5546875" style="21" customWidth="1"/>
    <col min="518" max="518" width="3.109375" style="21" customWidth="1"/>
    <col min="519" max="520" width="4.88671875" style="21" customWidth="1"/>
    <col min="521" max="521" width="12.5546875" style="21" customWidth="1"/>
    <col min="522" max="522" width="1.109375" style="21" customWidth="1"/>
    <col min="523" max="523" width="17.33203125" style="21" customWidth="1"/>
    <col min="524" max="524" width="11.88671875" style="21" customWidth="1"/>
    <col min="525" max="525" width="19.88671875" style="21" customWidth="1"/>
    <col min="526" max="526" width="12.5546875" style="21" customWidth="1"/>
    <col min="527" max="527" width="11.5546875" style="21"/>
    <col min="528" max="528" width="8.88671875" style="21" customWidth="1"/>
    <col min="529" max="529" width="10.33203125" style="21" customWidth="1"/>
    <col min="530" max="530" width="10" style="21" customWidth="1"/>
    <col min="531" max="531" width="8.109375" style="21" customWidth="1"/>
    <col min="532" max="539" width="10.6640625" style="21" customWidth="1"/>
    <col min="540" max="540" width="8.44140625" style="21" customWidth="1"/>
    <col min="541" max="541" width="10" style="21" customWidth="1"/>
    <col min="542" max="542" width="7.33203125" style="21" customWidth="1"/>
    <col min="543" max="543" width="9.44140625" style="21" customWidth="1"/>
    <col min="544" max="544" width="8.6640625" style="21" customWidth="1"/>
    <col min="545" max="545" width="17.109375" style="21" customWidth="1"/>
    <col min="546" max="546" width="26.33203125" style="21" customWidth="1"/>
    <col min="547" max="770" width="11.5546875" style="21"/>
    <col min="771" max="771" width="7.33203125" style="21" customWidth="1"/>
    <col min="772" max="772" width="14.88671875" style="21" customWidth="1"/>
    <col min="773" max="773" width="13.5546875" style="21" customWidth="1"/>
    <col min="774" max="774" width="3.109375" style="21" customWidth="1"/>
    <col min="775" max="776" width="4.88671875" style="21" customWidth="1"/>
    <col min="777" max="777" width="12.5546875" style="21" customWidth="1"/>
    <col min="778" max="778" width="1.109375" style="21" customWidth="1"/>
    <col min="779" max="779" width="17.33203125" style="21" customWidth="1"/>
    <col min="780" max="780" width="11.88671875" style="21" customWidth="1"/>
    <col min="781" max="781" width="19.88671875" style="21" customWidth="1"/>
    <col min="782" max="782" width="12.5546875" style="21" customWidth="1"/>
    <col min="783" max="783" width="11.5546875" style="21"/>
    <col min="784" max="784" width="8.88671875" style="21" customWidth="1"/>
    <col min="785" max="785" width="10.33203125" style="21" customWidth="1"/>
    <col min="786" max="786" width="10" style="21" customWidth="1"/>
    <col min="787" max="787" width="8.109375" style="21" customWidth="1"/>
    <col min="788" max="795" width="10.6640625" style="21" customWidth="1"/>
    <col min="796" max="796" width="8.44140625" style="21" customWidth="1"/>
    <col min="797" max="797" width="10" style="21" customWidth="1"/>
    <col min="798" max="798" width="7.33203125" style="21" customWidth="1"/>
    <col min="799" max="799" width="9.44140625" style="21" customWidth="1"/>
    <col min="800" max="800" width="8.6640625" style="21" customWidth="1"/>
    <col min="801" max="801" width="17.109375" style="21" customWidth="1"/>
    <col min="802" max="802" width="26.33203125" style="21" customWidth="1"/>
    <col min="803" max="1026" width="11.5546875" style="21"/>
    <col min="1027" max="1027" width="7.33203125" style="21" customWidth="1"/>
    <col min="1028" max="1028" width="14.88671875" style="21" customWidth="1"/>
    <col min="1029" max="1029" width="13.5546875" style="21" customWidth="1"/>
    <col min="1030" max="1030" width="3.109375" style="21" customWidth="1"/>
    <col min="1031" max="1032" width="4.88671875" style="21" customWidth="1"/>
    <col min="1033" max="1033" width="12.5546875" style="21" customWidth="1"/>
    <col min="1034" max="1034" width="1.109375" style="21" customWidth="1"/>
    <col min="1035" max="1035" width="17.33203125" style="21" customWidth="1"/>
    <col min="1036" max="1036" width="11.88671875" style="21" customWidth="1"/>
    <col min="1037" max="1037" width="19.88671875" style="21" customWidth="1"/>
    <col min="1038" max="1038" width="12.5546875" style="21" customWidth="1"/>
    <col min="1039" max="1039" width="11.5546875" style="21"/>
    <col min="1040" max="1040" width="8.88671875" style="21" customWidth="1"/>
    <col min="1041" max="1041" width="10.33203125" style="21" customWidth="1"/>
    <col min="1042" max="1042" width="10" style="21" customWidth="1"/>
    <col min="1043" max="1043" width="8.109375" style="21" customWidth="1"/>
    <col min="1044" max="1051" width="10.6640625" style="21" customWidth="1"/>
    <col min="1052" max="1052" width="8.44140625" style="21" customWidth="1"/>
    <col min="1053" max="1053" width="10" style="21" customWidth="1"/>
    <col min="1054" max="1054" width="7.33203125" style="21" customWidth="1"/>
    <col min="1055" max="1055" width="9.44140625" style="21" customWidth="1"/>
    <col min="1056" max="1056" width="8.6640625" style="21" customWidth="1"/>
    <col min="1057" max="1057" width="17.109375" style="21" customWidth="1"/>
    <col min="1058" max="1058" width="26.33203125" style="21" customWidth="1"/>
    <col min="1059" max="1282" width="11.5546875" style="21"/>
    <col min="1283" max="1283" width="7.33203125" style="21" customWidth="1"/>
    <col min="1284" max="1284" width="14.88671875" style="21" customWidth="1"/>
    <col min="1285" max="1285" width="13.5546875" style="21" customWidth="1"/>
    <col min="1286" max="1286" width="3.109375" style="21" customWidth="1"/>
    <col min="1287" max="1288" width="4.88671875" style="21" customWidth="1"/>
    <col min="1289" max="1289" width="12.5546875" style="21" customWidth="1"/>
    <col min="1290" max="1290" width="1.109375" style="21" customWidth="1"/>
    <col min="1291" max="1291" width="17.33203125" style="21" customWidth="1"/>
    <col min="1292" max="1292" width="11.88671875" style="21" customWidth="1"/>
    <col min="1293" max="1293" width="19.88671875" style="21" customWidth="1"/>
    <col min="1294" max="1294" width="12.5546875" style="21" customWidth="1"/>
    <col min="1295" max="1295" width="11.5546875" style="21"/>
    <col min="1296" max="1296" width="8.88671875" style="21" customWidth="1"/>
    <col min="1297" max="1297" width="10.33203125" style="21" customWidth="1"/>
    <col min="1298" max="1298" width="10" style="21" customWidth="1"/>
    <col min="1299" max="1299" width="8.109375" style="21" customWidth="1"/>
    <col min="1300" max="1307" width="10.6640625" style="21" customWidth="1"/>
    <col min="1308" max="1308" width="8.44140625" style="21" customWidth="1"/>
    <col min="1309" max="1309" width="10" style="21" customWidth="1"/>
    <col min="1310" max="1310" width="7.33203125" style="21" customWidth="1"/>
    <col min="1311" max="1311" width="9.44140625" style="21" customWidth="1"/>
    <col min="1312" max="1312" width="8.6640625" style="21" customWidth="1"/>
    <col min="1313" max="1313" width="17.109375" style="21" customWidth="1"/>
    <col min="1314" max="1314" width="26.33203125" style="21" customWidth="1"/>
    <col min="1315" max="1538" width="11.5546875" style="21"/>
    <col min="1539" max="1539" width="7.33203125" style="21" customWidth="1"/>
    <col min="1540" max="1540" width="14.88671875" style="21" customWidth="1"/>
    <col min="1541" max="1541" width="13.5546875" style="21" customWidth="1"/>
    <col min="1542" max="1542" width="3.109375" style="21" customWidth="1"/>
    <col min="1543" max="1544" width="4.88671875" style="21" customWidth="1"/>
    <col min="1545" max="1545" width="12.5546875" style="21" customWidth="1"/>
    <col min="1546" max="1546" width="1.109375" style="21" customWidth="1"/>
    <col min="1547" max="1547" width="17.33203125" style="21" customWidth="1"/>
    <col min="1548" max="1548" width="11.88671875" style="21" customWidth="1"/>
    <col min="1549" max="1549" width="19.88671875" style="21" customWidth="1"/>
    <col min="1550" max="1550" width="12.5546875" style="21" customWidth="1"/>
    <col min="1551" max="1551" width="11.5546875" style="21"/>
    <col min="1552" max="1552" width="8.88671875" style="21" customWidth="1"/>
    <col min="1553" max="1553" width="10.33203125" style="21" customWidth="1"/>
    <col min="1554" max="1554" width="10" style="21" customWidth="1"/>
    <col min="1555" max="1555" width="8.109375" style="21" customWidth="1"/>
    <col min="1556" max="1563" width="10.6640625" style="21" customWidth="1"/>
    <col min="1564" max="1564" width="8.44140625" style="21" customWidth="1"/>
    <col min="1565" max="1565" width="10" style="21" customWidth="1"/>
    <col min="1566" max="1566" width="7.33203125" style="21" customWidth="1"/>
    <col min="1567" max="1567" width="9.44140625" style="21" customWidth="1"/>
    <col min="1568" max="1568" width="8.6640625" style="21" customWidth="1"/>
    <col min="1569" max="1569" width="17.109375" style="21" customWidth="1"/>
    <col min="1570" max="1570" width="26.33203125" style="21" customWidth="1"/>
    <col min="1571" max="1794" width="11.5546875" style="21"/>
    <col min="1795" max="1795" width="7.33203125" style="21" customWidth="1"/>
    <col min="1796" max="1796" width="14.88671875" style="21" customWidth="1"/>
    <col min="1797" max="1797" width="13.5546875" style="21" customWidth="1"/>
    <col min="1798" max="1798" width="3.109375" style="21" customWidth="1"/>
    <col min="1799" max="1800" width="4.88671875" style="21" customWidth="1"/>
    <col min="1801" max="1801" width="12.5546875" style="21" customWidth="1"/>
    <col min="1802" max="1802" width="1.109375" style="21" customWidth="1"/>
    <col min="1803" max="1803" width="17.33203125" style="21" customWidth="1"/>
    <col min="1804" max="1804" width="11.88671875" style="21" customWidth="1"/>
    <col min="1805" max="1805" width="19.88671875" style="21" customWidth="1"/>
    <col min="1806" max="1806" width="12.5546875" style="21" customWidth="1"/>
    <col min="1807" max="1807" width="11.5546875" style="21"/>
    <col min="1808" max="1808" width="8.88671875" style="21" customWidth="1"/>
    <col min="1809" max="1809" width="10.33203125" style="21" customWidth="1"/>
    <col min="1810" max="1810" width="10" style="21" customWidth="1"/>
    <col min="1811" max="1811" width="8.109375" style="21" customWidth="1"/>
    <col min="1812" max="1819" width="10.6640625" style="21" customWidth="1"/>
    <col min="1820" max="1820" width="8.44140625" style="21" customWidth="1"/>
    <col min="1821" max="1821" width="10" style="21" customWidth="1"/>
    <col min="1822" max="1822" width="7.33203125" style="21" customWidth="1"/>
    <col min="1823" max="1823" width="9.44140625" style="21" customWidth="1"/>
    <col min="1824" max="1824" width="8.6640625" style="21" customWidth="1"/>
    <col min="1825" max="1825" width="17.109375" style="21" customWidth="1"/>
    <col min="1826" max="1826" width="26.33203125" style="21" customWidth="1"/>
    <col min="1827" max="2050" width="11.5546875" style="21"/>
    <col min="2051" max="2051" width="7.33203125" style="21" customWidth="1"/>
    <col min="2052" max="2052" width="14.88671875" style="21" customWidth="1"/>
    <col min="2053" max="2053" width="13.5546875" style="21" customWidth="1"/>
    <col min="2054" max="2054" width="3.109375" style="21" customWidth="1"/>
    <col min="2055" max="2056" width="4.88671875" style="21" customWidth="1"/>
    <col min="2057" max="2057" width="12.5546875" style="21" customWidth="1"/>
    <col min="2058" max="2058" width="1.109375" style="21" customWidth="1"/>
    <col min="2059" max="2059" width="17.33203125" style="21" customWidth="1"/>
    <col min="2060" max="2060" width="11.88671875" style="21" customWidth="1"/>
    <col min="2061" max="2061" width="19.88671875" style="21" customWidth="1"/>
    <col min="2062" max="2062" width="12.5546875" style="21" customWidth="1"/>
    <col min="2063" max="2063" width="11.5546875" style="21"/>
    <col min="2064" max="2064" width="8.88671875" style="21" customWidth="1"/>
    <col min="2065" max="2065" width="10.33203125" style="21" customWidth="1"/>
    <col min="2066" max="2066" width="10" style="21" customWidth="1"/>
    <col min="2067" max="2067" width="8.109375" style="21" customWidth="1"/>
    <col min="2068" max="2075" width="10.6640625" style="21" customWidth="1"/>
    <col min="2076" max="2076" width="8.44140625" style="21" customWidth="1"/>
    <col min="2077" max="2077" width="10" style="21" customWidth="1"/>
    <col min="2078" max="2078" width="7.33203125" style="21" customWidth="1"/>
    <col min="2079" max="2079" width="9.44140625" style="21" customWidth="1"/>
    <col min="2080" max="2080" width="8.6640625" style="21" customWidth="1"/>
    <col min="2081" max="2081" width="17.109375" style="21" customWidth="1"/>
    <col min="2082" max="2082" width="26.33203125" style="21" customWidth="1"/>
    <col min="2083" max="2306" width="11.5546875" style="21"/>
    <col min="2307" max="2307" width="7.33203125" style="21" customWidth="1"/>
    <col min="2308" max="2308" width="14.88671875" style="21" customWidth="1"/>
    <col min="2309" max="2309" width="13.5546875" style="21" customWidth="1"/>
    <col min="2310" max="2310" width="3.109375" style="21" customWidth="1"/>
    <col min="2311" max="2312" width="4.88671875" style="21" customWidth="1"/>
    <col min="2313" max="2313" width="12.5546875" style="21" customWidth="1"/>
    <col min="2314" max="2314" width="1.109375" style="21" customWidth="1"/>
    <col min="2315" max="2315" width="17.33203125" style="21" customWidth="1"/>
    <col min="2316" max="2316" width="11.88671875" style="21" customWidth="1"/>
    <col min="2317" max="2317" width="19.88671875" style="21" customWidth="1"/>
    <col min="2318" max="2318" width="12.5546875" style="21" customWidth="1"/>
    <col min="2319" max="2319" width="11.5546875" style="21"/>
    <col min="2320" max="2320" width="8.88671875" style="21" customWidth="1"/>
    <col min="2321" max="2321" width="10.33203125" style="21" customWidth="1"/>
    <col min="2322" max="2322" width="10" style="21" customWidth="1"/>
    <col min="2323" max="2323" width="8.109375" style="21" customWidth="1"/>
    <col min="2324" max="2331" width="10.6640625" style="21" customWidth="1"/>
    <col min="2332" max="2332" width="8.44140625" style="21" customWidth="1"/>
    <col min="2333" max="2333" width="10" style="21" customWidth="1"/>
    <col min="2334" max="2334" width="7.33203125" style="21" customWidth="1"/>
    <col min="2335" max="2335" width="9.44140625" style="21" customWidth="1"/>
    <col min="2336" max="2336" width="8.6640625" style="21" customWidth="1"/>
    <col min="2337" max="2337" width="17.109375" style="21" customWidth="1"/>
    <col min="2338" max="2338" width="26.33203125" style="21" customWidth="1"/>
    <col min="2339" max="2562" width="11.5546875" style="21"/>
    <col min="2563" max="2563" width="7.33203125" style="21" customWidth="1"/>
    <col min="2564" max="2564" width="14.88671875" style="21" customWidth="1"/>
    <col min="2565" max="2565" width="13.5546875" style="21" customWidth="1"/>
    <col min="2566" max="2566" width="3.109375" style="21" customWidth="1"/>
    <col min="2567" max="2568" width="4.88671875" style="21" customWidth="1"/>
    <col min="2569" max="2569" width="12.5546875" style="21" customWidth="1"/>
    <col min="2570" max="2570" width="1.109375" style="21" customWidth="1"/>
    <col min="2571" max="2571" width="17.33203125" style="21" customWidth="1"/>
    <col min="2572" max="2572" width="11.88671875" style="21" customWidth="1"/>
    <col min="2573" max="2573" width="19.88671875" style="21" customWidth="1"/>
    <col min="2574" max="2574" width="12.5546875" style="21" customWidth="1"/>
    <col min="2575" max="2575" width="11.5546875" style="21"/>
    <col min="2576" max="2576" width="8.88671875" style="21" customWidth="1"/>
    <col min="2577" max="2577" width="10.33203125" style="21" customWidth="1"/>
    <col min="2578" max="2578" width="10" style="21" customWidth="1"/>
    <col min="2579" max="2579" width="8.109375" style="21" customWidth="1"/>
    <col min="2580" max="2587" width="10.6640625" style="21" customWidth="1"/>
    <col min="2588" max="2588" width="8.44140625" style="21" customWidth="1"/>
    <col min="2589" max="2589" width="10" style="21" customWidth="1"/>
    <col min="2590" max="2590" width="7.33203125" style="21" customWidth="1"/>
    <col min="2591" max="2591" width="9.44140625" style="21" customWidth="1"/>
    <col min="2592" max="2592" width="8.6640625" style="21" customWidth="1"/>
    <col min="2593" max="2593" width="17.109375" style="21" customWidth="1"/>
    <col min="2594" max="2594" width="26.33203125" style="21" customWidth="1"/>
    <col min="2595" max="2818" width="11.5546875" style="21"/>
    <col min="2819" max="2819" width="7.33203125" style="21" customWidth="1"/>
    <col min="2820" max="2820" width="14.88671875" style="21" customWidth="1"/>
    <col min="2821" max="2821" width="13.5546875" style="21" customWidth="1"/>
    <col min="2822" max="2822" width="3.109375" style="21" customWidth="1"/>
    <col min="2823" max="2824" width="4.88671875" style="21" customWidth="1"/>
    <col min="2825" max="2825" width="12.5546875" style="21" customWidth="1"/>
    <col min="2826" max="2826" width="1.109375" style="21" customWidth="1"/>
    <col min="2827" max="2827" width="17.33203125" style="21" customWidth="1"/>
    <col min="2828" max="2828" width="11.88671875" style="21" customWidth="1"/>
    <col min="2829" max="2829" width="19.88671875" style="21" customWidth="1"/>
    <col min="2830" max="2830" width="12.5546875" style="21" customWidth="1"/>
    <col min="2831" max="2831" width="11.5546875" style="21"/>
    <col min="2832" max="2832" width="8.88671875" style="21" customWidth="1"/>
    <col min="2833" max="2833" width="10.33203125" style="21" customWidth="1"/>
    <col min="2834" max="2834" width="10" style="21" customWidth="1"/>
    <col min="2835" max="2835" width="8.109375" style="21" customWidth="1"/>
    <col min="2836" max="2843" width="10.6640625" style="21" customWidth="1"/>
    <col min="2844" max="2844" width="8.44140625" style="21" customWidth="1"/>
    <col min="2845" max="2845" width="10" style="21" customWidth="1"/>
    <col min="2846" max="2846" width="7.33203125" style="21" customWidth="1"/>
    <col min="2847" max="2847" width="9.44140625" style="21" customWidth="1"/>
    <col min="2848" max="2848" width="8.6640625" style="21" customWidth="1"/>
    <col min="2849" max="2849" width="17.109375" style="21" customWidth="1"/>
    <col min="2850" max="2850" width="26.33203125" style="21" customWidth="1"/>
    <col min="2851" max="3074" width="11.5546875" style="21"/>
    <col min="3075" max="3075" width="7.33203125" style="21" customWidth="1"/>
    <col min="3076" max="3076" width="14.88671875" style="21" customWidth="1"/>
    <col min="3077" max="3077" width="13.5546875" style="21" customWidth="1"/>
    <col min="3078" max="3078" width="3.109375" style="21" customWidth="1"/>
    <col min="3079" max="3080" width="4.88671875" style="21" customWidth="1"/>
    <col min="3081" max="3081" width="12.5546875" style="21" customWidth="1"/>
    <col min="3082" max="3082" width="1.109375" style="21" customWidth="1"/>
    <col min="3083" max="3083" width="17.33203125" style="21" customWidth="1"/>
    <col min="3084" max="3084" width="11.88671875" style="21" customWidth="1"/>
    <col min="3085" max="3085" width="19.88671875" style="21" customWidth="1"/>
    <col min="3086" max="3086" width="12.5546875" style="21" customWidth="1"/>
    <col min="3087" max="3087" width="11.5546875" style="21"/>
    <col min="3088" max="3088" width="8.88671875" style="21" customWidth="1"/>
    <col min="3089" max="3089" width="10.33203125" style="21" customWidth="1"/>
    <col min="3090" max="3090" width="10" style="21" customWidth="1"/>
    <col min="3091" max="3091" width="8.109375" style="21" customWidth="1"/>
    <col min="3092" max="3099" width="10.6640625" style="21" customWidth="1"/>
    <col min="3100" max="3100" width="8.44140625" style="21" customWidth="1"/>
    <col min="3101" max="3101" width="10" style="21" customWidth="1"/>
    <col min="3102" max="3102" width="7.33203125" style="21" customWidth="1"/>
    <col min="3103" max="3103" width="9.44140625" style="21" customWidth="1"/>
    <col min="3104" max="3104" width="8.6640625" style="21" customWidth="1"/>
    <col min="3105" max="3105" width="17.109375" style="21" customWidth="1"/>
    <col min="3106" max="3106" width="26.33203125" style="21" customWidth="1"/>
    <col min="3107" max="3330" width="11.5546875" style="21"/>
    <col min="3331" max="3331" width="7.33203125" style="21" customWidth="1"/>
    <col min="3332" max="3332" width="14.88671875" style="21" customWidth="1"/>
    <col min="3333" max="3333" width="13.5546875" style="21" customWidth="1"/>
    <col min="3334" max="3334" width="3.109375" style="21" customWidth="1"/>
    <col min="3335" max="3336" width="4.88671875" style="21" customWidth="1"/>
    <col min="3337" max="3337" width="12.5546875" style="21" customWidth="1"/>
    <col min="3338" max="3338" width="1.109375" style="21" customWidth="1"/>
    <col min="3339" max="3339" width="17.33203125" style="21" customWidth="1"/>
    <col min="3340" max="3340" width="11.88671875" style="21" customWidth="1"/>
    <col min="3341" max="3341" width="19.88671875" style="21" customWidth="1"/>
    <col min="3342" max="3342" width="12.5546875" style="21" customWidth="1"/>
    <col min="3343" max="3343" width="11.5546875" style="21"/>
    <col min="3344" max="3344" width="8.88671875" style="21" customWidth="1"/>
    <col min="3345" max="3345" width="10.33203125" style="21" customWidth="1"/>
    <col min="3346" max="3346" width="10" style="21" customWidth="1"/>
    <col min="3347" max="3347" width="8.109375" style="21" customWidth="1"/>
    <col min="3348" max="3355" width="10.6640625" style="21" customWidth="1"/>
    <col min="3356" max="3356" width="8.44140625" style="21" customWidth="1"/>
    <col min="3357" max="3357" width="10" style="21" customWidth="1"/>
    <col min="3358" max="3358" width="7.33203125" style="21" customWidth="1"/>
    <col min="3359" max="3359" width="9.44140625" style="21" customWidth="1"/>
    <col min="3360" max="3360" width="8.6640625" style="21" customWidth="1"/>
    <col min="3361" max="3361" width="17.109375" style="21" customWidth="1"/>
    <col min="3362" max="3362" width="26.33203125" style="21" customWidth="1"/>
    <col min="3363" max="3586" width="11.5546875" style="21"/>
    <col min="3587" max="3587" width="7.33203125" style="21" customWidth="1"/>
    <col min="3588" max="3588" width="14.88671875" style="21" customWidth="1"/>
    <col min="3589" max="3589" width="13.5546875" style="21" customWidth="1"/>
    <col min="3590" max="3590" width="3.109375" style="21" customWidth="1"/>
    <col min="3591" max="3592" width="4.88671875" style="21" customWidth="1"/>
    <col min="3593" max="3593" width="12.5546875" style="21" customWidth="1"/>
    <col min="3594" max="3594" width="1.109375" style="21" customWidth="1"/>
    <col min="3595" max="3595" width="17.33203125" style="21" customWidth="1"/>
    <col min="3596" max="3596" width="11.88671875" style="21" customWidth="1"/>
    <col min="3597" max="3597" width="19.88671875" style="21" customWidth="1"/>
    <col min="3598" max="3598" width="12.5546875" style="21" customWidth="1"/>
    <col min="3599" max="3599" width="11.5546875" style="21"/>
    <col min="3600" max="3600" width="8.88671875" style="21" customWidth="1"/>
    <col min="3601" max="3601" width="10.33203125" style="21" customWidth="1"/>
    <col min="3602" max="3602" width="10" style="21" customWidth="1"/>
    <col min="3603" max="3603" width="8.109375" style="21" customWidth="1"/>
    <col min="3604" max="3611" width="10.6640625" style="21" customWidth="1"/>
    <col min="3612" max="3612" width="8.44140625" style="21" customWidth="1"/>
    <col min="3613" max="3613" width="10" style="21" customWidth="1"/>
    <col min="3614" max="3614" width="7.33203125" style="21" customWidth="1"/>
    <col min="3615" max="3615" width="9.44140625" style="21" customWidth="1"/>
    <col min="3616" max="3616" width="8.6640625" style="21" customWidth="1"/>
    <col min="3617" max="3617" width="17.109375" style="21" customWidth="1"/>
    <col min="3618" max="3618" width="26.33203125" style="21" customWidth="1"/>
    <col min="3619" max="3842" width="11.5546875" style="21"/>
    <col min="3843" max="3843" width="7.33203125" style="21" customWidth="1"/>
    <col min="3844" max="3844" width="14.88671875" style="21" customWidth="1"/>
    <col min="3845" max="3845" width="13.5546875" style="21" customWidth="1"/>
    <col min="3846" max="3846" width="3.109375" style="21" customWidth="1"/>
    <col min="3847" max="3848" width="4.88671875" style="21" customWidth="1"/>
    <col min="3849" max="3849" width="12.5546875" style="21" customWidth="1"/>
    <col min="3850" max="3850" width="1.109375" style="21" customWidth="1"/>
    <col min="3851" max="3851" width="17.33203125" style="21" customWidth="1"/>
    <col min="3852" max="3852" width="11.88671875" style="21" customWidth="1"/>
    <col min="3853" max="3853" width="19.88671875" style="21" customWidth="1"/>
    <col min="3854" max="3854" width="12.5546875" style="21" customWidth="1"/>
    <col min="3855" max="3855" width="11.5546875" style="21"/>
    <col min="3856" max="3856" width="8.88671875" style="21" customWidth="1"/>
    <col min="3857" max="3857" width="10.33203125" style="21" customWidth="1"/>
    <col min="3858" max="3858" width="10" style="21" customWidth="1"/>
    <col min="3859" max="3859" width="8.109375" style="21" customWidth="1"/>
    <col min="3860" max="3867" width="10.6640625" style="21" customWidth="1"/>
    <col min="3868" max="3868" width="8.44140625" style="21" customWidth="1"/>
    <col min="3869" max="3869" width="10" style="21" customWidth="1"/>
    <col min="3870" max="3870" width="7.33203125" style="21" customWidth="1"/>
    <col min="3871" max="3871" width="9.44140625" style="21" customWidth="1"/>
    <col min="3872" max="3872" width="8.6640625" style="21" customWidth="1"/>
    <col min="3873" max="3873" width="17.109375" style="21" customWidth="1"/>
    <col min="3874" max="3874" width="26.33203125" style="21" customWidth="1"/>
    <col min="3875" max="4098" width="11.5546875" style="21"/>
    <col min="4099" max="4099" width="7.33203125" style="21" customWidth="1"/>
    <col min="4100" max="4100" width="14.88671875" style="21" customWidth="1"/>
    <col min="4101" max="4101" width="13.5546875" style="21" customWidth="1"/>
    <col min="4102" max="4102" width="3.109375" style="21" customWidth="1"/>
    <col min="4103" max="4104" width="4.88671875" style="21" customWidth="1"/>
    <col min="4105" max="4105" width="12.5546875" style="21" customWidth="1"/>
    <col min="4106" max="4106" width="1.109375" style="21" customWidth="1"/>
    <col min="4107" max="4107" width="17.33203125" style="21" customWidth="1"/>
    <col min="4108" max="4108" width="11.88671875" style="21" customWidth="1"/>
    <col min="4109" max="4109" width="19.88671875" style="21" customWidth="1"/>
    <col min="4110" max="4110" width="12.5546875" style="21" customWidth="1"/>
    <col min="4111" max="4111" width="11.5546875" style="21"/>
    <col min="4112" max="4112" width="8.88671875" style="21" customWidth="1"/>
    <col min="4113" max="4113" width="10.33203125" style="21" customWidth="1"/>
    <col min="4114" max="4114" width="10" style="21" customWidth="1"/>
    <col min="4115" max="4115" width="8.109375" style="21" customWidth="1"/>
    <col min="4116" max="4123" width="10.6640625" style="21" customWidth="1"/>
    <col min="4124" max="4124" width="8.44140625" style="21" customWidth="1"/>
    <col min="4125" max="4125" width="10" style="21" customWidth="1"/>
    <col min="4126" max="4126" width="7.33203125" style="21" customWidth="1"/>
    <col min="4127" max="4127" width="9.44140625" style="21" customWidth="1"/>
    <col min="4128" max="4128" width="8.6640625" style="21" customWidth="1"/>
    <col min="4129" max="4129" width="17.109375" style="21" customWidth="1"/>
    <col min="4130" max="4130" width="26.33203125" style="21" customWidth="1"/>
    <col min="4131" max="4354" width="11.5546875" style="21"/>
    <col min="4355" max="4355" width="7.33203125" style="21" customWidth="1"/>
    <col min="4356" max="4356" width="14.88671875" style="21" customWidth="1"/>
    <col min="4357" max="4357" width="13.5546875" style="21" customWidth="1"/>
    <col min="4358" max="4358" width="3.109375" style="21" customWidth="1"/>
    <col min="4359" max="4360" width="4.88671875" style="21" customWidth="1"/>
    <col min="4361" max="4361" width="12.5546875" style="21" customWidth="1"/>
    <col min="4362" max="4362" width="1.109375" style="21" customWidth="1"/>
    <col min="4363" max="4363" width="17.33203125" style="21" customWidth="1"/>
    <col min="4364" max="4364" width="11.88671875" style="21" customWidth="1"/>
    <col min="4365" max="4365" width="19.88671875" style="21" customWidth="1"/>
    <col min="4366" max="4366" width="12.5546875" style="21" customWidth="1"/>
    <col min="4367" max="4367" width="11.5546875" style="21"/>
    <col min="4368" max="4368" width="8.88671875" style="21" customWidth="1"/>
    <col min="4369" max="4369" width="10.33203125" style="21" customWidth="1"/>
    <col min="4370" max="4370" width="10" style="21" customWidth="1"/>
    <col min="4371" max="4371" width="8.109375" style="21" customWidth="1"/>
    <col min="4372" max="4379" width="10.6640625" style="21" customWidth="1"/>
    <col min="4380" max="4380" width="8.44140625" style="21" customWidth="1"/>
    <col min="4381" max="4381" width="10" style="21" customWidth="1"/>
    <col min="4382" max="4382" width="7.33203125" style="21" customWidth="1"/>
    <col min="4383" max="4383" width="9.44140625" style="21" customWidth="1"/>
    <col min="4384" max="4384" width="8.6640625" style="21" customWidth="1"/>
    <col min="4385" max="4385" width="17.109375" style="21" customWidth="1"/>
    <col min="4386" max="4386" width="26.33203125" style="21" customWidth="1"/>
    <col min="4387" max="4610" width="11.5546875" style="21"/>
    <col min="4611" max="4611" width="7.33203125" style="21" customWidth="1"/>
    <col min="4612" max="4612" width="14.88671875" style="21" customWidth="1"/>
    <col min="4613" max="4613" width="13.5546875" style="21" customWidth="1"/>
    <col min="4614" max="4614" width="3.109375" style="21" customWidth="1"/>
    <col min="4615" max="4616" width="4.88671875" style="21" customWidth="1"/>
    <col min="4617" max="4617" width="12.5546875" style="21" customWidth="1"/>
    <col min="4618" max="4618" width="1.109375" style="21" customWidth="1"/>
    <col min="4619" max="4619" width="17.33203125" style="21" customWidth="1"/>
    <col min="4620" max="4620" width="11.88671875" style="21" customWidth="1"/>
    <col min="4621" max="4621" width="19.88671875" style="21" customWidth="1"/>
    <col min="4622" max="4622" width="12.5546875" style="21" customWidth="1"/>
    <col min="4623" max="4623" width="11.5546875" style="21"/>
    <col min="4624" max="4624" width="8.88671875" style="21" customWidth="1"/>
    <col min="4625" max="4625" width="10.33203125" style="21" customWidth="1"/>
    <col min="4626" max="4626" width="10" style="21" customWidth="1"/>
    <col min="4627" max="4627" width="8.109375" style="21" customWidth="1"/>
    <col min="4628" max="4635" width="10.6640625" style="21" customWidth="1"/>
    <col min="4636" max="4636" width="8.44140625" style="21" customWidth="1"/>
    <col min="4637" max="4637" width="10" style="21" customWidth="1"/>
    <col min="4638" max="4638" width="7.33203125" style="21" customWidth="1"/>
    <col min="4639" max="4639" width="9.44140625" style="21" customWidth="1"/>
    <col min="4640" max="4640" width="8.6640625" style="21" customWidth="1"/>
    <col min="4641" max="4641" width="17.109375" style="21" customWidth="1"/>
    <col min="4642" max="4642" width="26.33203125" style="21" customWidth="1"/>
    <col min="4643" max="4866" width="11.5546875" style="21"/>
    <col min="4867" max="4867" width="7.33203125" style="21" customWidth="1"/>
    <col min="4868" max="4868" width="14.88671875" style="21" customWidth="1"/>
    <col min="4869" max="4869" width="13.5546875" style="21" customWidth="1"/>
    <col min="4870" max="4870" width="3.109375" style="21" customWidth="1"/>
    <col min="4871" max="4872" width="4.88671875" style="21" customWidth="1"/>
    <col min="4873" max="4873" width="12.5546875" style="21" customWidth="1"/>
    <col min="4874" max="4874" width="1.109375" style="21" customWidth="1"/>
    <col min="4875" max="4875" width="17.33203125" style="21" customWidth="1"/>
    <col min="4876" max="4876" width="11.88671875" style="21" customWidth="1"/>
    <col min="4877" max="4877" width="19.88671875" style="21" customWidth="1"/>
    <col min="4878" max="4878" width="12.5546875" style="21" customWidth="1"/>
    <col min="4879" max="4879" width="11.5546875" style="21"/>
    <col min="4880" max="4880" width="8.88671875" style="21" customWidth="1"/>
    <col min="4881" max="4881" width="10.33203125" style="21" customWidth="1"/>
    <col min="4882" max="4882" width="10" style="21" customWidth="1"/>
    <col min="4883" max="4883" width="8.109375" style="21" customWidth="1"/>
    <col min="4884" max="4891" width="10.6640625" style="21" customWidth="1"/>
    <col min="4892" max="4892" width="8.44140625" style="21" customWidth="1"/>
    <col min="4893" max="4893" width="10" style="21" customWidth="1"/>
    <col min="4894" max="4894" width="7.33203125" style="21" customWidth="1"/>
    <col min="4895" max="4895" width="9.44140625" style="21" customWidth="1"/>
    <col min="4896" max="4896" width="8.6640625" style="21" customWidth="1"/>
    <col min="4897" max="4897" width="17.109375" style="21" customWidth="1"/>
    <col min="4898" max="4898" width="26.33203125" style="21" customWidth="1"/>
    <col min="4899" max="5122" width="11.5546875" style="21"/>
    <col min="5123" max="5123" width="7.33203125" style="21" customWidth="1"/>
    <col min="5124" max="5124" width="14.88671875" style="21" customWidth="1"/>
    <col min="5125" max="5125" width="13.5546875" style="21" customWidth="1"/>
    <col min="5126" max="5126" width="3.109375" style="21" customWidth="1"/>
    <col min="5127" max="5128" width="4.88671875" style="21" customWidth="1"/>
    <col min="5129" max="5129" width="12.5546875" style="21" customWidth="1"/>
    <col min="5130" max="5130" width="1.109375" style="21" customWidth="1"/>
    <col min="5131" max="5131" width="17.33203125" style="21" customWidth="1"/>
    <col min="5132" max="5132" width="11.88671875" style="21" customWidth="1"/>
    <col min="5133" max="5133" width="19.88671875" style="21" customWidth="1"/>
    <col min="5134" max="5134" width="12.5546875" style="21" customWidth="1"/>
    <col min="5135" max="5135" width="11.5546875" style="21"/>
    <col min="5136" max="5136" width="8.88671875" style="21" customWidth="1"/>
    <col min="5137" max="5137" width="10.33203125" style="21" customWidth="1"/>
    <col min="5138" max="5138" width="10" style="21" customWidth="1"/>
    <col min="5139" max="5139" width="8.109375" style="21" customWidth="1"/>
    <col min="5140" max="5147" width="10.6640625" style="21" customWidth="1"/>
    <col min="5148" max="5148" width="8.44140625" style="21" customWidth="1"/>
    <col min="5149" max="5149" width="10" style="21" customWidth="1"/>
    <col min="5150" max="5150" width="7.33203125" style="21" customWidth="1"/>
    <col min="5151" max="5151" width="9.44140625" style="21" customWidth="1"/>
    <col min="5152" max="5152" width="8.6640625" style="21" customWidth="1"/>
    <col min="5153" max="5153" width="17.109375" style="21" customWidth="1"/>
    <col min="5154" max="5154" width="26.33203125" style="21" customWidth="1"/>
    <col min="5155" max="5378" width="11.5546875" style="21"/>
    <col min="5379" max="5379" width="7.33203125" style="21" customWidth="1"/>
    <col min="5380" max="5380" width="14.88671875" style="21" customWidth="1"/>
    <col min="5381" max="5381" width="13.5546875" style="21" customWidth="1"/>
    <col min="5382" max="5382" width="3.109375" style="21" customWidth="1"/>
    <col min="5383" max="5384" width="4.88671875" style="21" customWidth="1"/>
    <col min="5385" max="5385" width="12.5546875" style="21" customWidth="1"/>
    <col min="5386" max="5386" width="1.109375" style="21" customWidth="1"/>
    <col min="5387" max="5387" width="17.33203125" style="21" customWidth="1"/>
    <col min="5388" max="5388" width="11.88671875" style="21" customWidth="1"/>
    <col min="5389" max="5389" width="19.88671875" style="21" customWidth="1"/>
    <col min="5390" max="5390" width="12.5546875" style="21" customWidth="1"/>
    <col min="5391" max="5391" width="11.5546875" style="21"/>
    <col min="5392" max="5392" width="8.88671875" style="21" customWidth="1"/>
    <col min="5393" max="5393" width="10.33203125" style="21" customWidth="1"/>
    <col min="5394" max="5394" width="10" style="21" customWidth="1"/>
    <col min="5395" max="5395" width="8.109375" style="21" customWidth="1"/>
    <col min="5396" max="5403" width="10.6640625" style="21" customWidth="1"/>
    <col min="5404" max="5404" width="8.44140625" style="21" customWidth="1"/>
    <col min="5405" max="5405" width="10" style="21" customWidth="1"/>
    <col min="5406" max="5406" width="7.33203125" style="21" customWidth="1"/>
    <col min="5407" max="5407" width="9.44140625" style="21" customWidth="1"/>
    <col min="5408" max="5408" width="8.6640625" style="21" customWidth="1"/>
    <col min="5409" max="5409" width="17.109375" style="21" customWidth="1"/>
    <col min="5410" max="5410" width="26.33203125" style="21" customWidth="1"/>
    <col min="5411" max="5634" width="11.5546875" style="21"/>
    <col min="5635" max="5635" width="7.33203125" style="21" customWidth="1"/>
    <col min="5636" max="5636" width="14.88671875" style="21" customWidth="1"/>
    <col min="5637" max="5637" width="13.5546875" style="21" customWidth="1"/>
    <col min="5638" max="5638" width="3.109375" style="21" customWidth="1"/>
    <col min="5639" max="5640" width="4.88671875" style="21" customWidth="1"/>
    <col min="5641" max="5641" width="12.5546875" style="21" customWidth="1"/>
    <col min="5642" max="5642" width="1.109375" style="21" customWidth="1"/>
    <col min="5643" max="5643" width="17.33203125" style="21" customWidth="1"/>
    <col min="5644" max="5644" width="11.88671875" style="21" customWidth="1"/>
    <col min="5645" max="5645" width="19.88671875" style="21" customWidth="1"/>
    <col min="5646" max="5646" width="12.5546875" style="21" customWidth="1"/>
    <col min="5647" max="5647" width="11.5546875" style="21"/>
    <col min="5648" max="5648" width="8.88671875" style="21" customWidth="1"/>
    <col min="5649" max="5649" width="10.33203125" style="21" customWidth="1"/>
    <col min="5650" max="5650" width="10" style="21" customWidth="1"/>
    <col min="5651" max="5651" width="8.109375" style="21" customWidth="1"/>
    <col min="5652" max="5659" width="10.6640625" style="21" customWidth="1"/>
    <col min="5660" max="5660" width="8.44140625" style="21" customWidth="1"/>
    <col min="5661" max="5661" width="10" style="21" customWidth="1"/>
    <col min="5662" max="5662" width="7.33203125" style="21" customWidth="1"/>
    <col min="5663" max="5663" width="9.44140625" style="21" customWidth="1"/>
    <col min="5664" max="5664" width="8.6640625" style="21" customWidth="1"/>
    <col min="5665" max="5665" width="17.109375" style="21" customWidth="1"/>
    <col min="5666" max="5666" width="26.33203125" style="21" customWidth="1"/>
    <col min="5667" max="5890" width="11.5546875" style="21"/>
    <col min="5891" max="5891" width="7.33203125" style="21" customWidth="1"/>
    <col min="5892" max="5892" width="14.88671875" style="21" customWidth="1"/>
    <col min="5893" max="5893" width="13.5546875" style="21" customWidth="1"/>
    <col min="5894" max="5894" width="3.109375" style="21" customWidth="1"/>
    <col min="5895" max="5896" width="4.88671875" style="21" customWidth="1"/>
    <col min="5897" max="5897" width="12.5546875" style="21" customWidth="1"/>
    <col min="5898" max="5898" width="1.109375" style="21" customWidth="1"/>
    <col min="5899" max="5899" width="17.33203125" style="21" customWidth="1"/>
    <col min="5900" max="5900" width="11.88671875" style="21" customWidth="1"/>
    <col min="5901" max="5901" width="19.88671875" style="21" customWidth="1"/>
    <col min="5902" max="5902" width="12.5546875" style="21" customWidth="1"/>
    <col min="5903" max="5903" width="11.5546875" style="21"/>
    <col min="5904" max="5904" width="8.88671875" style="21" customWidth="1"/>
    <col min="5905" max="5905" width="10.33203125" style="21" customWidth="1"/>
    <col min="5906" max="5906" width="10" style="21" customWidth="1"/>
    <col min="5907" max="5907" width="8.109375" style="21" customWidth="1"/>
    <col min="5908" max="5915" width="10.6640625" style="21" customWidth="1"/>
    <col min="5916" max="5916" width="8.44140625" style="21" customWidth="1"/>
    <col min="5917" max="5917" width="10" style="21" customWidth="1"/>
    <col min="5918" max="5918" width="7.33203125" style="21" customWidth="1"/>
    <col min="5919" max="5919" width="9.44140625" style="21" customWidth="1"/>
    <col min="5920" max="5920" width="8.6640625" style="21" customWidth="1"/>
    <col min="5921" max="5921" width="17.109375" style="21" customWidth="1"/>
    <col min="5922" max="5922" width="26.33203125" style="21" customWidth="1"/>
    <col min="5923" max="6146" width="11.5546875" style="21"/>
    <col min="6147" max="6147" width="7.33203125" style="21" customWidth="1"/>
    <col min="6148" max="6148" width="14.88671875" style="21" customWidth="1"/>
    <col min="6149" max="6149" width="13.5546875" style="21" customWidth="1"/>
    <col min="6150" max="6150" width="3.109375" style="21" customWidth="1"/>
    <col min="6151" max="6152" width="4.88671875" style="21" customWidth="1"/>
    <col min="6153" max="6153" width="12.5546875" style="21" customWidth="1"/>
    <col min="6154" max="6154" width="1.109375" style="21" customWidth="1"/>
    <col min="6155" max="6155" width="17.33203125" style="21" customWidth="1"/>
    <col min="6156" max="6156" width="11.88671875" style="21" customWidth="1"/>
    <col min="6157" max="6157" width="19.88671875" style="21" customWidth="1"/>
    <col min="6158" max="6158" width="12.5546875" style="21" customWidth="1"/>
    <col min="6159" max="6159" width="11.5546875" style="21"/>
    <col min="6160" max="6160" width="8.88671875" style="21" customWidth="1"/>
    <col min="6161" max="6161" width="10.33203125" style="21" customWidth="1"/>
    <col min="6162" max="6162" width="10" style="21" customWidth="1"/>
    <col min="6163" max="6163" width="8.109375" style="21" customWidth="1"/>
    <col min="6164" max="6171" width="10.6640625" style="21" customWidth="1"/>
    <col min="6172" max="6172" width="8.44140625" style="21" customWidth="1"/>
    <col min="6173" max="6173" width="10" style="21" customWidth="1"/>
    <col min="6174" max="6174" width="7.33203125" style="21" customWidth="1"/>
    <col min="6175" max="6175" width="9.44140625" style="21" customWidth="1"/>
    <col min="6176" max="6176" width="8.6640625" style="21" customWidth="1"/>
    <col min="6177" max="6177" width="17.109375" style="21" customWidth="1"/>
    <col min="6178" max="6178" width="26.33203125" style="21" customWidth="1"/>
    <col min="6179" max="6402" width="11.5546875" style="21"/>
    <col min="6403" max="6403" width="7.33203125" style="21" customWidth="1"/>
    <col min="6404" max="6404" width="14.88671875" style="21" customWidth="1"/>
    <col min="6405" max="6405" width="13.5546875" style="21" customWidth="1"/>
    <col min="6406" max="6406" width="3.109375" style="21" customWidth="1"/>
    <col min="6407" max="6408" width="4.88671875" style="21" customWidth="1"/>
    <col min="6409" max="6409" width="12.5546875" style="21" customWidth="1"/>
    <col min="6410" max="6410" width="1.109375" style="21" customWidth="1"/>
    <col min="6411" max="6411" width="17.33203125" style="21" customWidth="1"/>
    <col min="6412" max="6412" width="11.88671875" style="21" customWidth="1"/>
    <col min="6413" max="6413" width="19.88671875" style="21" customWidth="1"/>
    <col min="6414" max="6414" width="12.5546875" style="21" customWidth="1"/>
    <col min="6415" max="6415" width="11.5546875" style="21"/>
    <col min="6416" max="6416" width="8.88671875" style="21" customWidth="1"/>
    <col min="6417" max="6417" width="10.33203125" style="21" customWidth="1"/>
    <col min="6418" max="6418" width="10" style="21" customWidth="1"/>
    <col min="6419" max="6419" width="8.109375" style="21" customWidth="1"/>
    <col min="6420" max="6427" width="10.6640625" style="21" customWidth="1"/>
    <col min="6428" max="6428" width="8.44140625" style="21" customWidth="1"/>
    <col min="6429" max="6429" width="10" style="21" customWidth="1"/>
    <col min="6430" max="6430" width="7.33203125" style="21" customWidth="1"/>
    <col min="6431" max="6431" width="9.44140625" style="21" customWidth="1"/>
    <col min="6432" max="6432" width="8.6640625" style="21" customWidth="1"/>
    <col min="6433" max="6433" width="17.109375" style="21" customWidth="1"/>
    <col min="6434" max="6434" width="26.33203125" style="21" customWidth="1"/>
    <col min="6435" max="6658" width="11.5546875" style="21"/>
    <col min="6659" max="6659" width="7.33203125" style="21" customWidth="1"/>
    <col min="6660" max="6660" width="14.88671875" style="21" customWidth="1"/>
    <col min="6661" max="6661" width="13.5546875" style="21" customWidth="1"/>
    <col min="6662" max="6662" width="3.109375" style="21" customWidth="1"/>
    <col min="6663" max="6664" width="4.88671875" style="21" customWidth="1"/>
    <col min="6665" max="6665" width="12.5546875" style="21" customWidth="1"/>
    <col min="6666" max="6666" width="1.109375" style="21" customWidth="1"/>
    <col min="6667" max="6667" width="17.33203125" style="21" customWidth="1"/>
    <col min="6668" max="6668" width="11.88671875" style="21" customWidth="1"/>
    <col min="6669" max="6669" width="19.88671875" style="21" customWidth="1"/>
    <col min="6670" max="6670" width="12.5546875" style="21" customWidth="1"/>
    <col min="6671" max="6671" width="11.5546875" style="21"/>
    <col min="6672" max="6672" width="8.88671875" style="21" customWidth="1"/>
    <col min="6673" max="6673" width="10.33203125" style="21" customWidth="1"/>
    <col min="6674" max="6674" width="10" style="21" customWidth="1"/>
    <col min="6675" max="6675" width="8.109375" style="21" customWidth="1"/>
    <col min="6676" max="6683" width="10.6640625" style="21" customWidth="1"/>
    <col min="6684" max="6684" width="8.44140625" style="21" customWidth="1"/>
    <col min="6685" max="6685" width="10" style="21" customWidth="1"/>
    <col min="6686" max="6686" width="7.33203125" style="21" customWidth="1"/>
    <col min="6687" max="6687" width="9.44140625" style="21" customWidth="1"/>
    <col min="6688" max="6688" width="8.6640625" style="21" customWidth="1"/>
    <col min="6689" max="6689" width="17.109375" style="21" customWidth="1"/>
    <col min="6690" max="6690" width="26.33203125" style="21" customWidth="1"/>
    <col min="6691" max="6914" width="11.5546875" style="21"/>
    <col min="6915" max="6915" width="7.33203125" style="21" customWidth="1"/>
    <col min="6916" max="6916" width="14.88671875" style="21" customWidth="1"/>
    <col min="6917" max="6917" width="13.5546875" style="21" customWidth="1"/>
    <col min="6918" max="6918" width="3.109375" style="21" customWidth="1"/>
    <col min="6919" max="6920" width="4.88671875" style="21" customWidth="1"/>
    <col min="6921" max="6921" width="12.5546875" style="21" customWidth="1"/>
    <col min="6922" max="6922" width="1.109375" style="21" customWidth="1"/>
    <col min="6923" max="6923" width="17.33203125" style="21" customWidth="1"/>
    <col min="6924" max="6924" width="11.88671875" style="21" customWidth="1"/>
    <col min="6925" max="6925" width="19.88671875" style="21" customWidth="1"/>
    <col min="6926" max="6926" width="12.5546875" style="21" customWidth="1"/>
    <col min="6927" max="6927" width="11.5546875" style="21"/>
    <col min="6928" max="6928" width="8.88671875" style="21" customWidth="1"/>
    <col min="6929" max="6929" width="10.33203125" style="21" customWidth="1"/>
    <col min="6930" max="6930" width="10" style="21" customWidth="1"/>
    <col min="6931" max="6931" width="8.109375" style="21" customWidth="1"/>
    <col min="6932" max="6939" width="10.6640625" style="21" customWidth="1"/>
    <col min="6940" max="6940" width="8.44140625" style="21" customWidth="1"/>
    <col min="6941" max="6941" width="10" style="21" customWidth="1"/>
    <col min="6942" max="6942" width="7.33203125" style="21" customWidth="1"/>
    <col min="6943" max="6943" width="9.44140625" style="21" customWidth="1"/>
    <col min="6944" max="6944" width="8.6640625" style="21" customWidth="1"/>
    <col min="6945" max="6945" width="17.109375" style="21" customWidth="1"/>
    <col min="6946" max="6946" width="26.33203125" style="21" customWidth="1"/>
    <col min="6947" max="7170" width="11.5546875" style="21"/>
    <col min="7171" max="7171" width="7.33203125" style="21" customWidth="1"/>
    <col min="7172" max="7172" width="14.88671875" style="21" customWidth="1"/>
    <col min="7173" max="7173" width="13.5546875" style="21" customWidth="1"/>
    <col min="7174" max="7174" width="3.109375" style="21" customWidth="1"/>
    <col min="7175" max="7176" width="4.88671875" style="21" customWidth="1"/>
    <col min="7177" max="7177" width="12.5546875" style="21" customWidth="1"/>
    <col min="7178" max="7178" width="1.109375" style="21" customWidth="1"/>
    <col min="7179" max="7179" width="17.33203125" style="21" customWidth="1"/>
    <col min="7180" max="7180" width="11.88671875" style="21" customWidth="1"/>
    <col min="7181" max="7181" width="19.88671875" style="21" customWidth="1"/>
    <col min="7182" max="7182" width="12.5546875" style="21" customWidth="1"/>
    <col min="7183" max="7183" width="11.5546875" style="21"/>
    <col min="7184" max="7184" width="8.88671875" style="21" customWidth="1"/>
    <col min="7185" max="7185" width="10.33203125" style="21" customWidth="1"/>
    <col min="7186" max="7186" width="10" style="21" customWidth="1"/>
    <col min="7187" max="7187" width="8.109375" style="21" customWidth="1"/>
    <col min="7188" max="7195" width="10.6640625" style="21" customWidth="1"/>
    <col min="7196" max="7196" width="8.44140625" style="21" customWidth="1"/>
    <col min="7197" max="7197" width="10" style="21" customWidth="1"/>
    <col min="7198" max="7198" width="7.33203125" style="21" customWidth="1"/>
    <col min="7199" max="7199" width="9.44140625" style="21" customWidth="1"/>
    <col min="7200" max="7200" width="8.6640625" style="21" customWidth="1"/>
    <col min="7201" max="7201" width="17.109375" style="21" customWidth="1"/>
    <col min="7202" max="7202" width="26.33203125" style="21" customWidth="1"/>
    <col min="7203" max="7426" width="11.5546875" style="21"/>
    <col min="7427" max="7427" width="7.33203125" style="21" customWidth="1"/>
    <col min="7428" max="7428" width="14.88671875" style="21" customWidth="1"/>
    <col min="7429" max="7429" width="13.5546875" style="21" customWidth="1"/>
    <col min="7430" max="7430" width="3.109375" style="21" customWidth="1"/>
    <col min="7431" max="7432" width="4.88671875" style="21" customWidth="1"/>
    <col min="7433" max="7433" width="12.5546875" style="21" customWidth="1"/>
    <col min="7434" max="7434" width="1.109375" style="21" customWidth="1"/>
    <col min="7435" max="7435" width="17.33203125" style="21" customWidth="1"/>
    <col min="7436" max="7436" width="11.88671875" style="21" customWidth="1"/>
    <col min="7437" max="7437" width="19.88671875" style="21" customWidth="1"/>
    <col min="7438" max="7438" width="12.5546875" style="21" customWidth="1"/>
    <col min="7439" max="7439" width="11.5546875" style="21"/>
    <col min="7440" max="7440" width="8.88671875" style="21" customWidth="1"/>
    <col min="7441" max="7441" width="10.33203125" style="21" customWidth="1"/>
    <col min="7442" max="7442" width="10" style="21" customWidth="1"/>
    <col min="7443" max="7443" width="8.109375" style="21" customWidth="1"/>
    <col min="7444" max="7451" width="10.6640625" style="21" customWidth="1"/>
    <col min="7452" max="7452" width="8.44140625" style="21" customWidth="1"/>
    <col min="7453" max="7453" width="10" style="21" customWidth="1"/>
    <col min="7454" max="7454" width="7.33203125" style="21" customWidth="1"/>
    <col min="7455" max="7455" width="9.44140625" style="21" customWidth="1"/>
    <col min="7456" max="7456" width="8.6640625" style="21" customWidth="1"/>
    <col min="7457" max="7457" width="17.109375" style="21" customWidth="1"/>
    <col min="7458" max="7458" width="26.33203125" style="21" customWidth="1"/>
    <col min="7459" max="7682" width="11.5546875" style="21"/>
    <col min="7683" max="7683" width="7.33203125" style="21" customWidth="1"/>
    <col min="7684" max="7684" width="14.88671875" style="21" customWidth="1"/>
    <col min="7685" max="7685" width="13.5546875" style="21" customWidth="1"/>
    <col min="7686" max="7686" width="3.109375" style="21" customWidth="1"/>
    <col min="7687" max="7688" width="4.88671875" style="21" customWidth="1"/>
    <col min="7689" max="7689" width="12.5546875" style="21" customWidth="1"/>
    <col min="7690" max="7690" width="1.109375" style="21" customWidth="1"/>
    <col min="7691" max="7691" width="17.33203125" style="21" customWidth="1"/>
    <col min="7692" max="7692" width="11.88671875" style="21" customWidth="1"/>
    <col min="7693" max="7693" width="19.88671875" style="21" customWidth="1"/>
    <col min="7694" max="7694" width="12.5546875" style="21" customWidth="1"/>
    <col min="7695" max="7695" width="11.5546875" style="21"/>
    <col min="7696" max="7696" width="8.88671875" style="21" customWidth="1"/>
    <col min="7697" max="7697" width="10.33203125" style="21" customWidth="1"/>
    <col min="7698" max="7698" width="10" style="21" customWidth="1"/>
    <col min="7699" max="7699" width="8.109375" style="21" customWidth="1"/>
    <col min="7700" max="7707" width="10.6640625" style="21" customWidth="1"/>
    <col min="7708" max="7708" width="8.44140625" style="21" customWidth="1"/>
    <col min="7709" max="7709" width="10" style="21" customWidth="1"/>
    <col min="7710" max="7710" width="7.33203125" style="21" customWidth="1"/>
    <col min="7711" max="7711" width="9.44140625" style="21" customWidth="1"/>
    <col min="7712" max="7712" width="8.6640625" style="21" customWidth="1"/>
    <col min="7713" max="7713" width="17.109375" style="21" customWidth="1"/>
    <col min="7714" max="7714" width="26.33203125" style="21" customWidth="1"/>
    <col min="7715" max="7938" width="11.5546875" style="21"/>
    <col min="7939" max="7939" width="7.33203125" style="21" customWidth="1"/>
    <col min="7940" max="7940" width="14.88671875" style="21" customWidth="1"/>
    <col min="7941" max="7941" width="13.5546875" style="21" customWidth="1"/>
    <col min="7942" max="7942" width="3.109375" style="21" customWidth="1"/>
    <col min="7943" max="7944" width="4.88671875" style="21" customWidth="1"/>
    <col min="7945" max="7945" width="12.5546875" style="21" customWidth="1"/>
    <col min="7946" max="7946" width="1.109375" style="21" customWidth="1"/>
    <col min="7947" max="7947" width="17.33203125" style="21" customWidth="1"/>
    <col min="7948" max="7948" width="11.88671875" style="21" customWidth="1"/>
    <col min="7949" max="7949" width="19.88671875" style="21" customWidth="1"/>
    <col min="7950" max="7950" width="12.5546875" style="21" customWidth="1"/>
    <col min="7951" max="7951" width="11.5546875" style="21"/>
    <col min="7952" max="7952" width="8.88671875" style="21" customWidth="1"/>
    <col min="7953" max="7953" width="10.33203125" style="21" customWidth="1"/>
    <col min="7954" max="7954" width="10" style="21" customWidth="1"/>
    <col min="7955" max="7955" width="8.109375" style="21" customWidth="1"/>
    <col min="7956" max="7963" width="10.6640625" style="21" customWidth="1"/>
    <col min="7964" max="7964" width="8.44140625" style="21" customWidth="1"/>
    <col min="7965" max="7965" width="10" style="21" customWidth="1"/>
    <col min="7966" max="7966" width="7.33203125" style="21" customWidth="1"/>
    <col min="7967" max="7967" width="9.44140625" style="21" customWidth="1"/>
    <col min="7968" max="7968" width="8.6640625" style="21" customWidth="1"/>
    <col min="7969" max="7969" width="17.109375" style="21" customWidth="1"/>
    <col min="7970" max="7970" width="26.33203125" style="21" customWidth="1"/>
    <col min="7971" max="8194" width="11.5546875" style="21"/>
    <col min="8195" max="8195" width="7.33203125" style="21" customWidth="1"/>
    <col min="8196" max="8196" width="14.88671875" style="21" customWidth="1"/>
    <col min="8197" max="8197" width="13.5546875" style="21" customWidth="1"/>
    <col min="8198" max="8198" width="3.109375" style="21" customWidth="1"/>
    <col min="8199" max="8200" width="4.88671875" style="21" customWidth="1"/>
    <col min="8201" max="8201" width="12.5546875" style="21" customWidth="1"/>
    <col min="8202" max="8202" width="1.109375" style="21" customWidth="1"/>
    <col min="8203" max="8203" width="17.33203125" style="21" customWidth="1"/>
    <col min="8204" max="8204" width="11.88671875" style="21" customWidth="1"/>
    <col min="8205" max="8205" width="19.88671875" style="21" customWidth="1"/>
    <col min="8206" max="8206" width="12.5546875" style="21" customWidth="1"/>
    <col min="8207" max="8207" width="11.5546875" style="21"/>
    <col min="8208" max="8208" width="8.88671875" style="21" customWidth="1"/>
    <col min="8209" max="8209" width="10.33203125" style="21" customWidth="1"/>
    <col min="8210" max="8210" width="10" style="21" customWidth="1"/>
    <col min="8211" max="8211" width="8.109375" style="21" customWidth="1"/>
    <col min="8212" max="8219" width="10.6640625" style="21" customWidth="1"/>
    <col min="8220" max="8220" width="8.44140625" style="21" customWidth="1"/>
    <col min="8221" max="8221" width="10" style="21" customWidth="1"/>
    <col min="8222" max="8222" width="7.33203125" style="21" customWidth="1"/>
    <col min="8223" max="8223" width="9.44140625" style="21" customWidth="1"/>
    <col min="8224" max="8224" width="8.6640625" style="21" customWidth="1"/>
    <col min="8225" max="8225" width="17.109375" style="21" customWidth="1"/>
    <col min="8226" max="8226" width="26.33203125" style="21" customWidth="1"/>
    <col min="8227" max="8450" width="11.5546875" style="21"/>
    <col min="8451" max="8451" width="7.33203125" style="21" customWidth="1"/>
    <col min="8452" max="8452" width="14.88671875" style="21" customWidth="1"/>
    <col min="8453" max="8453" width="13.5546875" style="21" customWidth="1"/>
    <col min="8454" max="8454" width="3.109375" style="21" customWidth="1"/>
    <col min="8455" max="8456" width="4.88671875" style="21" customWidth="1"/>
    <col min="8457" max="8457" width="12.5546875" style="21" customWidth="1"/>
    <col min="8458" max="8458" width="1.109375" style="21" customWidth="1"/>
    <col min="8459" max="8459" width="17.33203125" style="21" customWidth="1"/>
    <col min="8460" max="8460" width="11.88671875" style="21" customWidth="1"/>
    <col min="8461" max="8461" width="19.88671875" style="21" customWidth="1"/>
    <col min="8462" max="8462" width="12.5546875" style="21" customWidth="1"/>
    <col min="8463" max="8463" width="11.5546875" style="21"/>
    <col min="8464" max="8464" width="8.88671875" style="21" customWidth="1"/>
    <col min="8465" max="8465" width="10.33203125" style="21" customWidth="1"/>
    <col min="8466" max="8466" width="10" style="21" customWidth="1"/>
    <col min="8467" max="8467" width="8.109375" style="21" customWidth="1"/>
    <col min="8468" max="8475" width="10.6640625" style="21" customWidth="1"/>
    <col min="8476" max="8476" width="8.44140625" style="21" customWidth="1"/>
    <col min="8477" max="8477" width="10" style="21" customWidth="1"/>
    <col min="8478" max="8478" width="7.33203125" style="21" customWidth="1"/>
    <col min="8479" max="8479" width="9.44140625" style="21" customWidth="1"/>
    <col min="8480" max="8480" width="8.6640625" style="21" customWidth="1"/>
    <col min="8481" max="8481" width="17.109375" style="21" customWidth="1"/>
    <col min="8482" max="8482" width="26.33203125" style="21" customWidth="1"/>
    <col min="8483" max="8706" width="11.5546875" style="21"/>
    <col min="8707" max="8707" width="7.33203125" style="21" customWidth="1"/>
    <col min="8708" max="8708" width="14.88671875" style="21" customWidth="1"/>
    <col min="8709" max="8709" width="13.5546875" style="21" customWidth="1"/>
    <col min="8710" max="8710" width="3.109375" style="21" customWidth="1"/>
    <col min="8711" max="8712" width="4.88671875" style="21" customWidth="1"/>
    <col min="8713" max="8713" width="12.5546875" style="21" customWidth="1"/>
    <col min="8714" max="8714" width="1.109375" style="21" customWidth="1"/>
    <col min="8715" max="8715" width="17.33203125" style="21" customWidth="1"/>
    <col min="8716" max="8716" width="11.88671875" style="21" customWidth="1"/>
    <col min="8717" max="8717" width="19.88671875" style="21" customWidth="1"/>
    <col min="8718" max="8718" width="12.5546875" style="21" customWidth="1"/>
    <col min="8719" max="8719" width="11.5546875" style="21"/>
    <col min="8720" max="8720" width="8.88671875" style="21" customWidth="1"/>
    <col min="8721" max="8721" width="10.33203125" style="21" customWidth="1"/>
    <col min="8722" max="8722" width="10" style="21" customWidth="1"/>
    <col min="8723" max="8723" width="8.109375" style="21" customWidth="1"/>
    <col min="8724" max="8731" width="10.6640625" style="21" customWidth="1"/>
    <col min="8732" max="8732" width="8.44140625" style="21" customWidth="1"/>
    <col min="8733" max="8733" width="10" style="21" customWidth="1"/>
    <col min="8734" max="8734" width="7.33203125" style="21" customWidth="1"/>
    <col min="8735" max="8735" width="9.44140625" style="21" customWidth="1"/>
    <col min="8736" max="8736" width="8.6640625" style="21" customWidth="1"/>
    <col min="8737" max="8737" width="17.109375" style="21" customWidth="1"/>
    <col min="8738" max="8738" width="26.33203125" style="21" customWidth="1"/>
    <col min="8739" max="8962" width="11.5546875" style="21"/>
    <col min="8963" max="8963" width="7.33203125" style="21" customWidth="1"/>
    <col min="8964" max="8964" width="14.88671875" style="21" customWidth="1"/>
    <col min="8965" max="8965" width="13.5546875" style="21" customWidth="1"/>
    <col min="8966" max="8966" width="3.109375" style="21" customWidth="1"/>
    <col min="8967" max="8968" width="4.88671875" style="21" customWidth="1"/>
    <col min="8969" max="8969" width="12.5546875" style="21" customWidth="1"/>
    <col min="8970" max="8970" width="1.109375" style="21" customWidth="1"/>
    <col min="8971" max="8971" width="17.33203125" style="21" customWidth="1"/>
    <col min="8972" max="8972" width="11.88671875" style="21" customWidth="1"/>
    <col min="8973" max="8973" width="19.88671875" style="21" customWidth="1"/>
    <col min="8974" max="8974" width="12.5546875" style="21" customWidth="1"/>
    <col min="8975" max="8975" width="11.5546875" style="21"/>
    <col min="8976" max="8976" width="8.88671875" style="21" customWidth="1"/>
    <col min="8977" max="8977" width="10.33203125" style="21" customWidth="1"/>
    <col min="8978" max="8978" width="10" style="21" customWidth="1"/>
    <col min="8979" max="8979" width="8.109375" style="21" customWidth="1"/>
    <col min="8980" max="8987" width="10.6640625" style="21" customWidth="1"/>
    <col min="8988" max="8988" width="8.44140625" style="21" customWidth="1"/>
    <col min="8989" max="8989" width="10" style="21" customWidth="1"/>
    <col min="8990" max="8990" width="7.33203125" style="21" customWidth="1"/>
    <col min="8991" max="8991" width="9.44140625" style="21" customWidth="1"/>
    <col min="8992" max="8992" width="8.6640625" style="21" customWidth="1"/>
    <col min="8993" max="8993" width="17.109375" style="21" customWidth="1"/>
    <col min="8994" max="8994" width="26.33203125" style="21" customWidth="1"/>
    <col min="8995" max="9218" width="11.5546875" style="21"/>
    <col min="9219" max="9219" width="7.33203125" style="21" customWidth="1"/>
    <col min="9220" max="9220" width="14.88671875" style="21" customWidth="1"/>
    <col min="9221" max="9221" width="13.5546875" style="21" customWidth="1"/>
    <col min="9222" max="9222" width="3.109375" style="21" customWidth="1"/>
    <col min="9223" max="9224" width="4.88671875" style="21" customWidth="1"/>
    <col min="9225" max="9225" width="12.5546875" style="21" customWidth="1"/>
    <col min="9226" max="9226" width="1.109375" style="21" customWidth="1"/>
    <col min="9227" max="9227" width="17.33203125" style="21" customWidth="1"/>
    <col min="9228" max="9228" width="11.88671875" style="21" customWidth="1"/>
    <col min="9229" max="9229" width="19.88671875" style="21" customWidth="1"/>
    <col min="9230" max="9230" width="12.5546875" style="21" customWidth="1"/>
    <col min="9231" max="9231" width="11.5546875" style="21"/>
    <col min="9232" max="9232" width="8.88671875" style="21" customWidth="1"/>
    <col min="9233" max="9233" width="10.33203125" style="21" customWidth="1"/>
    <col min="9234" max="9234" width="10" style="21" customWidth="1"/>
    <col min="9235" max="9235" width="8.109375" style="21" customWidth="1"/>
    <col min="9236" max="9243" width="10.6640625" style="21" customWidth="1"/>
    <col min="9244" max="9244" width="8.44140625" style="21" customWidth="1"/>
    <col min="9245" max="9245" width="10" style="21" customWidth="1"/>
    <col min="9246" max="9246" width="7.33203125" style="21" customWidth="1"/>
    <col min="9247" max="9247" width="9.44140625" style="21" customWidth="1"/>
    <col min="9248" max="9248" width="8.6640625" style="21" customWidth="1"/>
    <col min="9249" max="9249" width="17.109375" style="21" customWidth="1"/>
    <col min="9250" max="9250" width="26.33203125" style="21" customWidth="1"/>
    <col min="9251" max="9474" width="11.5546875" style="21"/>
    <col min="9475" max="9475" width="7.33203125" style="21" customWidth="1"/>
    <col min="9476" max="9476" width="14.88671875" style="21" customWidth="1"/>
    <col min="9477" max="9477" width="13.5546875" style="21" customWidth="1"/>
    <col min="9478" max="9478" width="3.109375" style="21" customWidth="1"/>
    <col min="9479" max="9480" width="4.88671875" style="21" customWidth="1"/>
    <col min="9481" max="9481" width="12.5546875" style="21" customWidth="1"/>
    <col min="9482" max="9482" width="1.109375" style="21" customWidth="1"/>
    <col min="9483" max="9483" width="17.33203125" style="21" customWidth="1"/>
    <col min="9484" max="9484" width="11.88671875" style="21" customWidth="1"/>
    <col min="9485" max="9485" width="19.88671875" style="21" customWidth="1"/>
    <col min="9486" max="9486" width="12.5546875" style="21" customWidth="1"/>
    <col min="9487" max="9487" width="11.5546875" style="21"/>
    <col min="9488" max="9488" width="8.88671875" style="21" customWidth="1"/>
    <col min="9489" max="9489" width="10.33203125" style="21" customWidth="1"/>
    <col min="9490" max="9490" width="10" style="21" customWidth="1"/>
    <col min="9491" max="9491" width="8.109375" style="21" customWidth="1"/>
    <col min="9492" max="9499" width="10.6640625" style="21" customWidth="1"/>
    <col min="9500" max="9500" width="8.44140625" style="21" customWidth="1"/>
    <col min="9501" max="9501" width="10" style="21" customWidth="1"/>
    <col min="9502" max="9502" width="7.33203125" style="21" customWidth="1"/>
    <col min="9503" max="9503" width="9.44140625" style="21" customWidth="1"/>
    <col min="9504" max="9504" width="8.6640625" style="21" customWidth="1"/>
    <col min="9505" max="9505" width="17.109375" style="21" customWidth="1"/>
    <col min="9506" max="9506" width="26.33203125" style="21" customWidth="1"/>
    <col min="9507" max="9730" width="11.5546875" style="21"/>
    <col min="9731" max="9731" width="7.33203125" style="21" customWidth="1"/>
    <col min="9732" max="9732" width="14.88671875" style="21" customWidth="1"/>
    <col min="9733" max="9733" width="13.5546875" style="21" customWidth="1"/>
    <col min="9734" max="9734" width="3.109375" style="21" customWidth="1"/>
    <col min="9735" max="9736" width="4.88671875" style="21" customWidth="1"/>
    <col min="9737" max="9737" width="12.5546875" style="21" customWidth="1"/>
    <col min="9738" max="9738" width="1.109375" style="21" customWidth="1"/>
    <col min="9739" max="9739" width="17.33203125" style="21" customWidth="1"/>
    <col min="9740" max="9740" width="11.88671875" style="21" customWidth="1"/>
    <col min="9741" max="9741" width="19.88671875" style="21" customWidth="1"/>
    <col min="9742" max="9742" width="12.5546875" style="21" customWidth="1"/>
    <col min="9743" max="9743" width="11.5546875" style="21"/>
    <col min="9744" max="9744" width="8.88671875" style="21" customWidth="1"/>
    <col min="9745" max="9745" width="10.33203125" style="21" customWidth="1"/>
    <col min="9746" max="9746" width="10" style="21" customWidth="1"/>
    <col min="9747" max="9747" width="8.109375" style="21" customWidth="1"/>
    <col min="9748" max="9755" width="10.6640625" style="21" customWidth="1"/>
    <col min="9756" max="9756" width="8.44140625" style="21" customWidth="1"/>
    <col min="9757" max="9757" width="10" style="21" customWidth="1"/>
    <col min="9758" max="9758" width="7.33203125" style="21" customWidth="1"/>
    <col min="9759" max="9759" width="9.44140625" style="21" customWidth="1"/>
    <col min="9760" max="9760" width="8.6640625" style="21" customWidth="1"/>
    <col min="9761" max="9761" width="17.109375" style="21" customWidth="1"/>
    <col min="9762" max="9762" width="26.33203125" style="21" customWidth="1"/>
    <col min="9763" max="9986" width="11.5546875" style="21"/>
    <col min="9987" max="9987" width="7.33203125" style="21" customWidth="1"/>
    <col min="9988" max="9988" width="14.88671875" style="21" customWidth="1"/>
    <col min="9989" max="9989" width="13.5546875" style="21" customWidth="1"/>
    <col min="9990" max="9990" width="3.109375" style="21" customWidth="1"/>
    <col min="9991" max="9992" width="4.88671875" style="21" customWidth="1"/>
    <col min="9993" max="9993" width="12.5546875" style="21" customWidth="1"/>
    <col min="9994" max="9994" width="1.109375" style="21" customWidth="1"/>
    <col min="9995" max="9995" width="17.33203125" style="21" customWidth="1"/>
    <col min="9996" max="9996" width="11.88671875" style="21" customWidth="1"/>
    <col min="9997" max="9997" width="19.88671875" style="21" customWidth="1"/>
    <col min="9998" max="9998" width="12.5546875" style="21" customWidth="1"/>
    <col min="9999" max="9999" width="11.5546875" style="21"/>
    <col min="10000" max="10000" width="8.88671875" style="21" customWidth="1"/>
    <col min="10001" max="10001" width="10.33203125" style="21" customWidth="1"/>
    <col min="10002" max="10002" width="10" style="21" customWidth="1"/>
    <col min="10003" max="10003" width="8.109375" style="21" customWidth="1"/>
    <col min="10004" max="10011" width="10.6640625" style="21" customWidth="1"/>
    <col min="10012" max="10012" width="8.44140625" style="21" customWidth="1"/>
    <col min="10013" max="10013" width="10" style="21" customWidth="1"/>
    <col min="10014" max="10014" width="7.33203125" style="21" customWidth="1"/>
    <col min="10015" max="10015" width="9.44140625" style="21" customWidth="1"/>
    <col min="10016" max="10016" width="8.6640625" style="21" customWidth="1"/>
    <col min="10017" max="10017" width="17.109375" style="21" customWidth="1"/>
    <col min="10018" max="10018" width="26.33203125" style="21" customWidth="1"/>
    <col min="10019" max="10242" width="11.5546875" style="21"/>
    <col min="10243" max="10243" width="7.33203125" style="21" customWidth="1"/>
    <col min="10244" max="10244" width="14.88671875" style="21" customWidth="1"/>
    <col min="10245" max="10245" width="13.5546875" style="21" customWidth="1"/>
    <col min="10246" max="10246" width="3.109375" style="21" customWidth="1"/>
    <col min="10247" max="10248" width="4.88671875" style="21" customWidth="1"/>
    <col min="10249" max="10249" width="12.5546875" style="21" customWidth="1"/>
    <col min="10250" max="10250" width="1.109375" style="21" customWidth="1"/>
    <col min="10251" max="10251" width="17.33203125" style="21" customWidth="1"/>
    <col min="10252" max="10252" width="11.88671875" style="21" customWidth="1"/>
    <col min="10253" max="10253" width="19.88671875" style="21" customWidth="1"/>
    <col min="10254" max="10254" width="12.5546875" style="21" customWidth="1"/>
    <col min="10255" max="10255" width="11.5546875" style="21"/>
    <col min="10256" max="10256" width="8.88671875" style="21" customWidth="1"/>
    <col min="10257" max="10257" width="10.33203125" style="21" customWidth="1"/>
    <col min="10258" max="10258" width="10" style="21" customWidth="1"/>
    <col min="10259" max="10259" width="8.109375" style="21" customWidth="1"/>
    <col min="10260" max="10267" width="10.6640625" style="21" customWidth="1"/>
    <col min="10268" max="10268" width="8.44140625" style="21" customWidth="1"/>
    <col min="10269" max="10269" width="10" style="21" customWidth="1"/>
    <col min="10270" max="10270" width="7.33203125" style="21" customWidth="1"/>
    <col min="10271" max="10271" width="9.44140625" style="21" customWidth="1"/>
    <col min="10272" max="10272" width="8.6640625" style="21" customWidth="1"/>
    <col min="10273" max="10273" width="17.109375" style="21" customWidth="1"/>
    <col min="10274" max="10274" width="26.33203125" style="21" customWidth="1"/>
    <col min="10275" max="10498" width="11.5546875" style="21"/>
    <col min="10499" max="10499" width="7.33203125" style="21" customWidth="1"/>
    <col min="10500" max="10500" width="14.88671875" style="21" customWidth="1"/>
    <col min="10501" max="10501" width="13.5546875" style="21" customWidth="1"/>
    <col min="10502" max="10502" width="3.109375" style="21" customWidth="1"/>
    <col min="10503" max="10504" width="4.88671875" style="21" customWidth="1"/>
    <col min="10505" max="10505" width="12.5546875" style="21" customWidth="1"/>
    <col min="10506" max="10506" width="1.109375" style="21" customWidth="1"/>
    <col min="10507" max="10507" width="17.33203125" style="21" customWidth="1"/>
    <col min="10508" max="10508" width="11.88671875" style="21" customWidth="1"/>
    <col min="10509" max="10509" width="19.88671875" style="21" customWidth="1"/>
    <col min="10510" max="10510" width="12.5546875" style="21" customWidth="1"/>
    <col min="10511" max="10511" width="11.5546875" style="21"/>
    <col min="10512" max="10512" width="8.88671875" style="21" customWidth="1"/>
    <col min="10513" max="10513" width="10.33203125" style="21" customWidth="1"/>
    <col min="10514" max="10514" width="10" style="21" customWidth="1"/>
    <col min="10515" max="10515" width="8.109375" style="21" customWidth="1"/>
    <col min="10516" max="10523" width="10.6640625" style="21" customWidth="1"/>
    <col min="10524" max="10524" width="8.44140625" style="21" customWidth="1"/>
    <col min="10525" max="10525" width="10" style="21" customWidth="1"/>
    <col min="10526" max="10526" width="7.33203125" style="21" customWidth="1"/>
    <col min="10527" max="10527" width="9.44140625" style="21" customWidth="1"/>
    <col min="10528" max="10528" width="8.6640625" style="21" customWidth="1"/>
    <col min="10529" max="10529" width="17.109375" style="21" customWidth="1"/>
    <col min="10530" max="10530" width="26.33203125" style="21" customWidth="1"/>
    <col min="10531" max="10754" width="11.5546875" style="21"/>
    <col min="10755" max="10755" width="7.33203125" style="21" customWidth="1"/>
    <col min="10756" max="10756" width="14.88671875" style="21" customWidth="1"/>
    <col min="10757" max="10757" width="13.5546875" style="21" customWidth="1"/>
    <col min="10758" max="10758" width="3.109375" style="21" customWidth="1"/>
    <col min="10759" max="10760" width="4.88671875" style="21" customWidth="1"/>
    <col min="10761" max="10761" width="12.5546875" style="21" customWidth="1"/>
    <col min="10762" max="10762" width="1.109375" style="21" customWidth="1"/>
    <col min="10763" max="10763" width="17.33203125" style="21" customWidth="1"/>
    <col min="10764" max="10764" width="11.88671875" style="21" customWidth="1"/>
    <col min="10765" max="10765" width="19.88671875" style="21" customWidth="1"/>
    <col min="10766" max="10766" width="12.5546875" style="21" customWidth="1"/>
    <col min="10767" max="10767" width="11.5546875" style="21"/>
    <col min="10768" max="10768" width="8.88671875" style="21" customWidth="1"/>
    <col min="10769" max="10769" width="10.33203125" style="21" customWidth="1"/>
    <col min="10770" max="10770" width="10" style="21" customWidth="1"/>
    <col min="10771" max="10771" width="8.109375" style="21" customWidth="1"/>
    <col min="10772" max="10779" width="10.6640625" style="21" customWidth="1"/>
    <col min="10780" max="10780" width="8.44140625" style="21" customWidth="1"/>
    <col min="10781" max="10781" width="10" style="21" customWidth="1"/>
    <col min="10782" max="10782" width="7.33203125" style="21" customWidth="1"/>
    <col min="10783" max="10783" width="9.44140625" style="21" customWidth="1"/>
    <col min="10784" max="10784" width="8.6640625" style="21" customWidth="1"/>
    <col min="10785" max="10785" width="17.109375" style="21" customWidth="1"/>
    <col min="10786" max="10786" width="26.33203125" style="21" customWidth="1"/>
    <col min="10787" max="11010" width="11.5546875" style="21"/>
    <col min="11011" max="11011" width="7.33203125" style="21" customWidth="1"/>
    <col min="11012" max="11012" width="14.88671875" style="21" customWidth="1"/>
    <col min="11013" max="11013" width="13.5546875" style="21" customWidth="1"/>
    <col min="11014" max="11014" width="3.109375" style="21" customWidth="1"/>
    <col min="11015" max="11016" width="4.88671875" style="21" customWidth="1"/>
    <col min="11017" max="11017" width="12.5546875" style="21" customWidth="1"/>
    <col min="11018" max="11018" width="1.109375" style="21" customWidth="1"/>
    <col min="11019" max="11019" width="17.33203125" style="21" customWidth="1"/>
    <col min="11020" max="11020" width="11.88671875" style="21" customWidth="1"/>
    <col min="11021" max="11021" width="19.88671875" style="21" customWidth="1"/>
    <col min="11022" max="11022" width="12.5546875" style="21" customWidth="1"/>
    <col min="11023" max="11023" width="11.5546875" style="21"/>
    <col min="11024" max="11024" width="8.88671875" style="21" customWidth="1"/>
    <col min="11025" max="11025" width="10.33203125" style="21" customWidth="1"/>
    <col min="11026" max="11026" width="10" style="21" customWidth="1"/>
    <col min="11027" max="11027" width="8.109375" style="21" customWidth="1"/>
    <col min="11028" max="11035" width="10.6640625" style="21" customWidth="1"/>
    <col min="11036" max="11036" width="8.44140625" style="21" customWidth="1"/>
    <col min="11037" max="11037" width="10" style="21" customWidth="1"/>
    <col min="11038" max="11038" width="7.33203125" style="21" customWidth="1"/>
    <col min="11039" max="11039" width="9.44140625" style="21" customWidth="1"/>
    <col min="11040" max="11040" width="8.6640625" style="21" customWidth="1"/>
    <col min="11041" max="11041" width="17.109375" style="21" customWidth="1"/>
    <col min="11042" max="11042" width="26.33203125" style="21" customWidth="1"/>
    <col min="11043" max="11266" width="11.5546875" style="21"/>
    <col min="11267" max="11267" width="7.33203125" style="21" customWidth="1"/>
    <col min="11268" max="11268" width="14.88671875" style="21" customWidth="1"/>
    <col min="11269" max="11269" width="13.5546875" style="21" customWidth="1"/>
    <col min="11270" max="11270" width="3.109375" style="21" customWidth="1"/>
    <col min="11271" max="11272" width="4.88671875" style="21" customWidth="1"/>
    <col min="11273" max="11273" width="12.5546875" style="21" customWidth="1"/>
    <col min="11274" max="11274" width="1.109375" style="21" customWidth="1"/>
    <col min="11275" max="11275" width="17.33203125" style="21" customWidth="1"/>
    <col min="11276" max="11276" width="11.88671875" style="21" customWidth="1"/>
    <col min="11277" max="11277" width="19.88671875" style="21" customWidth="1"/>
    <col min="11278" max="11278" width="12.5546875" style="21" customWidth="1"/>
    <col min="11279" max="11279" width="11.5546875" style="21"/>
    <col min="11280" max="11280" width="8.88671875" style="21" customWidth="1"/>
    <col min="11281" max="11281" width="10.33203125" style="21" customWidth="1"/>
    <col min="11282" max="11282" width="10" style="21" customWidth="1"/>
    <col min="11283" max="11283" width="8.109375" style="21" customWidth="1"/>
    <col min="11284" max="11291" width="10.6640625" style="21" customWidth="1"/>
    <col min="11292" max="11292" width="8.44140625" style="21" customWidth="1"/>
    <col min="11293" max="11293" width="10" style="21" customWidth="1"/>
    <col min="11294" max="11294" width="7.33203125" style="21" customWidth="1"/>
    <col min="11295" max="11295" width="9.44140625" style="21" customWidth="1"/>
    <col min="11296" max="11296" width="8.6640625" style="21" customWidth="1"/>
    <col min="11297" max="11297" width="17.109375" style="21" customWidth="1"/>
    <col min="11298" max="11298" width="26.33203125" style="21" customWidth="1"/>
    <col min="11299" max="11522" width="11.5546875" style="21"/>
    <col min="11523" max="11523" width="7.33203125" style="21" customWidth="1"/>
    <col min="11524" max="11524" width="14.88671875" style="21" customWidth="1"/>
    <col min="11525" max="11525" width="13.5546875" style="21" customWidth="1"/>
    <col min="11526" max="11526" width="3.109375" style="21" customWidth="1"/>
    <col min="11527" max="11528" width="4.88671875" style="21" customWidth="1"/>
    <col min="11529" max="11529" width="12.5546875" style="21" customWidth="1"/>
    <col min="11530" max="11530" width="1.109375" style="21" customWidth="1"/>
    <col min="11531" max="11531" width="17.33203125" style="21" customWidth="1"/>
    <col min="11532" max="11532" width="11.88671875" style="21" customWidth="1"/>
    <col min="11533" max="11533" width="19.88671875" style="21" customWidth="1"/>
    <col min="11534" max="11534" width="12.5546875" style="21" customWidth="1"/>
    <col min="11535" max="11535" width="11.5546875" style="21"/>
    <col min="11536" max="11536" width="8.88671875" style="21" customWidth="1"/>
    <col min="11537" max="11537" width="10.33203125" style="21" customWidth="1"/>
    <col min="11538" max="11538" width="10" style="21" customWidth="1"/>
    <col min="11539" max="11539" width="8.109375" style="21" customWidth="1"/>
    <col min="11540" max="11547" width="10.6640625" style="21" customWidth="1"/>
    <col min="11548" max="11548" width="8.44140625" style="21" customWidth="1"/>
    <col min="11549" max="11549" width="10" style="21" customWidth="1"/>
    <col min="11550" max="11550" width="7.33203125" style="21" customWidth="1"/>
    <col min="11551" max="11551" width="9.44140625" style="21" customWidth="1"/>
    <col min="11552" max="11552" width="8.6640625" style="21" customWidth="1"/>
    <col min="11553" max="11553" width="17.109375" style="21" customWidth="1"/>
    <col min="11554" max="11554" width="26.33203125" style="21" customWidth="1"/>
    <col min="11555" max="11778" width="11.5546875" style="21"/>
    <col min="11779" max="11779" width="7.33203125" style="21" customWidth="1"/>
    <col min="11780" max="11780" width="14.88671875" style="21" customWidth="1"/>
    <col min="11781" max="11781" width="13.5546875" style="21" customWidth="1"/>
    <col min="11782" max="11782" width="3.109375" style="21" customWidth="1"/>
    <col min="11783" max="11784" width="4.88671875" style="21" customWidth="1"/>
    <col min="11785" max="11785" width="12.5546875" style="21" customWidth="1"/>
    <col min="11786" max="11786" width="1.109375" style="21" customWidth="1"/>
    <col min="11787" max="11787" width="17.33203125" style="21" customWidth="1"/>
    <col min="11788" max="11788" width="11.88671875" style="21" customWidth="1"/>
    <col min="11789" max="11789" width="19.88671875" style="21" customWidth="1"/>
    <col min="11790" max="11790" width="12.5546875" style="21" customWidth="1"/>
    <col min="11791" max="11791" width="11.5546875" style="21"/>
    <col min="11792" max="11792" width="8.88671875" style="21" customWidth="1"/>
    <col min="11793" max="11793" width="10.33203125" style="21" customWidth="1"/>
    <col min="11794" max="11794" width="10" style="21" customWidth="1"/>
    <col min="11795" max="11795" width="8.109375" style="21" customWidth="1"/>
    <col min="11796" max="11803" width="10.6640625" style="21" customWidth="1"/>
    <col min="11804" max="11804" width="8.44140625" style="21" customWidth="1"/>
    <col min="11805" max="11805" width="10" style="21" customWidth="1"/>
    <col min="11806" max="11806" width="7.33203125" style="21" customWidth="1"/>
    <col min="11807" max="11807" width="9.44140625" style="21" customWidth="1"/>
    <col min="11808" max="11808" width="8.6640625" style="21" customWidth="1"/>
    <col min="11809" max="11809" width="17.109375" style="21" customWidth="1"/>
    <col min="11810" max="11810" width="26.33203125" style="21" customWidth="1"/>
    <col min="11811" max="12034" width="11.5546875" style="21"/>
    <col min="12035" max="12035" width="7.33203125" style="21" customWidth="1"/>
    <col min="12036" max="12036" width="14.88671875" style="21" customWidth="1"/>
    <col min="12037" max="12037" width="13.5546875" style="21" customWidth="1"/>
    <col min="12038" max="12038" width="3.109375" style="21" customWidth="1"/>
    <col min="12039" max="12040" width="4.88671875" style="21" customWidth="1"/>
    <col min="12041" max="12041" width="12.5546875" style="21" customWidth="1"/>
    <col min="12042" max="12042" width="1.109375" style="21" customWidth="1"/>
    <col min="12043" max="12043" width="17.33203125" style="21" customWidth="1"/>
    <col min="12044" max="12044" width="11.88671875" style="21" customWidth="1"/>
    <col min="12045" max="12045" width="19.88671875" style="21" customWidth="1"/>
    <col min="12046" max="12046" width="12.5546875" style="21" customWidth="1"/>
    <col min="12047" max="12047" width="11.5546875" style="21"/>
    <col min="12048" max="12048" width="8.88671875" style="21" customWidth="1"/>
    <col min="12049" max="12049" width="10.33203125" style="21" customWidth="1"/>
    <col min="12050" max="12050" width="10" style="21" customWidth="1"/>
    <col min="12051" max="12051" width="8.109375" style="21" customWidth="1"/>
    <col min="12052" max="12059" width="10.6640625" style="21" customWidth="1"/>
    <col min="12060" max="12060" width="8.44140625" style="21" customWidth="1"/>
    <col min="12061" max="12061" width="10" style="21" customWidth="1"/>
    <col min="12062" max="12062" width="7.33203125" style="21" customWidth="1"/>
    <col min="12063" max="12063" width="9.44140625" style="21" customWidth="1"/>
    <col min="12064" max="12064" width="8.6640625" style="21" customWidth="1"/>
    <col min="12065" max="12065" width="17.109375" style="21" customWidth="1"/>
    <col min="12066" max="12066" width="26.33203125" style="21" customWidth="1"/>
    <col min="12067" max="12290" width="11.5546875" style="21"/>
    <col min="12291" max="12291" width="7.33203125" style="21" customWidth="1"/>
    <col min="12292" max="12292" width="14.88671875" style="21" customWidth="1"/>
    <col min="12293" max="12293" width="13.5546875" style="21" customWidth="1"/>
    <col min="12294" max="12294" width="3.109375" style="21" customWidth="1"/>
    <col min="12295" max="12296" width="4.88671875" style="21" customWidth="1"/>
    <col min="12297" max="12297" width="12.5546875" style="21" customWidth="1"/>
    <col min="12298" max="12298" width="1.109375" style="21" customWidth="1"/>
    <col min="12299" max="12299" width="17.33203125" style="21" customWidth="1"/>
    <col min="12300" max="12300" width="11.88671875" style="21" customWidth="1"/>
    <col min="12301" max="12301" width="19.88671875" style="21" customWidth="1"/>
    <col min="12302" max="12302" width="12.5546875" style="21" customWidth="1"/>
    <col min="12303" max="12303" width="11.5546875" style="21"/>
    <col min="12304" max="12304" width="8.88671875" style="21" customWidth="1"/>
    <col min="12305" max="12305" width="10.33203125" style="21" customWidth="1"/>
    <col min="12306" max="12306" width="10" style="21" customWidth="1"/>
    <col min="12307" max="12307" width="8.109375" style="21" customWidth="1"/>
    <col min="12308" max="12315" width="10.6640625" style="21" customWidth="1"/>
    <col min="12316" max="12316" width="8.44140625" style="21" customWidth="1"/>
    <col min="12317" max="12317" width="10" style="21" customWidth="1"/>
    <col min="12318" max="12318" width="7.33203125" style="21" customWidth="1"/>
    <col min="12319" max="12319" width="9.44140625" style="21" customWidth="1"/>
    <col min="12320" max="12320" width="8.6640625" style="21" customWidth="1"/>
    <col min="12321" max="12321" width="17.109375" style="21" customWidth="1"/>
    <col min="12322" max="12322" width="26.33203125" style="21" customWidth="1"/>
    <col min="12323" max="12546" width="11.5546875" style="21"/>
    <col min="12547" max="12547" width="7.33203125" style="21" customWidth="1"/>
    <col min="12548" max="12548" width="14.88671875" style="21" customWidth="1"/>
    <col min="12549" max="12549" width="13.5546875" style="21" customWidth="1"/>
    <col min="12550" max="12550" width="3.109375" style="21" customWidth="1"/>
    <col min="12551" max="12552" width="4.88671875" style="21" customWidth="1"/>
    <col min="12553" max="12553" width="12.5546875" style="21" customWidth="1"/>
    <col min="12554" max="12554" width="1.109375" style="21" customWidth="1"/>
    <col min="12555" max="12555" width="17.33203125" style="21" customWidth="1"/>
    <col min="12556" max="12556" width="11.88671875" style="21" customWidth="1"/>
    <col min="12557" max="12557" width="19.88671875" style="21" customWidth="1"/>
    <col min="12558" max="12558" width="12.5546875" style="21" customWidth="1"/>
    <col min="12559" max="12559" width="11.5546875" style="21"/>
    <col min="12560" max="12560" width="8.88671875" style="21" customWidth="1"/>
    <col min="12561" max="12561" width="10.33203125" style="21" customWidth="1"/>
    <col min="12562" max="12562" width="10" style="21" customWidth="1"/>
    <col min="12563" max="12563" width="8.109375" style="21" customWidth="1"/>
    <col min="12564" max="12571" width="10.6640625" style="21" customWidth="1"/>
    <col min="12572" max="12572" width="8.44140625" style="21" customWidth="1"/>
    <col min="12573" max="12573" width="10" style="21" customWidth="1"/>
    <col min="12574" max="12574" width="7.33203125" style="21" customWidth="1"/>
    <col min="12575" max="12575" width="9.44140625" style="21" customWidth="1"/>
    <col min="12576" max="12576" width="8.6640625" style="21" customWidth="1"/>
    <col min="12577" max="12577" width="17.109375" style="21" customWidth="1"/>
    <col min="12578" max="12578" width="26.33203125" style="21" customWidth="1"/>
    <col min="12579" max="12802" width="11.5546875" style="21"/>
    <col min="12803" max="12803" width="7.33203125" style="21" customWidth="1"/>
    <col min="12804" max="12804" width="14.88671875" style="21" customWidth="1"/>
    <col min="12805" max="12805" width="13.5546875" style="21" customWidth="1"/>
    <col min="12806" max="12806" width="3.109375" style="21" customWidth="1"/>
    <col min="12807" max="12808" width="4.88671875" style="21" customWidth="1"/>
    <col min="12809" max="12809" width="12.5546875" style="21" customWidth="1"/>
    <col min="12810" max="12810" width="1.109375" style="21" customWidth="1"/>
    <col min="12811" max="12811" width="17.33203125" style="21" customWidth="1"/>
    <col min="12812" max="12812" width="11.88671875" style="21" customWidth="1"/>
    <col min="12813" max="12813" width="19.88671875" style="21" customWidth="1"/>
    <col min="12814" max="12814" width="12.5546875" style="21" customWidth="1"/>
    <col min="12815" max="12815" width="11.5546875" style="21"/>
    <col min="12816" max="12816" width="8.88671875" style="21" customWidth="1"/>
    <col min="12817" max="12817" width="10.33203125" style="21" customWidth="1"/>
    <col min="12818" max="12818" width="10" style="21" customWidth="1"/>
    <col min="12819" max="12819" width="8.109375" style="21" customWidth="1"/>
    <col min="12820" max="12827" width="10.6640625" style="21" customWidth="1"/>
    <col min="12828" max="12828" width="8.44140625" style="21" customWidth="1"/>
    <col min="12829" max="12829" width="10" style="21" customWidth="1"/>
    <col min="12830" max="12830" width="7.33203125" style="21" customWidth="1"/>
    <col min="12831" max="12831" width="9.44140625" style="21" customWidth="1"/>
    <col min="12832" max="12832" width="8.6640625" style="21" customWidth="1"/>
    <col min="12833" max="12833" width="17.109375" style="21" customWidth="1"/>
    <col min="12834" max="12834" width="26.33203125" style="21" customWidth="1"/>
    <col min="12835" max="13058" width="11.5546875" style="21"/>
    <col min="13059" max="13059" width="7.33203125" style="21" customWidth="1"/>
    <col min="13060" max="13060" width="14.88671875" style="21" customWidth="1"/>
    <col min="13061" max="13061" width="13.5546875" style="21" customWidth="1"/>
    <col min="13062" max="13062" width="3.109375" style="21" customWidth="1"/>
    <col min="13063" max="13064" width="4.88671875" style="21" customWidth="1"/>
    <col min="13065" max="13065" width="12.5546875" style="21" customWidth="1"/>
    <col min="13066" max="13066" width="1.109375" style="21" customWidth="1"/>
    <col min="13067" max="13067" width="17.33203125" style="21" customWidth="1"/>
    <col min="13068" max="13068" width="11.88671875" style="21" customWidth="1"/>
    <col min="13069" max="13069" width="19.88671875" style="21" customWidth="1"/>
    <col min="13070" max="13070" width="12.5546875" style="21" customWidth="1"/>
    <col min="13071" max="13071" width="11.5546875" style="21"/>
    <col min="13072" max="13072" width="8.88671875" style="21" customWidth="1"/>
    <col min="13073" max="13073" width="10.33203125" style="21" customWidth="1"/>
    <col min="13074" max="13074" width="10" style="21" customWidth="1"/>
    <col min="13075" max="13075" width="8.109375" style="21" customWidth="1"/>
    <col min="13076" max="13083" width="10.6640625" style="21" customWidth="1"/>
    <col min="13084" max="13084" width="8.44140625" style="21" customWidth="1"/>
    <col min="13085" max="13085" width="10" style="21" customWidth="1"/>
    <col min="13086" max="13086" width="7.33203125" style="21" customWidth="1"/>
    <col min="13087" max="13087" width="9.44140625" style="21" customWidth="1"/>
    <col min="13088" max="13088" width="8.6640625" style="21" customWidth="1"/>
    <col min="13089" max="13089" width="17.109375" style="21" customWidth="1"/>
    <col min="13090" max="13090" width="26.33203125" style="21" customWidth="1"/>
    <col min="13091" max="13314" width="11.5546875" style="21"/>
    <col min="13315" max="13315" width="7.33203125" style="21" customWidth="1"/>
    <col min="13316" max="13316" width="14.88671875" style="21" customWidth="1"/>
    <col min="13317" max="13317" width="13.5546875" style="21" customWidth="1"/>
    <col min="13318" max="13318" width="3.109375" style="21" customWidth="1"/>
    <col min="13319" max="13320" width="4.88671875" style="21" customWidth="1"/>
    <col min="13321" max="13321" width="12.5546875" style="21" customWidth="1"/>
    <col min="13322" max="13322" width="1.109375" style="21" customWidth="1"/>
    <col min="13323" max="13323" width="17.33203125" style="21" customWidth="1"/>
    <col min="13324" max="13324" width="11.88671875" style="21" customWidth="1"/>
    <col min="13325" max="13325" width="19.88671875" style="21" customWidth="1"/>
    <col min="13326" max="13326" width="12.5546875" style="21" customWidth="1"/>
    <col min="13327" max="13327" width="11.5546875" style="21"/>
    <col min="13328" max="13328" width="8.88671875" style="21" customWidth="1"/>
    <col min="13329" max="13329" width="10.33203125" style="21" customWidth="1"/>
    <col min="13330" max="13330" width="10" style="21" customWidth="1"/>
    <col min="13331" max="13331" width="8.109375" style="21" customWidth="1"/>
    <col min="13332" max="13339" width="10.6640625" style="21" customWidth="1"/>
    <col min="13340" max="13340" width="8.44140625" style="21" customWidth="1"/>
    <col min="13341" max="13341" width="10" style="21" customWidth="1"/>
    <col min="13342" max="13342" width="7.33203125" style="21" customWidth="1"/>
    <col min="13343" max="13343" width="9.44140625" style="21" customWidth="1"/>
    <col min="13344" max="13344" width="8.6640625" style="21" customWidth="1"/>
    <col min="13345" max="13345" width="17.109375" style="21" customWidth="1"/>
    <col min="13346" max="13346" width="26.33203125" style="21" customWidth="1"/>
    <col min="13347" max="13570" width="11.5546875" style="21"/>
    <col min="13571" max="13571" width="7.33203125" style="21" customWidth="1"/>
    <col min="13572" max="13572" width="14.88671875" style="21" customWidth="1"/>
    <col min="13573" max="13573" width="13.5546875" style="21" customWidth="1"/>
    <col min="13574" max="13574" width="3.109375" style="21" customWidth="1"/>
    <col min="13575" max="13576" width="4.88671875" style="21" customWidth="1"/>
    <col min="13577" max="13577" width="12.5546875" style="21" customWidth="1"/>
    <col min="13578" max="13578" width="1.109375" style="21" customWidth="1"/>
    <col min="13579" max="13579" width="17.33203125" style="21" customWidth="1"/>
    <col min="13580" max="13580" width="11.88671875" style="21" customWidth="1"/>
    <col min="13581" max="13581" width="19.88671875" style="21" customWidth="1"/>
    <col min="13582" max="13582" width="12.5546875" style="21" customWidth="1"/>
    <col min="13583" max="13583" width="11.5546875" style="21"/>
    <col min="13584" max="13584" width="8.88671875" style="21" customWidth="1"/>
    <col min="13585" max="13585" width="10.33203125" style="21" customWidth="1"/>
    <col min="13586" max="13586" width="10" style="21" customWidth="1"/>
    <col min="13587" max="13587" width="8.109375" style="21" customWidth="1"/>
    <col min="13588" max="13595" width="10.6640625" style="21" customWidth="1"/>
    <col min="13596" max="13596" width="8.44140625" style="21" customWidth="1"/>
    <col min="13597" max="13597" width="10" style="21" customWidth="1"/>
    <col min="13598" max="13598" width="7.33203125" style="21" customWidth="1"/>
    <col min="13599" max="13599" width="9.44140625" style="21" customWidth="1"/>
    <col min="13600" max="13600" width="8.6640625" style="21" customWidth="1"/>
    <col min="13601" max="13601" width="17.109375" style="21" customWidth="1"/>
    <col min="13602" max="13602" width="26.33203125" style="21" customWidth="1"/>
    <col min="13603" max="13826" width="11.5546875" style="21"/>
    <col min="13827" max="13827" width="7.33203125" style="21" customWidth="1"/>
    <col min="13828" max="13828" width="14.88671875" style="21" customWidth="1"/>
    <col min="13829" max="13829" width="13.5546875" style="21" customWidth="1"/>
    <col min="13830" max="13830" width="3.109375" style="21" customWidth="1"/>
    <col min="13831" max="13832" width="4.88671875" style="21" customWidth="1"/>
    <col min="13833" max="13833" width="12.5546875" style="21" customWidth="1"/>
    <col min="13834" max="13834" width="1.109375" style="21" customWidth="1"/>
    <col min="13835" max="13835" width="17.33203125" style="21" customWidth="1"/>
    <col min="13836" max="13836" width="11.88671875" style="21" customWidth="1"/>
    <col min="13837" max="13837" width="19.88671875" style="21" customWidth="1"/>
    <col min="13838" max="13838" width="12.5546875" style="21" customWidth="1"/>
    <col min="13839" max="13839" width="11.5546875" style="21"/>
    <col min="13840" max="13840" width="8.88671875" style="21" customWidth="1"/>
    <col min="13841" max="13841" width="10.33203125" style="21" customWidth="1"/>
    <col min="13842" max="13842" width="10" style="21" customWidth="1"/>
    <col min="13843" max="13843" width="8.109375" style="21" customWidth="1"/>
    <col min="13844" max="13851" width="10.6640625" style="21" customWidth="1"/>
    <col min="13852" max="13852" width="8.44140625" style="21" customWidth="1"/>
    <col min="13853" max="13853" width="10" style="21" customWidth="1"/>
    <col min="13854" max="13854" width="7.33203125" style="21" customWidth="1"/>
    <col min="13855" max="13855" width="9.44140625" style="21" customWidth="1"/>
    <col min="13856" max="13856" width="8.6640625" style="21" customWidth="1"/>
    <col min="13857" max="13857" width="17.109375" style="21" customWidth="1"/>
    <col min="13858" max="13858" width="26.33203125" style="21" customWidth="1"/>
    <col min="13859" max="14082" width="11.5546875" style="21"/>
    <col min="14083" max="14083" width="7.33203125" style="21" customWidth="1"/>
    <col min="14084" max="14084" width="14.88671875" style="21" customWidth="1"/>
    <col min="14085" max="14085" width="13.5546875" style="21" customWidth="1"/>
    <col min="14086" max="14086" width="3.109375" style="21" customWidth="1"/>
    <col min="14087" max="14088" width="4.88671875" style="21" customWidth="1"/>
    <col min="14089" max="14089" width="12.5546875" style="21" customWidth="1"/>
    <col min="14090" max="14090" width="1.109375" style="21" customWidth="1"/>
    <col min="14091" max="14091" width="17.33203125" style="21" customWidth="1"/>
    <col min="14092" max="14092" width="11.88671875" style="21" customWidth="1"/>
    <col min="14093" max="14093" width="19.88671875" style="21" customWidth="1"/>
    <col min="14094" max="14094" width="12.5546875" style="21" customWidth="1"/>
    <col min="14095" max="14095" width="11.5546875" style="21"/>
    <col min="14096" max="14096" width="8.88671875" style="21" customWidth="1"/>
    <col min="14097" max="14097" width="10.33203125" style="21" customWidth="1"/>
    <col min="14098" max="14098" width="10" style="21" customWidth="1"/>
    <col min="14099" max="14099" width="8.109375" style="21" customWidth="1"/>
    <col min="14100" max="14107" width="10.6640625" style="21" customWidth="1"/>
    <col min="14108" max="14108" width="8.44140625" style="21" customWidth="1"/>
    <col min="14109" max="14109" width="10" style="21" customWidth="1"/>
    <col min="14110" max="14110" width="7.33203125" style="21" customWidth="1"/>
    <col min="14111" max="14111" width="9.44140625" style="21" customWidth="1"/>
    <col min="14112" max="14112" width="8.6640625" style="21" customWidth="1"/>
    <col min="14113" max="14113" width="17.109375" style="21" customWidth="1"/>
    <col min="14114" max="14114" width="26.33203125" style="21" customWidth="1"/>
    <col min="14115" max="14338" width="11.5546875" style="21"/>
    <col min="14339" max="14339" width="7.33203125" style="21" customWidth="1"/>
    <col min="14340" max="14340" width="14.88671875" style="21" customWidth="1"/>
    <col min="14341" max="14341" width="13.5546875" style="21" customWidth="1"/>
    <col min="14342" max="14342" width="3.109375" style="21" customWidth="1"/>
    <col min="14343" max="14344" width="4.88671875" style="21" customWidth="1"/>
    <col min="14345" max="14345" width="12.5546875" style="21" customWidth="1"/>
    <col min="14346" max="14346" width="1.109375" style="21" customWidth="1"/>
    <col min="14347" max="14347" width="17.33203125" style="21" customWidth="1"/>
    <col min="14348" max="14348" width="11.88671875" style="21" customWidth="1"/>
    <col min="14349" max="14349" width="19.88671875" style="21" customWidth="1"/>
    <col min="14350" max="14350" width="12.5546875" style="21" customWidth="1"/>
    <col min="14351" max="14351" width="11.5546875" style="21"/>
    <col min="14352" max="14352" width="8.88671875" style="21" customWidth="1"/>
    <col min="14353" max="14353" width="10.33203125" style="21" customWidth="1"/>
    <col min="14354" max="14354" width="10" style="21" customWidth="1"/>
    <col min="14355" max="14355" width="8.109375" style="21" customWidth="1"/>
    <col min="14356" max="14363" width="10.6640625" style="21" customWidth="1"/>
    <col min="14364" max="14364" width="8.44140625" style="21" customWidth="1"/>
    <col min="14365" max="14365" width="10" style="21" customWidth="1"/>
    <col min="14366" max="14366" width="7.33203125" style="21" customWidth="1"/>
    <col min="14367" max="14367" width="9.44140625" style="21" customWidth="1"/>
    <col min="14368" max="14368" width="8.6640625" style="21" customWidth="1"/>
    <col min="14369" max="14369" width="17.109375" style="21" customWidth="1"/>
    <col min="14370" max="14370" width="26.33203125" style="21" customWidth="1"/>
    <col min="14371" max="14594" width="11.5546875" style="21"/>
    <col min="14595" max="14595" width="7.33203125" style="21" customWidth="1"/>
    <col min="14596" max="14596" width="14.88671875" style="21" customWidth="1"/>
    <col min="14597" max="14597" width="13.5546875" style="21" customWidth="1"/>
    <col min="14598" max="14598" width="3.109375" style="21" customWidth="1"/>
    <col min="14599" max="14600" width="4.88671875" style="21" customWidth="1"/>
    <col min="14601" max="14601" width="12.5546875" style="21" customWidth="1"/>
    <col min="14602" max="14602" width="1.109375" style="21" customWidth="1"/>
    <col min="14603" max="14603" width="17.33203125" style="21" customWidth="1"/>
    <col min="14604" max="14604" width="11.88671875" style="21" customWidth="1"/>
    <col min="14605" max="14605" width="19.88671875" style="21" customWidth="1"/>
    <col min="14606" max="14606" width="12.5546875" style="21" customWidth="1"/>
    <col min="14607" max="14607" width="11.5546875" style="21"/>
    <col min="14608" max="14608" width="8.88671875" style="21" customWidth="1"/>
    <col min="14609" max="14609" width="10.33203125" style="21" customWidth="1"/>
    <col min="14610" max="14610" width="10" style="21" customWidth="1"/>
    <col min="14611" max="14611" width="8.109375" style="21" customWidth="1"/>
    <col min="14612" max="14619" width="10.6640625" style="21" customWidth="1"/>
    <col min="14620" max="14620" width="8.44140625" style="21" customWidth="1"/>
    <col min="14621" max="14621" width="10" style="21" customWidth="1"/>
    <col min="14622" max="14622" width="7.33203125" style="21" customWidth="1"/>
    <col min="14623" max="14623" width="9.44140625" style="21" customWidth="1"/>
    <col min="14624" max="14624" width="8.6640625" style="21" customWidth="1"/>
    <col min="14625" max="14625" width="17.109375" style="21" customWidth="1"/>
    <col min="14626" max="14626" width="26.33203125" style="21" customWidth="1"/>
    <col min="14627" max="14850" width="11.5546875" style="21"/>
    <col min="14851" max="14851" width="7.33203125" style="21" customWidth="1"/>
    <col min="14852" max="14852" width="14.88671875" style="21" customWidth="1"/>
    <col min="14853" max="14853" width="13.5546875" style="21" customWidth="1"/>
    <col min="14854" max="14854" width="3.109375" style="21" customWidth="1"/>
    <col min="14855" max="14856" width="4.88671875" style="21" customWidth="1"/>
    <col min="14857" max="14857" width="12.5546875" style="21" customWidth="1"/>
    <col min="14858" max="14858" width="1.109375" style="21" customWidth="1"/>
    <col min="14859" max="14859" width="17.33203125" style="21" customWidth="1"/>
    <col min="14860" max="14860" width="11.88671875" style="21" customWidth="1"/>
    <col min="14861" max="14861" width="19.88671875" style="21" customWidth="1"/>
    <col min="14862" max="14862" width="12.5546875" style="21" customWidth="1"/>
    <col min="14863" max="14863" width="11.5546875" style="21"/>
    <col min="14864" max="14864" width="8.88671875" style="21" customWidth="1"/>
    <col min="14865" max="14865" width="10.33203125" style="21" customWidth="1"/>
    <col min="14866" max="14866" width="10" style="21" customWidth="1"/>
    <col min="14867" max="14867" width="8.109375" style="21" customWidth="1"/>
    <col min="14868" max="14875" width="10.6640625" style="21" customWidth="1"/>
    <col min="14876" max="14876" width="8.44140625" style="21" customWidth="1"/>
    <col min="14877" max="14877" width="10" style="21" customWidth="1"/>
    <col min="14878" max="14878" width="7.33203125" style="21" customWidth="1"/>
    <col min="14879" max="14879" width="9.44140625" style="21" customWidth="1"/>
    <col min="14880" max="14880" width="8.6640625" style="21" customWidth="1"/>
    <col min="14881" max="14881" width="17.109375" style="21" customWidth="1"/>
    <col min="14882" max="14882" width="26.33203125" style="21" customWidth="1"/>
    <col min="14883" max="15106" width="11.5546875" style="21"/>
    <col min="15107" max="15107" width="7.33203125" style="21" customWidth="1"/>
    <col min="15108" max="15108" width="14.88671875" style="21" customWidth="1"/>
    <col min="15109" max="15109" width="13.5546875" style="21" customWidth="1"/>
    <col min="15110" max="15110" width="3.109375" style="21" customWidth="1"/>
    <col min="15111" max="15112" width="4.88671875" style="21" customWidth="1"/>
    <col min="15113" max="15113" width="12.5546875" style="21" customWidth="1"/>
    <col min="15114" max="15114" width="1.109375" style="21" customWidth="1"/>
    <col min="15115" max="15115" width="17.33203125" style="21" customWidth="1"/>
    <col min="15116" max="15116" width="11.88671875" style="21" customWidth="1"/>
    <col min="15117" max="15117" width="19.88671875" style="21" customWidth="1"/>
    <col min="15118" max="15118" width="12.5546875" style="21" customWidth="1"/>
    <col min="15119" max="15119" width="11.5546875" style="21"/>
    <col min="15120" max="15120" width="8.88671875" style="21" customWidth="1"/>
    <col min="15121" max="15121" width="10.33203125" style="21" customWidth="1"/>
    <col min="15122" max="15122" width="10" style="21" customWidth="1"/>
    <col min="15123" max="15123" width="8.109375" style="21" customWidth="1"/>
    <col min="15124" max="15131" width="10.6640625" style="21" customWidth="1"/>
    <col min="15132" max="15132" width="8.44140625" style="21" customWidth="1"/>
    <col min="15133" max="15133" width="10" style="21" customWidth="1"/>
    <col min="15134" max="15134" width="7.33203125" style="21" customWidth="1"/>
    <col min="15135" max="15135" width="9.44140625" style="21" customWidth="1"/>
    <col min="15136" max="15136" width="8.6640625" style="21" customWidth="1"/>
    <col min="15137" max="15137" width="17.109375" style="21" customWidth="1"/>
    <col min="15138" max="15138" width="26.33203125" style="21" customWidth="1"/>
    <col min="15139" max="15362" width="11.5546875" style="21"/>
    <col min="15363" max="15363" width="7.33203125" style="21" customWidth="1"/>
    <col min="15364" max="15364" width="14.88671875" style="21" customWidth="1"/>
    <col min="15365" max="15365" width="13.5546875" style="21" customWidth="1"/>
    <col min="15366" max="15366" width="3.109375" style="21" customWidth="1"/>
    <col min="15367" max="15368" width="4.88671875" style="21" customWidth="1"/>
    <col min="15369" max="15369" width="12.5546875" style="21" customWidth="1"/>
    <col min="15370" max="15370" width="1.109375" style="21" customWidth="1"/>
    <col min="15371" max="15371" width="17.33203125" style="21" customWidth="1"/>
    <col min="15372" max="15372" width="11.88671875" style="21" customWidth="1"/>
    <col min="15373" max="15373" width="19.88671875" style="21" customWidth="1"/>
    <col min="15374" max="15374" width="12.5546875" style="21" customWidth="1"/>
    <col min="15375" max="15375" width="11.5546875" style="21"/>
    <col min="15376" max="15376" width="8.88671875" style="21" customWidth="1"/>
    <col min="15377" max="15377" width="10.33203125" style="21" customWidth="1"/>
    <col min="15378" max="15378" width="10" style="21" customWidth="1"/>
    <col min="15379" max="15379" width="8.109375" style="21" customWidth="1"/>
    <col min="15380" max="15387" width="10.6640625" style="21" customWidth="1"/>
    <col min="15388" max="15388" width="8.44140625" style="21" customWidth="1"/>
    <col min="15389" max="15389" width="10" style="21" customWidth="1"/>
    <col min="15390" max="15390" width="7.33203125" style="21" customWidth="1"/>
    <col min="15391" max="15391" width="9.44140625" style="21" customWidth="1"/>
    <col min="15392" max="15392" width="8.6640625" style="21" customWidth="1"/>
    <col min="15393" max="15393" width="17.109375" style="21" customWidth="1"/>
    <col min="15394" max="15394" width="26.33203125" style="21" customWidth="1"/>
    <col min="15395" max="15618" width="11.5546875" style="21"/>
    <col min="15619" max="15619" width="7.33203125" style="21" customWidth="1"/>
    <col min="15620" max="15620" width="14.88671875" style="21" customWidth="1"/>
    <col min="15621" max="15621" width="13.5546875" style="21" customWidth="1"/>
    <col min="15622" max="15622" width="3.109375" style="21" customWidth="1"/>
    <col min="15623" max="15624" width="4.88671875" style="21" customWidth="1"/>
    <col min="15625" max="15625" width="12.5546875" style="21" customWidth="1"/>
    <col min="15626" max="15626" width="1.109375" style="21" customWidth="1"/>
    <col min="15627" max="15627" width="17.33203125" style="21" customWidth="1"/>
    <col min="15628" max="15628" width="11.88671875" style="21" customWidth="1"/>
    <col min="15629" max="15629" width="19.88671875" style="21" customWidth="1"/>
    <col min="15630" max="15630" width="12.5546875" style="21" customWidth="1"/>
    <col min="15631" max="15631" width="11.5546875" style="21"/>
    <col min="15632" max="15632" width="8.88671875" style="21" customWidth="1"/>
    <col min="15633" max="15633" width="10.33203125" style="21" customWidth="1"/>
    <col min="15634" max="15634" width="10" style="21" customWidth="1"/>
    <col min="15635" max="15635" width="8.109375" style="21" customWidth="1"/>
    <col min="15636" max="15643" width="10.6640625" style="21" customWidth="1"/>
    <col min="15644" max="15644" width="8.44140625" style="21" customWidth="1"/>
    <col min="15645" max="15645" width="10" style="21" customWidth="1"/>
    <col min="15646" max="15646" width="7.33203125" style="21" customWidth="1"/>
    <col min="15647" max="15647" width="9.44140625" style="21" customWidth="1"/>
    <col min="15648" max="15648" width="8.6640625" style="21" customWidth="1"/>
    <col min="15649" max="15649" width="17.109375" style="21" customWidth="1"/>
    <col min="15650" max="15650" width="26.33203125" style="21" customWidth="1"/>
    <col min="15651" max="15874" width="11.5546875" style="21"/>
    <col min="15875" max="15875" width="7.33203125" style="21" customWidth="1"/>
    <col min="15876" max="15876" width="14.88671875" style="21" customWidth="1"/>
    <col min="15877" max="15877" width="13.5546875" style="21" customWidth="1"/>
    <col min="15878" max="15878" width="3.109375" style="21" customWidth="1"/>
    <col min="15879" max="15880" width="4.88671875" style="21" customWidth="1"/>
    <col min="15881" max="15881" width="12.5546875" style="21" customWidth="1"/>
    <col min="15882" max="15882" width="1.109375" style="21" customWidth="1"/>
    <col min="15883" max="15883" width="17.33203125" style="21" customWidth="1"/>
    <col min="15884" max="15884" width="11.88671875" style="21" customWidth="1"/>
    <col min="15885" max="15885" width="19.88671875" style="21" customWidth="1"/>
    <col min="15886" max="15886" width="12.5546875" style="21" customWidth="1"/>
    <col min="15887" max="15887" width="11.5546875" style="21"/>
    <col min="15888" max="15888" width="8.88671875" style="21" customWidth="1"/>
    <col min="15889" max="15889" width="10.33203125" style="21" customWidth="1"/>
    <col min="15890" max="15890" width="10" style="21" customWidth="1"/>
    <col min="15891" max="15891" width="8.109375" style="21" customWidth="1"/>
    <col min="15892" max="15899" width="10.6640625" style="21" customWidth="1"/>
    <col min="15900" max="15900" width="8.44140625" style="21" customWidth="1"/>
    <col min="15901" max="15901" width="10" style="21" customWidth="1"/>
    <col min="15902" max="15902" width="7.33203125" style="21" customWidth="1"/>
    <col min="15903" max="15903" width="9.44140625" style="21" customWidth="1"/>
    <col min="15904" max="15904" width="8.6640625" style="21" customWidth="1"/>
    <col min="15905" max="15905" width="17.109375" style="21" customWidth="1"/>
    <col min="15906" max="15906" width="26.33203125" style="21" customWidth="1"/>
    <col min="15907" max="16130" width="11.5546875" style="21"/>
    <col min="16131" max="16131" width="7.33203125" style="21" customWidth="1"/>
    <col min="16132" max="16132" width="14.88671875" style="21" customWidth="1"/>
    <col min="16133" max="16133" width="13.5546875" style="21" customWidth="1"/>
    <col min="16134" max="16134" width="3.109375" style="21" customWidth="1"/>
    <col min="16135" max="16136" width="4.88671875" style="21" customWidth="1"/>
    <col min="16137" max="16137" width="12.5546875" style="21" customWidth="1"/>
    <col min="16138" max="16138" width="1.109375" style="21" customWidth="1"/>
    <col min="16139" max="16139" width="17.33203125" style="21" customWidth="1"/>
    <col min="16140" max="16140" width="11.88671875" style="21" customWidth="1"/>
    <col min="16141" max="16141" width="19.88671875" style="21" customWidth="1"/>
    <col min="16142" max="16142" width="12.5546875" style="21" customWidth="1"/>
    <col min="16143" max="16143" width="11.5546875" style="21"/>
    <col min="16144" max="16144" width="8.88671875" style="21" customWidth="1"/>
    <col min="16145" max="16145" width="10.33203125" style="21" customWidth="1"/>
    <col min="16146" max="16146" width="10" style="21" customWidth="1"/>
    <col min="16147" max="16147" width="8.109375" style="21" customWidth="1"/>
    <col min="16148" max="16155" width="10.6640625" style="21" customWidth="1"/>
    <col min="16156" max="16156" width="8.44140625" style="21" customWidth="1"/>
    <col min="16157" max="16157" width="10" style="21" customWidth="1"/>
    <col min="16158" max="16158" width="7.33203125" style="21" customWidth="1"/>
    <col min="16159" max="16159" width="9.44140625" style="21" customWidth="1"/>
    <col min="16160" max="16160" width="8.6640625" style="21" customWidth="1"/>
    <col min="16161" max="16161" width="17.109375" style="21" customWidth="1"/>
    <col min="16162" max="16162" width="26.33203125" style="21" customWidth="1"/>
    <col min="16163" max="16377" width="11.5546875" style="21"/>
    <col min="16378" max="16384" width="11.5546875" style="21" customWidth="1"/>
  </cols>
  <sheetData>
    <row r="1" spans="1:43" ht="15.05">
      <c r="A1" s="55" t="s">
        <v>59</v>
      </c>
      <c r="B1" s="93"/>
      <c r="C1" s="93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/>
      <c r="V1"/>
      <c r="W1"/>
      <c r="X1"/>
      <c r="Y1"/>
      <c r="Z1" s="56"/>
      <c r="AA1" s="56"/>
      <c r="AB1" s="56"/>
      <c r="AC1" s="56"/>
    </row>
    <row r="2" spans="1:43" ht="15.05">
      <c r="A2" s="55" t="s">
        <v>60</v>
      </c>
      <c r="B2" s="93"/>
      <c r="C2" s="93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/>
      <c r="V2"/>
      <c r="W2"/>
      <c r="X2"/>
      <c r="Y2"/>
      <c r="Z2" s="56"/>
      <c r="AA2" s="56"/>
      <c r="AB2" s="56"/>
      <c r="AC2" s="56"/>
    </row>
    <row r="3" spans="1:43" ht="15.05">
      <c r="A3" s="55" t="s">
        <v>61</v>
      </c>
      <c r="B3" s="93"/>
      <c r="C3" s="93"/>
      <c r="D3" s="55"/>
      <c r="E3" s="55"/>
      <c r="F3" s="55"/>
      <c r="G3" s="55"/>
      <c r="H3" s="55"/>
      <c r="I3" s="55"/>
      <c r="J3" s="55"/>
      <c r="K3" s="55"/>
      <c r="L3" s="55"/>
      <c r="M3" s="55"/>
      <c r="N3" s="84"/>
      <c r="O3" s="55"/>
      <c r="P3" s="55"/>
      <c r="Q3" s="55"/>
      <c r="R3" s="55"/>
      <c r="S3" s="55"/>
      <c r="T3" s="55"/>
      <c r="U3"/>
      <c r="V3"/>
      <c r="W3"/>
      <c r="X3"/>
      <c r="Y3"/>
      <c r="Z3" s="56"/>
      <c r="AA3" s="56"/>
      <c r="AB3" s="56"/>
      <c r="AC3" s="56"/>
    </row>
    <row r="4" spans="1:43" ht="15.05">
      <c r="A4" s="57"/>
      <c r="B4" s="57"/>
      <c r="C4" s="57"/>
      <c r="D4" s="56"/>
      <c r="E4" s="56"/>
      <c r="F4"/>
      <c r="G4"/>
      <c r="H4"/>
      <c r="I4"/>
      <c r="J4"/>
      <c r="K4" s="58"/>
      <c r="L4" s="58"/>
      <c r="M4" s="58"/>
      <c r="N4" s="84"/>
      <c r="O4"/>
      <c r="P4"/>
      <c r="Q4"/>
      <c r="R4"/>
      <c r="S4"/>
      <c r="T4"/>
      <c r="U4"/>
      <c r="V4"/>
      <c r="W4"/>
      <c r="X4"/>
      <c r="Y4"/>
      <c r="Z4" s="56"/>
      <c r="AA4" s="56"/>
      <c r="AB4" s="56"/>
      <c r="AC4" s="56"/>
    </row>
    <row r="5" spans="1:43" ht="13.1">
      <c r="A5" s="59" t="s">
        <v>110</v>
      </c>
      <c r="B5" s="94"/>
      <c r="C5" s="94"/>
      <c r="D5" s="59"/>
      <c r="E5" s="59"/>
      <c r="F5" s="59"/>
      <c r="G5" s="59"/>
      <c r="H5" s="59"/>
      <c r="I5" s="59"/>
      <c r="J5" s="59"/>
      <c r="K5" s="59"/>
      <c r="L5" s="59"/>
      <c r="M5" s="59"/>
      <c r="N5" s="84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E5" s="23"/>
      <c r="AF5" s="23"/>
      <c r="AG5" s="23"/>
      <c r="AH5" s="23"/>
    </row>
    <row r="6" spans="1:43">
      <c r="B6" s="26"/>
      <c r="C6" s="26"/>
      <c r="D6" s="21"/>
      <c r="K6" s="21"/>
      <c r="L6" s="21"/>
      <c r="M6" s="21"/>
      <c r="N6" s="84"/>
    </row>
    <row r="7" spans="1:43">
      <c r="A7" s="24" t="s">
        <v>62</v>
      </c>
      <c r="B7" s="95"/>
      <c r="C7" s="189" t="str">
        <f>VLOOKUP(I7,JURIS_,2,FALSE)</f>
        <v>JUR 14 TEPEJI</v>
      </c>
      <c r="D7" s="190"/>
      <c r="E7" s="191"/>
      <c r="F7" s="25"/>
      <c r="G7" s="24" t="s">
        <v>63</v>
      </c>
      <c r="H7" s="24"/>
      <c r="I7" s="192" t="s">
        <v>227</v>
      </c>
      <c r="J7" s="193"/>
      <c r="K7" s="194"/>
      <c r="L7" s="65"/>
      <c r="M7" s="65"/>
      <c r="N7" s="84"/>
      <c r="O7" s="26"/>
      <c r="P7" s="26"/>
      <c r="Q7" s="26"/>
      <c r="R7" s="25"/>
      <c r="S7" s="25"/>
      <c r="T7" s="25"/>
      <c r="U7" s="25"/>
      <c r="V7" s="25"/>
      <c r="W7" s="25"/>
      <c r="X7" s="25"/>
    </row>
    <row r="8" spans="1:43">
      <c r="A8" s="24" t="s">
        <v>64</v>
      </c>
      <c r="B8" s="95"/>
      <c r="C8" s="195" t="s">
        <v>148</v>
      </c>
      <c r="D8" s="196"/>
      <c r="E8" s="197"/>
      <c r="F8" s="27"/>
      <c r="G8" s="24" t="s">
        <v>156</v>
      </c>
      <c r="H8" s="24"/>
      <c r="I8" s="192" t="s">
        <v>332</v>
      </c>
      <c r="J8" s="193"/>
      <c r="K8" s="194"/>
      <c r="L8" s="65"/>
      <c r="M8" s="65"/>
      <c r="N8" s="84"/>
      <c r="O8" s="26"/>
      <c r="P8" s="26"/>
      <c r="Q8" s="26"/>
      <c r="R8" s="25"/>
      <c r="S8" s="25"/>
      <c r="T8" s="25"/>
      <c r="U8" s="25"/>
      <c r="V8" s="25"/>
      <c r="W8" s="25"/>
      <c r="X8" s="25"/>
    </row>
    <row r="9" spans="1:43">
      <c r="A9" s="24" t="s">
        <v>65</v>
      </c>
      <c r="B9" s="95"/>
      <c r="C9" s="108">
        <v>9</v>
      </c>
      <c r="D9" s="108">
        <v>1</v>
      </c>
      <c r="E9" s="109">
        <v>2025</v>
      </c>
      <c r="F9" s="25"/>
      <c r="G9" s="186" t="s">
        <v>66</v>
      </c>
      <c r="H9" s="187"/>
      <c r="I9" s="101">
        <v>14</v>
      </c>
      <c r="J9" s="101">
        <v>1</v>
      </c>
      <c r="K9" s="100">
        <v>2025</v>
      </c>
      <c r="L9" s="66"/>
      <c r="M9" s="66"/>
      <c r="N9" s="84"/>
      <c r="O9" s="26"/>
      <c r="P9" s="26"/>
      <c r="Q9" s="26"/>
      <c r="R9" s="60"/>
      <c r="S9" s="60"/>
      <c r="T9" s="60"/>
      <c r="U9" s="60"/>
      <c r="V9" s="60"/>
      <c r="W9" s="60"/>
      <c r="X9" s="60"/>
    </row>
    <row r="10" spans="1:43">
      <c r="B10" s="26"/>
      <c r="C10" s="34" t="s">
        <v>169</v>
      </c>
      <c r="D10" s="34" t="s">
        <v>116</v>
      </c>
      <c r="E10" s="34" t="s">
        <v>117</v>
      </c>
      <c r="I10" s="34" t="s">
        <v>169</v>
      </c>
      <c r="J10" s="34" t="s">
        <v>116</v>
      </c>
      <c r="K10" s="34" t="s">
        <v>117</v>
      </c>
      <c r="L10" s="21"/>
      <c r="M10" s="21"/>
      <c r="U10" s="61" t="s">
        <v>67</v>
      </c>
      <c r="V10" s="61"/>
      <c r="W10" s="61"/>
      <c r="X10" s="61"/>
      <c r="Y10" s="61"/>
      <c r="Z10" s="61"/>
      <c r="AA10" s="61"/>
      <c r="AB10" s="61"/>
    </row>
    <row r="11" spans="1:43">
      <c r="B11" s="96"/>
      <c r="C11" s="26"/>
      <c r="D11" s="28"/>
      <c r="F11" s="28"/>
      <c r="H11" s="28"/>
      <c r="J11" s="28"/>
      <c r="K11" s="21"/>
      <c r="L11" s="28"/>
      <c r="M11" s="21"/>
      <c r="O11" s="28"/>
      <c r="R11" s="28"/>
      <c r="U11" s="28"/>
      <c r="X11" s="28"/>
      <c r="AC11" s="28"/>
      <c r="AE11" s="28"/>
      <c r="AH11" s="28"/>
      <c r="AJ11" s="21"/>
    </row>
    <row r="12" spans="1:43" ht="20.3" customHeight="1">
      <c r="A12" s="178" t="s">
        <v>108</v>
      </c>
      <c r="B12" s="178" t="s">
        <v>69</v>
      </c>
      <c r="C12" s="178"/>
      <c r="D12" s="178"/>
      <c r="E12" s="178" t="s">
        <v>85</v>
      </c>
      <c r="F12" s="188" t="s">
        <v>86</v>
      </c>
      <c r="G12" s="178" t="s">
        <v>70</v>
      </c>
      <c r="H12" s="178"/>
      <c r="I12" s="173" t="s">
        <v>71</v>
      </c>
      <c r="J12" s="174"/>
      <c r="K12" s="173" t="s">
        <v>72</v>
      </c>
      <c r="L12" s="174"/>
      <c r="M12" s="175"/>
      <c r="N12" s="178" t="s">
        <v>73</v>
      </c>
      <c r="O12" s="173" t="s">
        <v>74</v>
      </c>
      <c r="P12" s="174"/>
      <c r="Q12" s="175"/>
      <c r="R12" s="173" t="s">
        <v>75</v>
      </c>
      <c r="S12" s="174"/>
      <c r="T12" s="175"/>
      <c r="U12" s="178" t="s">
        <v>76</v>
      </c>
      <c r="V12" s="173" t="s">
        <v>77</v>
      </c>
      <c r="W12" s="174"/>
      <c r="X12" s="175"/>
      <c r="Y12" s="178" t="s">
        <v>78</v>
      </c>
      <c r="Z12" s="178" t="s">
        <v>79</v>
      </c>
      <c r="AA12" s="188"/>
      <c r="AB12" s="188"/>
      <c r="AC12" s="188"/>
      <c r="AD12" s="173" t="s">
        <v>81</v>
      </c>
      <c r="AE12" s="178" t="s">
        <v>82</v>
      </c>
      <c r="AF12" s="173" t="s">
        <v>149</v>
      </c>
      <c r="AG12" s="174"/>
      <c r="AH12" s="175"/>
      <c r="AI12" s="178" t="s">
        <v>104</v>
      </c>
    </row>
    <row r="13" spans="1:43" ht="34.549999999999997" customHeight="1">
      <c r="A13" s="178"/>
      <c r="B13" s="178"/>
      <c r="C13" s="178"/>
      <c r="D13" s="178"/>
      <c r="E13" s="178"/>
      <c r="F13" s="188"/>
      <c r="G13" s="178"/>
      <c r="H13" s="178"/>
      <c r="I13" s="185"/>
      <c r="J13" s="205"/>
      <c r="K13" s="79" t="s">
        <v>11</v>
      </c>
      <c r="L13" s="79" t="s">
        <v>147</v>
      </c>
      <c r="M13" s="79" t="s">
        <v>13</v>
      </c>
      <c r="N13" s="178"/>
      <c r="O13" s="79" t="s">
        <v>11</v>
      </c>
      <c r="P13" s="79" t="s">
        <v>147</v>
      </c>
      <c r="Q13" s="79" t="s">
        <v>13</v>
      </c>
      <c r="R13" s="79" t="s">
        <v>11</v>
      </c>
      <c r="S13" s="79" t="s">
        <v>147</v>
      </c>
      <c r="T13" s="79" t="s">
        <v>13</v>
      </c>
      <c r="U13" s="178"/>
      <c r="V13" s="79" t="s">
        <v>11</v>
      </c>
      <c r="W13" s="79" t="s">
        <v>147</v>
      </c>
      <c r="X13" s="79" t="s">
        <v>13</v>
      </c>
      <c r="Y13" s="178"/>
      <c r="Z13" s="178"/>
      <c r="AA13" s="117" t="s">
        <v>327</v>
      </c>
      <c r="AB13" s="117" t="s">
        <v>328</v>
      </c>
      <c r="AC13" s="116" t="s">
        <v>329</v>
      </c>
      <c r="AD13" s="185"/>
      <c r="AE13" s="178"/>
      <c r="AF13" s="79" t="s">
        <v>11</v>
      </c>
      <c r="AG13" s="79" t="s">
        <v>147</v>
      </c>
      <c r="AH13" s="79" t="s">
        <v>13</v>
      </c>
      <c r="AI13" s="178"/>
    </row>
    <row r="14" spans="1:43" s="78" customFormat="1" ht="46.5" customHeight="1">
      <c r="A14" s="69">
        <v>1</v>
      </c>
      <c r="B14" s="206" t="s">
        <v>355</v>
      </c>
      <c r="C14" s="207"/>
      <c r="D14" s="208"/>
      <c r="E14" s="69">
        <v>38</v>
      </c>
      <c r="F14" s="69" t="s">
        <v>356</v>
      </c>
      <c r="G14" s="198" t="s">
        <v>336</v>
      </c>
      <c r="H14" s="199"/>
      <c r="I14" s="198" t="s">
        <v>332</v>
      </c>
      <c r="J14" s="199"/>
      <c r="K14" s="124">
        <v>9</v>
      </c>
      <c r="L14" s="124">
        <v>1</v>
      </c>
      <c r="M14" s="125">
        <v>2025</v>
      </c>
      <c r="N14" s="126" t="s">
        <v>337</v>
      </c>
      <c r="O14" s="127">
        <v>10</v>
      </c>
      <c r="P14" s="127">
        <v>1</v>
      </c>
      <c r="Q14" s="127">
        <v>2025</v>
      </c>
      <c r="R14" s="127"/>
      <c r="S14" s="127"/>
      <c r="T14" s="127"/>
      <c r="U14" s="74"/>
      <c r="V14" s="127"/>
      <c r="W14" s="127"/>
      <c r="X14" s="127"/>
      <c r="Y14" s="69"/>
      <c r="Z14" s="69"/>
      <c r="AA14" s="115">
        <v>1</v>
      </c>
      <c r="AB14" s="115">
        <v>1</v>
      </c>
      <c r="AC14" s="115">
        <v>1</v>
      </c>
      <c r="AD14" s="115" t="s">
        <v>148</v>
      </c>
      <c r="AE14" s="123"/>
      <c r="AF14" s="119"/>
      <c r="AG14" s="119"/>
      <c r="AH14" s="119"/>
      <c r="AI14" s="74" t="s">
        <v>120</v>
      </c>
      <c r="AM14" s="85"/>
      <c r="AO14" s="85"/>
      <c r="AQ14" s="85"/>
    </row>
    <row r="15" spans="1:43" s="78" customFormat="1" ht="48.8" customHeight="1">
      <c r="A15" s="69">
        <v>2</v>
      </c>
      <c r="B15" s="182" t="s">
        <v>357</v>
      </c>
      <c r="C15" s="183"/>
      <c r="D15" s="184"/>
      <c r="E15" s="69">
        <v>7</v>
      </c>
      <c r="F15" s="69" t="s">
        <v>356</v>
      </c>
      <c r="G15" s="198" t="s">
        <v>336</v>
      </c>
      <c r="H15" s="199"/>
      <c r="I15" s="198" t="s">
        <v>332</v>
      </c>
      <c r="J15" s="199"/>
      <c r="K15" s="124">
        <v>9</v>
      </c>
      <c r="L15" s="124">
        <v>1</v>
      </c>
      <c r="M15" s="125">
        <v>2025</v>
      </c>
      <c r="N15" s="126" t="s">
        <v>338</v>
      </c>
      <c r="O15" s="127">
        <v>10</v>
      </c>
      <c r="P15" s="127">
        <v>1</v>
      </c>
      <c r="Q15" s="127">
        <v>2025</v>
      </c>
      <c r="R15" s="127"/>
      <c r="S15" s="127"/>
      <c r="T15" s="127"/>
      <c r="U15" s="74"/>
      <c r="V15" s="127"/>
      <c r="W15" s="127"/>
      <c r="X15" s="127"/>
      <c r="Y15" s="128"/>
      <c r="Z15" s="128"/>
      <c r="AA15" s="115">
        <v>1</v>
      </c>
      <c r="AB15" s="115">
        <v>1</v>
      </c>
      <c r="AC15" s="115">
        <v>1</v>
      </c>
      <c r="AD15" s="115" t="s">
        <v>148</v>
      </c>
      <c r="AE15" s="121"/>
      <c r="AF15" s="119"/>
      <c r="AG15" s="119"/>
      <c r="AH15" s="119"/>
      <c r="AI15" s="74" t="s">
        <v>120</v>
      </c>
      <c r="AM15" s="85"/>
      <c r="AO15" s="85"/>
      <c r="AQ15" s="85"/>
    </row>
    <row r="16" spans="1:43" s="78" customFormat="1" ht="45.85" customHeight="1">
      <c r="A16" s="69"/>
      <c r="B16" s="182"/>
      <c r="C16" s="183"/>
      <c r="D16" s="184"/>
      <c r="E16" s="69"/>
      <c r="F16" s="69"/>
      <c r="G16" s="198"/>
      <c r="H16" s="199"/>
      <c r="I16" s="176"/>
      <c r="J16" s="177"/>
      <c r="K16" s="124"/>
      <c r="L16" s="124"/>
      <c r="M16" s="125"/>
      <c r="N16" s="126"/>
      <c r="O16" s="127"/>
      <c r="P16" s="127"/>
      <c r="Q16" s="127"/>
      <c r="R16" s="127"/>
      <c r="S16" s="127"/>
      <c r="T16" s="127"/>
      <c r="U16" s="74"/>
      <c r="V16" s="127"/>
      <c r="W16" s="127"/>
      <c r="X16" s="127"/>
      <c r="Y16" s="69"/>
      <c r="Z16" s="69"/>
      <c r="AA16" s="115"/>
      <c r="AB16" s="115"/>
      <c r="AC16" s="115"/>
      <c r="AD16" s="115"/>
      <c r="AE16" s="121"/>
      <c r="AF16" s="119"/>
      <c r="AG16" s="119"/>
      <c r="AH16" s="119"/>
      <c r="AI16" s="74"/>
      <c r="AM16" s="85"/>
      <c r="AO16" s="85"/>
      <c r="AQ16" s="85"/>
    </row>
    <row r="17" spans="1:45" s="78" customFormat="1" ht="47.3" customHeight="1">
      <c r="A17" s="69"/>
      <c r="B17" s="182"/>
      <c r="C17" s="183"/>
      <c r="D17" s="184"/>
      <c r="E17" s="69"/>
      <c r="F17" s="69"/>
      <c r="G17" s="198"/>
      <c r="H17" s="199"/>
      <c r="I17" s="176"/>
      <c r="J17" s="177"/>
      <c r="K17" s="124"/>
      <c r="L17" s="124"/>
      <c r="M17" s="125"/>
      <c r="N17" s="126"/>
      <c r="O17" s="127"/>
      <c r="P17" s="127"/>
      <c r="Q17" s="127"/>
      <c r="R17" s="127"/>
      <c r="S17" s="127"/>
      <c r="T17" s="127"/>
      <c r="U17" s="74"/>
      <c r="V17" s="127"/>
      <c r="W17" s="127"/>
      <c r="X17" s="127"/>
      <c r="Y17" s="69"/>
      <c r="Z17" s="69"/>
      <c r="AA17" s="115"/>
      <c r="AB17" s="115"/>
      <c r="AC17" s="115"/>
      <c r="AD17" s="115"/>
      <c r="AE17" s="121"/>
      <c r="AF17" s="119"/>
      <c r="AG17" s="119"/>
      <c r="AH17" s="119"/>
      <c r="AI17" s="74"/>
      <c r="AJ17" s="78" t="str">
        <f t="shared" ref="AJ17:AJ77" si="0">IF(AI17="","",VLOOKUP(AI17,SEGUIMIENTOS,2,FALSE))</f>
        <v/>
      </c>
      <c r="AM17" s="85"/>
      <c r="AO17" s="85"/>
      <c r="AQ17" s="85"/>
    </row>
    <row r="18" spans="1:45" s="78" customFormat="1" ht="42.75" customHeight="1">
      <c r="A18" s="115"/>
      <c r="B18" s="179"/>
      <c r="C18" s="180"/>
      <c r="D18" s="181"/>
      <c r="E18" s="115"/>
      <c r="F18" s="115"/>
      <c r="G18" s="200"/>
      <c r="H18" s="201"/>
      <c r="I18" s="209"/>
      <c r="J18" s="210"/>
      <c r="K18" s="112"/>
      <c r="L18" s="112"/>
      <c r="M18" s="113"/>
      <c r="N18" s="118"/>
      <c r="O18" s="119"/>
      <c r="P18" s="119"/>
      <c r="Q18" s="119"/>
      <c r="R18" s="119"/>
      <c r="S18" s="119"/>
      <c r="T18" s="119"/>
      <c r="U18" s="74"/>
      <c r="V18" s="119"/>
      <c r="W18" s="119"/>
      <c r="X18" s="119"/>
      <c r="Y18" s="120"/>
      <c r="Z18" s="115"/>
      <c r="AA18" s="115"/>
      <c r="AB18" s="115"/>
      <c r="AC18" s="115"/>
      <c r="AD18" s="115"/>
      <c r="AE18" s="121"/>
      <c r="AF18" s="119"/>
      <c r="AG18" s="119"/>
      <c r="AH18" s="119"/>
      <c r="AI18" s="74"/>
      <c r="AJ18" s="78" t="str">
        <f t="shared" si="0"/>
        <v/>
      </c>
      <c r="AM18" s="85"/>
      <c r="AO18" s="85"/>
      <c r="AQ18" s="85"/>
    </row>
    <row r="19" spans="1:45" s="78" customFormat="1" ht="31.6" customHeight="1">
      <c r="A19" s="115"/>
      <c r="B19" s="179"/>
      <c r="C19" s="180"/>
      <c r="D19" s="181"/>
      <c r="E19" s="115"/>
      <c r="F19" s="115"/>
      <c r="G19" s="202"/>
      <c r="H19" s="203"/>
      <c r="I19" s="122"/>
      <c r="J19" s="122"/>
      <c r="K19" s="112"/>
      <c r="L19" s="112"/>
      <c r="M19" s="113"/>
      <c r="N19" s="118"/>
      <c r="O19" s="119"/>
      <c r="P19" s="119"/>
      <c r="Q19" s="119"/>
      <c r="R19" s="119"/>
      <c r="S19" s="119"/>
      <c r="T19" s="119"/>
      <c r="U19" s="115"/>
      <c r="V19" s="119"/>
      <c r="W19" s="119"/>
      <c r="X19" s="119"/>
      <c r="Y19" s="120"/>
      <c r="Z19" s="115"/>
      <c r="AA19" s="115"/>
      <c r="AB19" s="115"/>
      <c r="AC19" s="115"/>
      <c r="AD19" s="115"/>
      <c r="AE19" s="121"/>
      <c r="AF19" s="119"/>
      <c r="AG19" s="119"/>
      <c r="AH19" s="119"/>
      <c r="AI19" s="74"/>
      <c r="AJ19" s="78" t="str">
        <f t="shared" si="0"/>
        <v/>
      </c>
      <c r="AM19" s="85"/>
      <c r="AO19" s="85"/>
      <c r="AQ19" s="85"/>
    </row>
    <row r="20" spans="1:45" s="78" customFormat="1" ht="29.95" customHeight="1">
      <c r="A20" s="115"/>
      <c r="B20" s="179"/>
      <c r="C20" s="180"/>
      <c r="D20" s="181"/>
      <c r="E20" s="115"/>
      <c r="F20" s="115"/>
      <c r="G20" s="202"/>
      <c r="H20" s="203"/>
      <c r="I20" s="122"/>
      <c r="J20" s="122"/>
      <c r="K20" s="112"/>
      <c r="L20" s="112"/>
      <c r="M20" s="113"/>
      <c r="N20" s="118"/>
      <c r="O20" s="119"/>
      <c r="P20" s="119"/>
      <c r="Q20" s="119"/>
      <c r="R20" s="70"/>
      <c r="S20" s="70"/>
      <c r="T20" s="70"/>
      <c r="U20" s="71"/>
      <c r="V20" s="70"/>
      <c r="W20" s="70"/>
      <c r="X20" s="70"/>
      <c r="Y20" s="72"/>
      <c r="Z20" s="71"/>
      <c r="AA20" s="115"/>
      <c r="AB20" s="71"/>
      <c r="AC20" s="71"/>
      <c r="AD20" s="115"/>
      <c r="AE20" s="73"/>
      <c r="AF20" s="70"/>
      <c r="AG20" s="70"/>
      <c r="AH20" s="70"/>
      <c r="AI20" s="74"/>
      <c r="AJ20" s="78" t="str">
        <f t="shared" si="0"/>
        <v/>
      </c>
      <c r="AM20" s="85"/>
      <c r="AO20" s="85"/>
      <c r="AQ20" s="85"/>
    </row>
    <row r="21" spans="1:45" s="78" customFormat="1" ht="31.6" customHeight="1">
      <c r="A21" s="115"/>
      <c r="B21" s="179"/>
      <c r="C21" s="180"/>
      <c r="D21" s="181"/>
      <c r="E21" s="115"/>
      <c r="F21" s="115"/>
      <c r="G21" s="202"/>
      <c r="H21" s="203"/>
      <c r="I21" s="122"/>
      <c r="J21" s="122"/>
      <c r="K21" s="112"/>
      <c r="L21" s="112"/>
      <c r="M21" s="113"/>
      <c r="N21" s="118"/>
      <c r="O21" s="119"/>
      <c r="P21" s="119"/>
      <c r="Q21" s="119"/>
      <c r="R21" s="70"/>
      <c r="S21" s="70"/>
      <c r="T21" s="70"/>
      <c r="U21" s="71"/>
      <c r="V21" s="70"/>
      <c r="W21" s="70"/>
      <c r="X21" s="70"/>
      <c r="Y21" s="72"/>
      <c r="Z21" s="71"/>
      <c r="AA21" s="115"/>
      <c r="AB21" s="71"/>
      <c r="AC21" s="71"/>
      <c r="AD21" s="115"/>
      <c r="AE21" s="73"/>
      <c r="AF21" s="70"/>
      <c r="AG21" s="70"/>
      <c r="AH21" s="70"/>
      <c r="AI21" s="74"/>
      <c r="AJ21" s="78" t="str">
        <f t="shared" si="0"/>
        <v/>
      </c>
      <c r="AM21" s="85"/>
      <c r="AO21" s="85"/>
      <c r="AQ21" s="85"/>
    </row>
    <row r="22" spans="1:45" s="53" customFormat="1" ht="29.3" customHeight="1">
      <c r="A22" s="115"/>
      <c r="B22" s="179"/>
      <c r="C22" s="180"/>
      <c r="D22" s="181"/>
      <c r="E22" s="115"/>
      <c r="F22" s="115"/>
      <c r="G22" s="202"/>
      <c r="H22" s="203"/>
      <c r="I22" s="122"/>
      <c r="J22" s="122"/>
      <c r="K22" s="112"/>
      <c r="L22" s="112"/>
      <c r="M22" s="113"/>
      <c r="N22" s="118"/>
      <c r="O22" s="119"/>
      <c r="P22" s="119"/>
      <c r="Q22" s="119"/>
      <c r="R22" s="70"/>
      <c r="S22" s="70"/>
      <c r="T22" s="70"/>
      <c r="U22" s="71"/>
      <c r="V22" s="70"/>
      <c r="W22" s="70"/>
      <c r="X22" s="70"/>
      <c r="Y22" s="75"/>
      <c r="Z22" s="76"/>
      <c r="AA22" s="115"/>
      <c r="AB22" s="71"/>
      <c r="AC22" s="71"/>
      <c r="AD22" s="115"/>
      <c r="AE22" s="73"/>
      <c r="AF22" s="70"/>
      <c r="AG22" s="70"/>
      <c r="AH22" s="70"/>
      <c r="AI22" s="74"/>
      <c r="AJ22" s="78" t="str">
        <f t="shared" si="0"/>
        <v/>
      </c>
      <c r="AM22" s="85"/>
      <c r="AO22" s="85"/>
      <c r="AQ22" s="85"/>
      <c r="AS22" s="78"/>
    </row>
    <row r="23" spans="1:45" s="53" customFormat="1" ht="29.3" customHeight="1">
      <c r="A23" s="115"/>
      <c r="B23" s="179"/>
      <c r="C23" s="180"/>
      <c r="D23" s="181"/>
      <c r="E23" s="115"/>
      <c r="F23" s="115"/>
      <c r="G23" s="202"/>
      <c r="H23" s="203"/>
      <c r="I23" s="122"/>
      <c r="J23" s="122"/>
      <c r="K23" s="112"/>
      <c r="L23" s="112"/>
      <c r="M23" s="113"/>
      <c r="N23" s="118"/>
      <c r="O23" s="119"/>
      <c r="P23" s="119"/>
      <c r="Q23" s="119"/>
      <c r="R23" s="70"/>
      <c r="S23" s="70"/>
      <c r="T23" s="70"/>
      <c r="U23" s="71"/>
      <c r="V23" s="70"/>
      <c r="W23" s="70"/>
      <c r="X23" s="70"/>
      <c r="Y23" s="75"/>
      <c r="Z23" s="76"/>
      <c r="AA23" s="115"/>
      <c r="AB23" s="71"/>
      <c r="AC23" s="71"/>
      <c r="AD23" s="115"/>
      <c r="AE23" s="73"/>
      <c r="AF23" s="70"/>
      <c r="AG23" s="70"/>
      <c r="AH23" s="70"/>
      <c r="AI23" s="74"/>
      <c r="AJ23" s="78" t="str">
        <f t="shared" si="0"/>
        <v/>
      </c>
      <c r="AM23" s="85"/>
      <c r="AO23" s="85"/>
      <c r="AQ23" s="85"/>
      <c r="AS23" s="78"/>
    </row>
    <row r="24" spans="1:45" s="53" customFormat="1" ht="29.3" customHeight="1">
      <c r="A24" s="115"/>
      <c r="B24" s="179"/>
      <c r="C24" s="180"/>
      <c r="D24" s="181"/>
      <c r="E24" s="115"/>
      <c r="F24" s="115"/>
      <c r="G24" s="202"/>
      <c r="H24" s="203"/>
      <c r="I24" s="122"/>
      <c r="J24" s="122"/>
      <c r="K24" s="112"/>
      <c r="L24" s="112"/>
      <c r="M24" s="113"/>
      <c r="N24" s="118"/>
      <c r="O24" s="119"/>
      <c r="P24" s="119"/>
      <c r="Q24" s="119"/>
      <c r="R24" s="70"/>
      <c r="S24" s="70"/>
      <c r="T24" s="70"/>
      <c r="U24" s="71"/>
      <c r="V24" s="70"/>
      <c r="W24" s="70"/>
      <c r="X24" s="70"/>
      <c r="Y24" s="75"/>
      <c r="Z24" s="76"/>
      <c r="AA24" s="115"/>
      <c r="AB24" s="71"/>
      <c r="AC24" s="71"/>
      <c r="AD24" s="115"/>
      <c r="AE24" s="73"/>
      <c r="AF24" s="70"/>
      <c r="AG24" s="70"/>
      <c r="AH24" s="70"/>
      <c r="AI24" s="74"/>
      <c r="AJ24" s="78" t="str">
        <f t="shared" si="0"/>
        <v/>
      </c>
      <c r="AM24" s="85"/>
      <c r="AO24" s="85"/>
      <c r="AQ24" s="85"/>
      <c r="AS24" s="78"/>
    </row>
    <row r="25" spans="1:45" s="53" customFormat="1" ht="29.3" customHeight="1">
      <c r="A25" s="115"/>
      <c r="B25" s="179"/>
      <c r="C25" s="180"/>
      <c r="D25" s="181"/>
      <c r="E25" s="115"/>
      <c r="F25" s="115"/>
      <c r="G25" s="202"/>
      <c r="H25" s="203"/>
      <c r="I25" s="122"/>
      <c r="J25" s="122"/>
      <c r="K25" s="112"/>
      <c r="L25" s="112"/>
      <c r="M25" s="113"/>
      <c r="N25" s="118"/>
      <c r="O25" s="119"/>
      <c r="P25" s="119"/>
      <c r="Q25" s="119"/>
      <c r="R25" s="70"/>
      <c r="S25" s="70"/>
      <c r="T25" s="70"/>
      <c r="U25" s="71"/>
      <c r="V25" s="70"/>
      <c r="W25" s="70"/>
      <c r="X25" s="70"/>
      <c r="Y25" s="75"/>
      <c r="Z25" s="76"/>
      <c r="AA25" s="115"/>
      <c r="AB25" s="71"/>
      <c r="AC25" s="71"/>
      <c r="AD25" s="115"/>
      <c r="AE25" s="73"/>
      <c r="AF25" s="70"/>
      <c r="AG25" s="70"/>
      <c r="AH25" s="70"/>
      <c r="AI25" s="74"/>
      <c r="AJ25" s="78" t="str">
        <f t="shared" si="0"/>
        <v/>
      </c>
      <c r="AM25" s="85"/>
      <c r="AO25" s="85"/>
      <c r="AQ25" s="85"/>
      <c r="AS25" s="78"/>
    </row>
    <row r="26" spans="1:45" s="53" customFormat="1" ht="29.3" customHeight="1">
      <c r="A26" s="115"/>
      <c r="B26" s="179"/>
      <c r="C26" s="180"/>
      <c r="D26" s="181"/>
      <c r="E26" s="115"/>
      <c r="F26" s="115"/>
      <c r="G26" s="202"/>
      <c r="H26" s="203"/>
      <c r="I26" s="122"/>
      <c r="J26" s="122"/>
      <c r="K26" s="112"/>
      <c r="L26" s="112"/>
      <c r="M26" s="113"/>
      <c r="N26" s="118"/>
      <c r="O26" s="119"/>
      <c r="P26" s="119"/>
      <c r="Q26" s="119"/>
      <c r="R26" s="70"/>
      <c r="S26" s="70"/>
      <c r="T26" s="70"/>
      <c r="U26" s="71"/>
      <c r="V26" s="70"/>
      <c r="W26" s="70"/>
      <c r="X26" s="70"/>
      <c r="Y26" s="75"/>
      <c r="Z26" s="76"/>
      <c r="AA26" s="115"/>
      <c r="AB26" s="71"/>
      <c r="AC26" s="71"/>
      <c r="AD26" s="115"/>
      <c r="AE26" s="73"/>
      <c r="AF26" s="70"/>
      <c r="AG26" s="70"/>
      <c r="AH26" s="70"/>
      <c r="AI26" s="74"/>
      <c r="AJ26" s="78" t="str">
        <f t="shared" si="0"/>
        <v/>
      </c>
      <c r="AM26" s="85"/>
      <c r="AO26" s="85"/>
      <c r="AQ26" s="85"/>
      <c r="AS26" s="78"/>
    </row>
    <row r="27" spans="1:45" s="53" customFormat="1" ht="29.3" customHeight="1">
      <c r="A27" s="115"/>
      <c r="B27" s="179"/>
      <c r="C27" s="180"/>
      <c r="D27" s="181"/>
      <c r="E27" s="115"/>
      <c r="F27" s="115"/>
      <c r="G27" s="202"/>
      <c r="H27" s="203"/>
      <c r="I27" s="122"/>
      <c r="J27" s="122"/>
      <c r="K27" s="112"/>
      <c r="L27" s="112"/>
      <c r="M27" s="113"/>
      <c r="N27" s="90"/>
      <c r="O27" s="70"/>
      <c r="P27" s="70"/>
      <c r="Q27" s="70"/>
      <c r="R27" s="70"/>
      <c r="S27" s="70"/>
      <c r="T27" s="70"/>
      <c r="U27" s="71"/>
      <c r="V27" s="70"/>
      <c r="W27" s="70"/>
      <c r="X27" s="70"/>
      <c r="Y27" s="75"/>
      <c r="Z27" s="76"/>
      <c r="AA27" s="115"/>
      <c r="AB27" s="71"/>
      <c r="AC27" s="71"/>
      <c r="AD27" s="115"/>
      <c r="AE27" s="73"/>
      <c r="AF27" s="70"/>
      <c r="AG27" s="70"/>
      <c r="AH27" s="70"/>
      <c r="AI27" s="74"/>
      <c r="AJ27" s="78" t="str">
        <f t="shared" si="0"/>
        <v/>
      </c>
      <c r="AM27" s="85"/>
      <c r="AO27" s="85"/>
      <c r="AQ27" s="85"/>
      <c r="AS27" s="78"/>
    </row>
    <row r="28" spans="1:45" s="53" customFormat="1" ht="29.3" customHeight="1">
      <c r="A28" s="115"/>
      <c r="B28" s="179"/>
      <c r="C28" s="180"/>
      <c r="D28" s="181"/>
      <c r="E28" s="115"/>
      <c r="F28" s="115"/>
      <c r="G28" s="202"/>
      <c r="H28" s="203"/>
      <c r="I28" s="122"/>
      <c r="J28" s="122"/>
      <c r="K28" s="112"/>
      <c r="L28" s="112"/>
      <c r="M28" s="113"/>
      <c r="N28" s="90"/>
      <c r="O28" s="70"/>
      <c r="P28" s="70"/>
      <c r="Q28" s="70"/>
      <c r="R28" s="70"/>
      <c r="S28" s="70"/>
      <c r="T28" s="70"/>
      <c r="U28" s="71"/>
      <c r="V28" s="70"/>
      <c r="W28" s="70"/>
      <c r="X28" s="70"/>
      <c r="Y28" s="75"/>
      <c r="Z28" s="76"/>
      <c r="AA28" s="115"/>
      <c r="AB28" s="71"/>
      <c r="AC28" s="71"/>
      <c r="AD28" s="115"/>
      <c r="AE28" s="73"/>
      <c r="AF28" s="70"/>
      <c r="AG28" s="70"/>
      <c r="AH28" s="70"/>
      <c r="AI28" s="74"/>
      <c r="AJ28" s="78" t="str">
        <f t="shared" si="0"/>
        <v/>
      </c>
      <c r="AM28" s="85"/>
      <c r="AO28" s="85"/>
      <c r="AQ28" s="85"/>
      <c r="AS28" s="78"/>
    </row>
    <row r="29" spans="1:45" s="53" customFormat="1" ht="29.3" customHeight="1">
      <c r="A29" s="115"/>
      <c r="B29" s="179"/>
      <c r="C29" s="180"/>
      <c r="D29" s="181"/>
      <c r="E29" s="115"/>
      <c r="F29" s="115"/>
      <c r="G29" s="202"/>
      <c r="H29" s="203"/>
      <c r="I29" s="122"/>
      <c r="J29" s="122"/>
      <c r="K29" s="112"/>
      <c r="L29" s="112"/>
      <c r="M29" s="113"/>
      <c r="N29" s="90"/>
      <c r="O29" s="70"/>
      <c r="P29" s="70"/>
      <c r="Q29" s="70"/>
      <c r="R29" s="70"/>
      <c r="S29" s="70"/>
      <c r="T29" s="70"/>
      <c r="U29" s="71"/>
      <c r="V29" s="70"/>
      <c r="W29" s="70"/>
      <c r="X29" s="70"/>
      <c r="Y29" s="75"/>
      <c r="Z29" s="76"/>
      <c r="AA29" s="115"/>
      <c r="AB29" s="71"/>
      <c r="AC29" s="71"/>
      <c r="AD29" s="115"/>
      <c r="AE29" s="73"/>
      <c r="AF29" s="70"/>
      <c r="AG29" s="70"/>
      <c r="AH29" s="70"/>
      <c r="AI29" s="74"/>
      <c r="AJ29" s="78" t="str">
        <f t="shared" si="0"/>
        <v/>
      </c>
      <c r="AM29" s="85"/>
      <c r="AO29" s="85"/>
      <c r="AQ29" s="85"/>
      <c r="AS29" s="78"/>
    </row>
    <row r="30" spans="1:45" s="53" customFormat="1" ht="29.3" customHeight="1">
      <c r="A30" s="115"/>
      <c r="B30" s="179"/>
      <c r="C30" s="180"/>
      <c r="D30" s="181"/>
      <c r="E30" s="115"/>
      <c r="F30" s="115"/>
      <c r="G30" s="202"/>
      <c r="H30" s="203"/>
      <c r="I30" s="122"/>
      <c r="J30" s="122"/>
      <c r="K30" s="112"/>
      <c r="L30" s="112"/>
      <c r="M30" s="113"/>
      <c r="N30" s="90"/>
      <c r="O30" s="70"/>
      <c r="P30" s="70"/>
      <c r="Q30" s="70"/>
      <c r="R30" s="70"/>
      <c r="S30" s="70"/>
      <c r="T30" s="70"/>
      <c r="U30" s="71"/>
      <c r="V30" s="70"/>
      <c r="W30" s="70"/>
      <c r="X30" s="70"/>
      <c r="Y30" s="75"/>
      <c r="Z30" s="76"/>
      <c r="AA30" s="115"/>
      <c r="AB30" s="71"/>
      <c r="AC30" s="71"/>
      <c r="AD30" s="115"/>
      <c r="AE30" s="73"/>
      <c r="AF30" s="70"/>
      <c r="AG30" s="70"/>
      <c r="AH30" s="70"/>
      <c r="AI30" s="74"/>
      <c r="AJ30" s="78" t="str">
        <f t="shared" si="0"/>
        <v/>
      </c>
      <c r="AM30" s="85"/>
      <c r="AO30" s="85"/>
      <c r="AQ30" s="85"/>
      <c r="AS30" s="78"/>
    </row>
    <row r="31" spans="1:45" s="53" customFormat="1" ht="29.3" customHeight="1">
      <c r="A31" s="115"/>
      <c r="B31" s="179"/>
      <c r="C31" s="180"/>
      <c r="D31" s="181"/>
      <c r="E31" s="115"/>
      <c r="F31" s="115"/>
      <c r="G31" s="202"/>
      <c r="H31" s="203"/>
      <c r="I31" s="122"/>
      <c r="J31" s="122"/>
      <c r="K31" s="112"/>
      <c r="L31" s="112"/>
      <c r="M31" s="113"/>
      <c r="N31" s="90"/>
      <c r="O31" s="70"/>
      <c r="P31" s="70"/>
      <c r="Q31" s="70"/>
      <c r="R31" s="70"/>
      <c r="S31" s="70"/>
      <c r="T31" s="70"/>
      <c r="U31" s="71"/>
      <c r="V31" s="70"/>
      <c r="W31" s="70"/>
      <c r="X31" s="70"/>
      <c r="Y31" s="75"/>
      <c r="Z31" s="76"/>
      <c r="AA31" s="115"/>
      <c r="AB31" s="71"/>
      <c r="AC31" s="71"/>
      <c r="AD31" s="115"/>
      <c r="AE31" s="73"/>
      <c r="AF31" s="70"/>
      <c r="AG31" s="70"/>
      <c r="AH31" s="70"/>
      <c r="AI31" s="74"/>
      <c r="AJ31" s="78" t="str">
        <f t="shared" si="0"/>
        <v/>
      </c>
      <c r="AM31" s="85"/>
      <c r="AO31" s="85"/>
      <c r="AQ31" s="85"/>
      <c r="AS31" s="78"/>
    </row>
    <row r="32" spans="1:45" s="53" customFormat="1" ht="29.3" customHeight="1">
      <c r="A32" s="115"/>
      <c r="B32" s="179"/>
      <c r="C32" s="180"/>
      <c r="D32" s="181"/>
      <c r="E32" s="115"/>
      <c r="F32" s="115"/>
      <c r="G32" s="202"/>
      <c r="H32" s="203"/>
      <c r="I32" s="122"/>
      <c r="J32" s="122"/>
      <c r="K32" s="112"/>
      <c r="L32" s="112"/>
      <c r="M32" s="113"/>
      <c r="N32" s="90"/>
      <c r="O32" s="70"/>
      <c r="P32" s="70"/>
      <c r="Q32" s="70"/>
      <c r="R32" s="70"/>
      <c r="S32" s="70"/>
      <c r="T32" s="70"/>
      <c r="U32" s="71"/>
      <c r="V32" s="70"/>
      <c r="W32" s="70"/>
      <c r="X32" s="70"/>
      <c r="Y32" s="75"/>
      <c r="Z32" s="76"/>
      <c r="AA32" s="115"/>
      <c r="AB32" s="71"/>
      <c r="AC32" s="71"/>
      <c r="AD32" s="115"/>
      <c r="AE32" s="73"/>
      <c r="AF32" s="70"/>
      <c r="AG32" s="70"/>
      <c r="AH32" s="70"/>
      <c r="AI32" s="74"/>
      <c r="AJ32" s="78" t="str">
        <f t="shared" si="0"/>
        <v/>
      </c>
      <c r="AM32" s="85"/>
      <c r="AO32" s="85"/>
      <c r="AQ32" s="85"/>
      <c r="AS32" s="78"/>
    </row>
    <row r="33" spans="1:45" s="53" customFormat="1" ht="29.3" customHeight="1">
      <c r="A33" s="115"/>
      <c r="B33" s="179"/>
      <c r="C33" s="180"/>
      <c r="D33" s="181"/>
      <c r="E33" s="115"/>
      <c r="F33" s="115"/>
      <c r="G33" s="202"/>
      <c r="H33" s="203"/>
      <c r="I33" s="122"/>
      <c r="J33" s="122"/>
      <c r="K33" s="112"/>
      <c r="L33" s="112"/>
      <c r="M33" s="113"/>
      <c r="N33" s="90"/>
      <c r="O33" s="70"/>
      <c r="P33" s="70"/>
      <c r="Q33" s="70"/>
      <c r="R33" s="70"/>
      <c r="S33" s="70"/>
      <c r="T33" s="70"/>
      <c r="U33" s="71"/>
      <c r="V33" s="70"/>
      <c r="W33" s="70"/>
      <c r="X33" s="70"/>
      <c r="Y33" s="75"/>
      <c r="Z33" s="76"/>
      <c r="AA33" s="115"/>
      <c r="AB33" s="71"/>
      <c r="AC33" s="71"/>
      <c r="AD33" s="115"/>
      <c r="AE33" s="73"/>
      <c r="AF33" s="70"/>
      <c r="AG33" s="70"/>
      <c r="AH33" s="70"/>
      <c r="AI33" s="74"/>
      <c r="AJ33" s="78" t="str">
        <f t="shared" si="0"/>
        <v/>
      </c>
      <c r="AM33" s="85"/>
      <c r="AO33" s="85"/>
      <c r="AQ33" s="85"/>
      <c r="AS33" s="78"/>
    </row>
    <row r="34" spans="1:45" s="53" customFormat="1" ht="29.3" customHeight="1">
      <c r="A34" s="115"/>
      <c r="B34" s="179"/>
      <c r="C34" s="180"/>
      <c r="D34" s="181"/>
      <c r="E34" s="115"/>
      <c r="F34" s="115"/>
      <c r="G34" s="202"/>
      <c r="H34" s="203"/>
      <c r="I34" s="122"/>
      <c r="J34" s="122"/>
      <c r="K34" s="112"/>
      <c r="L34" s="112"/>
      <c r="M34" s="113"/>
      <c r="N34" s="90"/>
      <c r="O34" s="70"/>
      <c r="P34" s="70"/>
      <c r="Q34" s="70"/>
      <c r="R34" s="70"/>
      <c r="S34" s="70"/>
      <c r="T34" s="70"/>
      <c r="U34" s="71"/>
      <c r="V34" s="70"/>
      <c r="W34" s="70"/>
      <c r="X34" s="70"/>
      <c r="Y34" s="75"/>
      <c r="Z34" s="76"/>
      <c r="AA34" s="115"/>
      <c r="AB34" s="71"/>
      <c r="AC34" s="71"/>
      <c r="AD34" s="115"/>
      <c r="AE34" s="73"/>
      <c r="AF34" s="70"/>
      <c r="AG34" s="70"/>
      <c r="AH34" s="70"/>
      <c r="AI34" s="74"/>
      <c r="AJ34" s="78" t="str">
        <f t="shared" si="0"/>
        <v/>
      </c>
      <c r="AM34" s="85"/>
      <c r="AO34" s="85"/>
      <c r="AQ34" s="85"/>
      <c r="AS34" s="78"/>
    </row>
    <row r="35" spans="1:45" s="53" customFormat="1" ht="29.3" customHeight="1">
      <c r="A35" s="115"/>
      <c r="B35" s="179"/>
      <c r="C35" s="180"/>
      <c r="D35" s="181"/>
      <c r="E35" s="115"/>
      <c r="F35" s="115"/>
      <c r="G35" s="202"/>
      <c r="H35" s="203"/>
      <c r="I35" s="122"/>
      <c r="J35" s="122"/>
      <c r="K35" s="112"/>
      <c r="L35" s="112"/>
      <c r="M35" s="113"/>
      <c r="N35" s="90"/>
      <c r="O35" s="70"/>
      <c r="P35" s="70"/>
      <c r="Q35" s="70"/>
      <c r="R35" s="70"/>
      <c r="S35" s="70"/>
      <c r="T35" s="70"/>
      <c r="U35" s="71"/>
      <c r="V35" s="70"/>
      <c r="W35" s="70"/>
      <c r="X35" s="70"/>
      <c r="Y35" s="75"/>
      <c r="Z35" s="76"/>
      <c r="AA35" s="115"/>
      <c r="AB35" s="71"/>
      <c r="AC35" s="71"/>
      <c r="AD35" s="115"/>
      <c r="AE35" s="73"/>
      <c r="AF35" s="70"/>
      <c r="AG35" s="70"/>
      <c r="AH35" s="70"/>
      <c r="AI35" s="74"/>
      <c r="AJ35" s="78" t="str">
        <f t="shared" si="0"/>
        <v/>
      </c>
      <c r="AM35" s="85"/>
      <c r="AO35" s="85"/>
      <c r="AQ35" s="85"/>
      <c r="AS35" s="78"/>
    </row>
    <row r="36" spans="1:45" s="53" customFormat="1" ht="29.3" customHeight="1">
      <c r="A36" s="115"/>
      <c r="B36" s="179"/>
      <c r="C36" s="180"/>
      <c r="D36" s="181"/>
      <c r="E36" s="115"/>
      <c r="F36" s="115"/>
      <c r="G36" s="202"/>
      <c r="H36" s="203"/>
      <c r="I36" s="122"/>
      <c r="J36" s="122"/>
      <c r="K36" s="112"/>
      <c r="L36" s="112"/>
      <c r="M36" s="113"/>
      <c r="N36" s="90"/>
      <c r="O36" s="70"/>
      <c r="P36" s="70"/>
      <c r="Q36" s="70"/>
      <c r="R36" s="70"/>
      <c r="S36" s="70"/>
      <c r="T36" s="70"/>
      <c r="U36" s="71"/>
      <c r="V36" s="70"/>
      <c r="W36" s="70"/>
      <c r="X36" s="70"/>
      <c r="Y36" s="75"/>
      <c r="Z36" s="76"/>
      <c r="AA36" s="115"/>
      <c r="AB36" s="71"/>
      <c r="AC36" s="71"/>
      <c r="AD36" s="115"/>
      <c r="AE36" s="73"/>
      <c r="AF36" s="70"/>
      <c r="AG36" s="70"/>
      <c r="AH36" s="70"/>
      <c r="AI36" s="74"/>
      <c r="AJ36" s="78" t="str">
        <f t="shared" si="0"/>
        <v/>
      </c>
      <c r="AM36" s="85"/>
      <c r="AO36" s="85"/>
      <c r="AQ36" s="85"/>
      <c r="AS36" s="78"/>
    </row>
    <row r="37" spans="1:45" s="53" customFormat="1" ht="29.3" customHeight="1">
      <c r="A37" s="115"/>
      <c r="B37" s="179"/>
      <c r="C37" s="180"/>
      <c r="D37" s="181"/>
      <c r="E37" s="69"/>
      <c r="F37" s="69"/>
      <c r="G37" s="202"/>
      <c r="H37" s="203"/>
      <c r="I37" s="122"/>
      <c r="J37" s="122"/>
      <c r="K37" s="112"/>
      <c r="L37" s="112"/>
      <c r="M37" s="113"/>
      <c r="N37" s="90"/>
      <c r="O37" s="70"/>
      <c r="P37" s="70"/>
      <c r="Q37" s="70"/>
      <c r="R37" s="70"/>
      <c r="S37" s="70"/>
      <c r="T37" s="70"/>
      <c r="U37" s="71"/>
      <c r="V37" s="70"/>
      <c r="W37" s="70"/>
      <c r="X37" s="70"/>
      <c r="Y37" s="75"/>
      <c r="Z37" s="76"/>
      <c r="AA37" s="115"/>
      <c r="AB37" s="71"/>
      <c r="AC37" s="71"/>
      <c r="AD37" s="115"/>
      <c r="AE37" s="73"/>
      <c r="AF37" s="70"/>
      <c r="AG37" s="70"/>
      <c r="AH37" s="70"/>
      <c r="AI37" s="74"/>
      <c r="AJ37" s="78" t="str">
        <f t="shared" si="0"/>
        <v/>
      </c>
      <c r="AM37" s="85"/>
      <c r="AO37" s="85"/>
      <c r="AQ37" s="85"/>
      <c r="AS37" s="78"/>
    </row>
    <row r="38" spans="1:45" s="53" customFormat="1" ht="29.3" customHeight="1">
      <c r="A38" s="115"/>
      <c r="B38" s="179"/>
      <c r="C38" s="180"/>
      <c r="D38" s="181"/>
      <c r="E38" s="69"/>
      <c r="F38" s="69"/>
      <c r="G38" s="202"/>
      <c r="H38" s="203"/>
      <c r="I38" s="122"/>
      <c r="J38" s="122"/>
      <c r="K38" s="112"/>
      <c r="L38" s="112"/>
      <c r="M38" s="113"/>
      <c r="N38" s="90"/>
      <c r="O38" s="70"/>
      <c r="P38" s="70"/>
      <c r="Q38" s="70"/>
      <c r="R38" s="70"/>
      <c r="S38" s="70"/>
      <c r="T38" s="70"/>
      <c r="U38" s="71"/>
      <c r="V38" s="70"/>
      <c r="W38" s="70"/>
      <c r="X38" s="70"/>
      <c r="Y38" s="75"/>
      <c r="Z38" s="76"/>
      <c r="AA38" s="115"/>
      <c r="AB38" s="71"/>
      <c r="AC38" s="71"/>
      <c r="AD38" s="115"/>
      <c r="AE38" s="73"/>
      <c r="AF38" s="70"/>
      <c r="AG38" s="70"/>
      <c r="AH38" s="70"/>
      <c r="AI38" s="74"/>
      <c r="AJ38" s="78" t="str">
        <f t="shared" si="0"/>
        <v/>
      </c>
      <c r="AM38" s="85"/>
      <c r="AO38" s="85"/>
      <c r="AQ38" s="85"/>
      <c r="AS38" s="78"/>
    </row>
    <row r="39" spans="1:45" s="53" customFormat="1" ht="29.3" customHeight="1">
      <c r="A39" s="115"/>
      <c r="B39" s="179"/>
      <c r="C39" s="180"/>
      <c r="D39" s="181"/>
      <c r="E39" s="69"/>
      <c r="F39" s="69"/>
      <c r="G39" s="202"/>
      <c r="H39" s="203"/>
      <c r="I39" s="122"/>
      <c r="J39" s="122"/>
      <c r="K39" s="112"/>
      <c r="L39" s="112"/>
      <c r="M39" s="113"/>
      <c r="N39" s="90"/>
      <c r="O39" s="70"/>
      <c r="P39" s="70"/>
      <c r="Q39" s="70"/>
      <c r="R39" s="70"/>
      <c r="S39" s="70"/>
      <c r="T39" s="70"/>
      <c r="U39" s="71"/>
      <c r="V39" s="70"/>
      <c r="W39" s="70"/>
      <c r="X39" s="70"/>
      <c r="Y39" s="75"/>
      <c r="Z39" s="76"/>
      <c r="AA39" s="115"/>
      <c r="AB39" s="71"/>
      <c r="AC39" s="71"/>
      <c r="AD39" s="115"/>
      <c r="AE39" s="73"/>
      <c r="AF39" s="70"/>
      <c r="AG39" s="70"/>
      <c r="AH39" s="70"/>
      <c r="AI39" s="74"/>
      <c r="AJ39" s="78" t="str">
        <f t="shared" si="0"/>
        <v/>
      </c>
      <c r="AM39" s="85"/>
      <c r="AO39" s="85"/>
      <c r="AQ39" s="85"/>
      <c r="AS39" s="78"/>
    </row>
    <row r="40" spans="1:45" s="53" customFormat="1" ht="29.3" customHeight="1">
      <c r="A40" s="115"/>
      <c r="B40" s="179"/>
      <c r="C40" s="180"/>
      <c r="D40" s="181"/>
      <c r="E40" s="69"/>
      <c r="F40" s="69"/>
      <c r="G40" s="202"/>
      <c r="H40" s="203"/>
      <c r="I40" s="122"/>
      <c r="J40" s="122"/>
      <c r="K40" s="112"/>
      <c r="L40" s="112"/>
      <c r="M40" s="113"/>
      <c r="N40" s="90"/>
      <c r="O40" s="70"/>
      <c r="P40" s="70"/>
      <c r="Q40" s="70"/>
      <c r="R40" s="70"/>
      <c r="S40" s="70"/>
      <c r="T40" s="70"/>
      <c r="U40" s="71"/>
      <c r="V40" s="70"/>
      <c r="W40" s="70"/>
      <c r="X40" s="70"/>
      <c r="Y40" s="75"/>
      <c r="Z40" s="76"/>
      <c r="AA40" s="115"/>
      <c r="AB40" s="71"/>
      <c r="AC40" s="71"/>
      <c r="AD40" s="115"/>
      <c r="AE40" s="73"/>
      <c r="AF40" s="70"/>
      <c r="AG40" s="70"/>
      <c r="AH40" s="70"/>
      <c r="AI40" s="74"/>
      <c r="AJ40" s="78" t="str">
        <f t="shared" si="0"/>
        <v/>
      </c>
      <c r="AM40" s="85"/>
      <c r="AO40" s="85"/>
      <c r="AQ40" s="85"/>
      <c r="AS40" s="78"/>
    </row>
    <row r="41" spans="1:45" s="53" customFormat="1" ht="29.3" customHeight="1">
      <c r="A41" s="115"/>
      <c r="B41" s="179"/>
      <c r="C41" s="180"/>
      <c r="D41" s="181"/>
      <c r="E41" s="69"/>
      <c r="F41" s="69"/>
      <c r="G41" s="202"/>
      <c r="H41" s="203"/>
      <c r="I41" s="122"/>
      <c r="J41" s="122"/>
      <c r="K41" s="112"/>
      <c r="L41" s="112"/>
      <c r="M41" s="113"/>
      <c r="N41" s="90"/>
      <c r="O41" s="70"/>
      <c r="P41" s="70"/>
      <c r="Q41" s="70"/>
      <c r="R41" s="70"/>
      <c r="S41" s="70"/>
      <c r="T41" s="70"/>
      <c r="U41" s="71"/>
      <c r="V41" s="70"/>
      <c r="W41" s="70"/>
      <c r="X41" s="70"/>
      <c r="Y41" s="75"/>
      <c r="Z41" s="76"/>
      <c r="AA41" s="115"/>
      <c r="AB41" s="71"/>
      <c r="AC41" s="71"/>
      <c r="AD41" s="115"/>
      <c r="AE41" s="73"/>
      <c r="AF41" s="70"/>
      <c r="AG41" s="70"/>
      <c r="AH41" s="70"/>
      <c r="AI41" s="74"/>
      <c r="AJ41" s="78" t="str">
        <f t="shared" si="0"/>
        <v/>
      </c>
      <c r="AM41" s="85"/>
      <c r="AO41" s="85"/>
      <c r="AQ41" s="85"/>
      <c r="AS41" s="78"/>
    </row>
    <row r="42" spans="1:45" s="53" customFormat="1" ht="29.3" customHeight="1">
      <c r="A42" s="115"/>
      <c r="B42" s="179"/>
      <c r="C42" s="180"/>
      <c r="D42" s="181"/>
      <c r="E42" s="69"/>
      <c r="F42" s="69"/>
      <c r="G42" s="202"/>
      <c r="H42" s="203"/>
      <c r="I42" s="122"/>
      <c r="J42" s="122"/>
      <c r="K42" s="112"/>
      <c r="L42" s="112"/>
      <c r="M42" s="113"/>
      <c r="N42" s="90"/>
      <c r="O42" s="70"/>
      <c r="P42" s="70"/>
      <c r="Q42" s="70"/>
      <c r="R42" s="70"/>
      <c r="S42" s="70"/>
      <c r="T42" s="70"/>
      <c r="U42" s="71"/>
      <c r="V42" s="70"/>
      <c r="W42" s="70"/>
      <c r="X42" s="70"/>
      <c r="Y42" s="75"/>
      <c r="Z42" s="76"/>
      <c r="AA42" s="115"/>
      <c r="AB42" s="71"/>
      <c r="AC42" s="71"/>
      <c r="AD42" s="115"/>
      <c r="AE42" s="73"/>
      <c r="AF42" s="70"/>
      <c r="AG42" s="70"/>
      <c r="AH42" s="70"/>
      <c r="AI42" s="74"/>
      <c r="AJ42" s="78" t="str">
        <f t="shared" si="0"/>
        <v/>
      </c>
      <c r="AM42" s="85"/>
      <c r="AO42" s="85"/>
      <c r="AQ42" s="85"/>
      <c r="AS42" s="78"/>
    </row>
    <row r="43" spans="1:45" s="53" customFormat="1" ht="29.3" customHeight="1">
      <c r="A43" s="115"/>
      <c r="B43" s="170"/>
      <c r="C43" s="171"/>
      <c r="D43" s="171"/>
      <c r="E43" s="69"/>
      <c r="F43" s="69"/>
      <c r="G43" s="202"/>
      <c r="H43" s="203"/>
      <c r="I43" s="176"/>
      <c r="J43" s="204"/>
      <c r="K43" s="112"/>
      <c r="L43" s="112"/>
      <c r="M43" s="113"/>
      <c r="N43" s="90"/>
      <c r="O43" s="70"/>
      <c r="P43" s="70"/>
      <c r="Q43" s="70"/>
      <c r="R43" s="70"/>
      <c r="S43" s="70"/>
      <c r="T43" s="70"/>
      <c r="U43" s="71"/>
      <c r="V43" s="70"/>
      <c r="W43" s="70"/>
      <c r="X43" s="70"/>
      <c r="Y43" s="75"/>
      <c r="Z43" s="76"/>
      <c r="AA43" s="71"/>
      <c r="AB43" s="71"/>
      <c r="AC43" s="71"/>
      <c r="AD43" s="71"/>
      <c r="AE43" s="73"/>
      <c r="AF43" s="70"/>
      <c r="AG43" s="70"/>
      <c r="AH43" s="70"/>
      <c r="AI43" s="74"/>
      <c r="AJ43" s="78" t="str">
        <f t="shared" si="0"/>
        <v/>
      </c>
      <c r="AM43" s="85"/>
      <c r="AO43" s="85"/>
      <c r="AQ43" s="85"/>
      <c r="AS43" s="78"/>
    </row>
    <row r="44" spans="1:45" s="53" customFormat="1" ht="29.3" customHeight="1">
      <c r="A44" s="115"/>
      <c r="B44" s="170"/>
      <c r="C44" s="171"/>
      <c r="D44" s="171"/>
      <c r="E44" s="69"/>
      <c r="F44" s="69"/>
      <c r="G44" s="176"/>
      <c r="H44" s="177"/>
      <c r="I44" s="176"/>
      <c r="J44" s="204"/>
      <c r="K44" s="112"/>
      <c r="L44" s="112"/>
      <c r="M44" s="113"/>
      <c r="N44" s="90"/>
      <c r="O44" s="70"/>
      <c r="P44" s="70"/>
      <c r="Q44" s="70"/>
      <c r="R44" s="70"/>
      <c r="S44" s="70"/>
      <c r="T44" s="70"/>
      <c r="U44" s="71"/>
      <c r="V44" s="70"/>
      <c r="W44" s="70"/>
      <c r="X44" s="70"/>
      <c r="Y44" s="75"/>
      <c r="Z44" s="76"/>
      <c r="AA44" s="71"/>
      <c r="AB44" s="71"/>
      <c r="AC44" s="71"/>
      <c r="AD44" s="71"/>
      <c r="AE44" s="73"/>
      <c r="AF44" s="70"/>
      <c r="AG44" s="70"/>
      <c r="AH44" s="70"/>
      <c r="AI44" s="74"/>
      <c r="AJ44" s="78" t="str">
        <f t="shared" si="0"/>
        <v/>
      </c>
      <c r="AM44" s="85"/>
      <c r="AO44" s="85"/>
      <c r="AQ44" s="85"/>
      <c r="AS44" s="78"/>
    </row>
    <row r="45" spans="1:45" s="53" customFormat="1" ht="29.3" customHeight="1">
      <c r="A45" s="115"/>
      <c r="B45" s="170"/>
      <c r="C45" s="171"/>
      <c r="D45" s="171"/>
      <c r="E45" s="69"/>
      <c r="F45" s="69"/>
      <c r="G45" s="176"/>
      <c r="H45" s="177"/>
      <c r="I45" s="176"/>
      <c r="J45" s="204"/>
      <c r="K45" s="112"/>
      <c r="L45" s="112"/>
      <c r="M45" s="113"/>
      <c r="N45" s="90"/>
      <c r="O45" s="70"/>
      <c r="P45" s="70"/>
      <c r="Q45" s="70"/>
      <c r="R45" s="70"/>
      <c r="S45" s="70"/>
      <c r="T45" s="70"/>
      <c r="U45" s="71"/>
      <c r="V45" s="70"/>
      <c r="W45" s="70"/>
      <c r="X45" s="70"/>
      <c r="Y45" s="75"/>
      <c r="Z45" s="76"/>
      <c r="AA45" s="71"/>
      <c r="AB45" s="71"/>
      <c r="AC45" s="71"/>
      <c r="AD45" s="71"/>
      <c r="AE45" s="73"/>
      <c r="AF45" s="70"/>
      <c r="AG45" s="70"/>
      <c r="AH45" s="70"/>
      <c r="AI45" s="74"/>
      <c r="AJ45" s="78" t="str">
        <f t="shared" si="0"/>
        <v/>
      </c>
      <c r="AM45" s="85"/>
      <c r="AO45" s="85"/>
      <c r="AQ45" s="85"/>
      <c r="AS45" s="78"/>
    </row>
    <row r="46" spans="1:45" s="53" customFormat="1" ht="29.3" customHeight="1">
      <c r="A46" s="115"/>
      <c r="B46" s="170"/>
      <c r="C46" s="171"/>
      <c r="D46" s="171"/>
      <c r="E46" s="69"/>
      <c r="F46" s="69"/>
      <c r="G46" s="176"/>
      <c r="H46" s="177"/>
      <c r="I46" s="176"/>
      <c r="J46" s="204"/>
      <c r="K46" s="112"/>
      <c r="L46" s="112"/>
      <c r="M46" s="113"/>
      <c r="N46" s="90"/>
      <c r="O46" s="70"/>
      <c r="P46" s="70"/>
      <c r="Q46" s="70"/>
      <c r="R46" s="70"/>
      <c r="S46" s="70"/>
      <c r="T46" s="70"/>
      <c r="U46" s="71"/>
      <c r="V46" s="70"/>
      <c r="W46" s="70"/>
      <c r="X46" s="70"/>
      <c r="Y46" s="75"/>
      <c r="Z46" s="76"/>
      <c r="AA46" s="71"/>
      <c r="AB46" s="71"/>
      <c r="AC46" s="71"/>
      <c r="AD46" s="71"/>
      <c r="AE46" s="73"/>
      <c r="AF46" s="70"/>
      <c r="AG46" s="70"/>
      <c r="AH46" s="70"/>
      <c r="AI46" s="74"/>
      <c r="AJ46" s="78" t="str">
        <f t="shared" si="0"/>
        <v/>
      </c>
      <c r="AM46" s="85"/>
      <c r="AO46" s="85"/>
      <c r="AQ46" s="85"/>
      <c r="AS46" s="78"/>
    </row>
    <row r="47" spans="1:45" s="53" customFormat="1" ht="29.3" customHeight="1">
      <c r="A47" s="115"/>
      <c r="B47" s="170"/>
      <c r="C47" s="171"/>
      <c r="D47" s="171"/>
      <c r="E47" s="69"/>
      <c r="F47" s="69"/>
      <c r="G47" s="176"/>
      <c r="H47" s="177"/>
      <c r="I47" s="176"/>
      <c r="J47" s="204"/>
      <c r="K47" s="112"/>
      <c r="L47" s="112"/>
      <c r="M47" s="113"/>
      <c r="N47" s="90"/>
      <c r="O47" s="70"/>
      <c r="P47" s="70"/>
      <c r="Q47" s="70"/>
      <c r="R47" s="70"/>
      <c r="S47" s="70"/>
      <c r="T47" s="70"/>
      <c r="U47" s="71"/>
      <c r="V47" s="70"/>
      <c r="W47" s="70"/>
      <c r="X47" s="70"/>
      <c r="Y47" s="75"/>
      <c r="Z47" s="76"/>
      <c r="AA47" s="71"/>
      <c r="AB47" s="71"/>
      <c r="AC47" s="71"/>
      <c r="AD47" s="71"/>
      <c r="AE47" s="73"/>
      <c r="AF47" s="70"/>
      <c r="AG47" s="70"/>
      <c r="AH47" s="70"/>
      <c r="AI47" s="74"/>
      <c r="AJ47" s="78" t="str">
        <f t="shared" si="0"/>
        <v/>
      </c>
      <c r="AM47" s="85"/>
      <c r="AO47" s="85"/>
      <c r="AQ47" s="85"/>
      <c r="AS47" s="78"/>
    </row>
    <row r="48" spans="1:45" s="53" customFormat="1" ht="29.3" customHeight="1">
      <c r="A48" s="115"/>
      <c r="B48" s="170"/>
      <c r="C48" s="171"/>
      <c r="D48" s="171"/>
      <c r="E48" s="69"/>
      <c r="F48" s="69"/>
      <c r="G48" s="176"/>
      <c r="H48" s="177"/>
      <c r="I48" s="176"/>
      <c r="J48" s="204"/>
      <c r="K48" s="112"/>
      <c r="L48" s="112"/>
      <c r="M48" s="113"/>
      <c r="N48" s="90"/>
      <c r="O48" s="70"/>
      <c r="P48" s="70"/>
      <c r="Q48" s="70"/>
      <c r="R48" s="70"/>
      <c r="S48" s="70"/>
      <c r="T48" s="70"/>
      <c r="U48" s="71"/>
      <c r="V48" s="70"/>
      <c r="W48" s="70"/>
      <c r="X48" s="70"/>
      <c r="Y48" s="75"/>
      <c r="Z48" s="76"/>
      <c r="AA48" s="71"/>
      <c r="AB48" s="71"/>
      <c r="AC48" s="71"/>
      <c r="AD48" s="71"/>
      <c r="AE48" s="73"/>
      <c r="AF48" s="70"/>
      <c r="AG48" s="70"/>
      <c r="AH48" s="70"/>
      <c r="AI48" s="74"/>
      <c r="AJ48" s="78" t="str">
        <f t="shared" si="0"/>
        <v/>
      </c>
      <c r="AM48" s="85"/>
      <c r="AO48" s="85"/>
      <c r="AQ48" s="85"/>
      <c r="AS48" s="78"/>
    </row>
    <row r="49" spans="1:45" s="53" customFormat="1" ht="29.3" customHeight="1">
      <c r="A49" s="115"/>
      <c r="B49" s="170"/>
      <c r="C49" s="171"/>
      <c r="D49" s="171"/>
      <c r="E49" s="69"/>
      <c r="F49" s="69"/>
      <c r="G49" s="176"/>
      <c r="H49" s="177"/>
      <c r="I49" s="176"/>
      <c r="J49" s="204"/>
      <c r="K49" s="112"/>
      <c r="L49" s="112"/>
      <c r="M49" s="113"/>
      <c r="N49" s="90"/>
      <c r="O49" s="70"/>
      <c r="P49" s="70"/>
      <c r="Q49" s="70"/>
      <c r="R49" s="70"/>
      <c r="S49" s="70"/>
      <c r="T49" s="70"/>
      <c r="U49" s="71"/>
      <c r="V49" s="70"/>
      <c r="W49" s="70"/>
      <c r="X49" s="70"/>
      <c r="Y49" s="75"/>
      <c r="Z49" s="76"/>
      <c r="AA49" s="71"/>
      <c r="AB49" s="71"/>
      <c r="AC49" s="71"/>
      <c r="AD49" s="71"/>
      <c r="AE49" s="73"/>
      <c r="AF49" s="70"/>
      <c r="AG49" s="70"/>
      <c r="AH49" s="70"/>
      <c r="AI49" s="74"/>
      <c r="AJ49" s="78" t="str">
        <f t="shared" si="0"/>
        <v/>
      </c>
      <c r="AM49" s="85"/>
      <c r="AO49" s="85"/>
      <c r="AQ49" s="85"/>
      <c r="AS49" s="78"/>
    </row>
    <row r="50" spans="1:45" s="53" customFormat="1" ht="29.3" customHeight="1">
      <c r="A50" s="115"/>
      <c r="B50" s="170"/>
      <c r="C50" s="171"/>
      <c r="D50" s="171"/>
      <c r="E50" s="69"/>
      <c r="F50" s="69"/>
      <c r="G50" s="176"/>
      <c r="H50" s="177"/>
      <c r="I50" s="176"/>
      <c r="J50" s="204"/>
      <c r="K50" s="112"/>
      <c r="L50" s="112"/>
      <c r="M50" s="113"/>
      <c r="N50" s="90"/>
      <c r="O50" s="70"/>
      <c r="P50" s="70"/>
      <c r="Q50" s="70"/>
      <c r="R50" s="70"/>
      <c r="S50" s="70"/>
      <c r="T50" s="70"/>
      <c r="U50" s="71"/>
      <c r="V50" s="70"/>
      <c r="W50" s="70"/>
      <c r="X50" s="70"/>
      <c r="Y50" s="75"/>
      <c r="Z50" s="76"/>
      <c r="AA50" s="71"/>
      <c r="AB50" s="71"/>
      <c r="AC50" s="71"/>
      <c r="AD50" s="71"/>
      <c r="AE50" s="73"/>
      <c r="AF50" s="70"/>
      <c r="AG50" s="70"/>
      <c r="AH50" s="70"/>
      <c r="AI50" s="74"/>
      <c r="AJ50" s="78" t="str">
        <f t="shared" si="0"/>
        <v/>
      </c>
      <c r="AM50" s="85"/>
      <c r="AO50" s="85"/>
      <c r="AQ50" s="85"/>
      <c r="AS50" s="78"/>
    </row>
    <row r="51" spans="1:45" s="53" customFormat="1" ht="29.3" customHeight="1">
      <c r="A51" s="115"/>
      <c r="B51" s="170"/>
      <c r="C51" s="171"/>
      <c r="D51" s="171"/>
      <c r="E51" s="69"/>
      <c r="F51" s="69"/>
      <c r="G51" s="176"/>
      <c r="H51" s="177"/>
      <c r="I51" s="176"/>
      <c r="J51" s="204"/>
      <c r="K51" s="112"/>
      <c r="L51" s="112"/>
      <c r="M51" s="113"/>
      <c r="N51" s="90"/>
      <c r="O51" s="70"/>
      <c r="P51" s="70"/>
      <c r="Q51" s="70"/>
      <c r="R51" s="70"/>
      <c r="S51" s="70"/>
      <c r="T51" s="70"/>
      <c r="U51" s="71"/>
      <c r="V51" s="70"/>
      <c r="W51" s="70"/>
      <c r="X51" s="70"/>
      <c r="Y51" s="75"/>
      <c r="Z51" s="76"/>
      <c r="AA51" s="71"/>
      <c r="AB51" s="71"/>
      <c r="AC51" s="71"/>
      <c r="AD51" s="71"/>
      <c r="AE51" s="73"/>
      <c r="AF51" s="70"/>
      <c r="AG51" s="70"/>
      <c r="AH51" s="70"/>
      <c r="AI51" s="74"/>
      <c r="AJ51" s="78" t="str">
        <f t="shared" si="0"/>
        <v/>
      </c>
      <c r="AM51" s="85"/>
      <c r="AO51" s="85"/>
      <c r="AQ51" s="85"/>
      <c r="AS51" s="78"/>
    </row>
    <row r="52" spans="1:45" s="53" customFormat="1" ht="29.3" customHeight="1">
      <c r="A52" s="115"/>
      <c r="B52" s="170"/>
      <c r="C52" s="171"/>
      <c r="D52" s="171"/>
      <c r="E52" s="69"/>
      <c r="F52" s="69"/>
      <c r="G52" s="172"/>
      <c r="H52" s="172"/>
      <c r="I52" s="176"/>
      <c r="J52" s="204"/>
      <c r="K52" s="112"/>
      <c r="L52" s="112"/>
      <c r="M52" s="113"/>
      <c r="N52" s="90"/>
      <c r="O52" s="70"/>
      <c r="P52" s="70"/>
      <c r="Q52" s="70"/>
      <c r="R52" s="70"/>
      <c r="S52" s="70"/>
      <c r="T52" s="70"/>
      <c r="U52" s="71"/>
      <c r="V52" s="70"/>
      <c r="W52" s="70"/>
      <c r="X52" s="70"/>
      <c r="Y52" s="75"/>
      <c r="Z52" s="76"/>
      <c r="AA52" s="71"/>
      <c r="AB52" s="71"/>
      <c r="AC52" s="71"/>
      <c r="AD52" s="71"/>
      <c r="AE52" s="73"/>
      <c r="AF52" s="70"/>
      <c r="AG52" s="70"/>
      <c r="AH52" s="70"/>
      <c r="AI52" s="74"/>
      <c r="AJ52" s="78" t="str">
        <f t="shared" si="0"/>
        <v/>
      </c>
      <c r="AM52" s="85"/>
      <c r="AO52" s="85"/>
      <c r="AQ52" s="85"/>
      <c r="AS52" s="78"/>
    </row>
    <row r="53" spans="1:45" s="53" customFormat="1" ht="29.3" customHeight="1">
      <c r="A53" s="115"/>
      <c r="B53" s="170"/>
      <c r="C53" s="171"/>
      <c r="D53" s="171"/>
      <c r="E53" s="69"/>
      <c r="F53" s="69"/>
      <c r="G53" s="172"/>
      <c r="H53" s="172"/>
      <c r="I53" s="176"/>
      <c r="J53" s="204"/>
      <c r="K53" s="112"/>
      <c r="L53" s="112"/>
      <c r="M53" s="113"/>
      <c r="N53" s="90"/>
      <c r="O53" s="70"/>
      <c r="P53" s="70"/>
      <c r="Q53" s="70"/>
      <c r="R53" s="70"/>
      <c r="S53" s="70"/>
      <c r="T53" s="70"/>
      <c r="U53" s="71"/>
      <c r="V53" s="70"/>
      <c r="W53" s="70"/>
      <c r="X53" s="70"/>
      <c r="Y53" s="75"/>
      <c r="Z53" s="76"/>
      <c r="AA53" s="71"/>
      <c r="AB53" s="71"/>
      <c r="AC53" s="71"/>
      <c r="AD53" s="71"/>
      <c r="AE53" s="73"/>
      <c r="AF53" s="70"/>
      <c r="AG53" s="70"/>
      <c r="AH53" s="70"/>
      <c r="AI53" s="74"/>
      <c r="AJ53" s="78" t="str">
        <f t="shared" si="0"/>
        <v/>
      </c>
      <c r="AM53" s="85"/>
      <c r="AO53" s="85"/>
      <c r="AQ53" s="85"/>
      <c r="AS53" s="78"/>
    </row>
    <row r="54" spans="1:45" s="53" customFormat="1" ht="29.3" customHeight="1">
      <c r="A54" s="115"/>
      <c r="B54" s="170"/>
      <c r="C54" s="171"/>
      <c r="D54" s="171"/>
      <c r="E54" s="69"/>
      <c r="F54" s="69"/>
      <c r="G54" s="172"/>
      <c r="H54" s="172"/>
      <c r="I54" s="176"/>
      <c r="J54" s="204"/>
      <c r="K54" s="112"/>
      <c r="L54" s="112"/>
      <c r="M54" s="113"/>
      <c r="N54" s="90"/>
      <c r="O54" s="70"/>
      <c r="P54" s="70"/>
      <c r="Q54" s="70"/>
      <c r="R54" s="70"/>
      <c r="S54" s="70"/>
      <c r="T54" s="70"/>
      <c r="U54" s="71"/>
      <c r="V54" s="70"/>
      <c r="W54" s="70"/>
      <c r="X54" s="70"/>
      <c r="Y54" s="75"/>
      <c r="Z54" s="76"/>
      <c r="AA54" s="71"/>
      <c r="AB54" s="71"/>
      <c r="AC54" s="71"/>
      <c r="AD54" s="71"/>
      <c r="AE54" s="73"/>
      <c r="AF54" s="70"/>
      <c r="AG54" s="70"/>
      <c r="AH54" s="70"/>
      <c r="AI54" s="74"/>
      <c r="AJ54" s="78" t="str">
        <f t="shared" si="0"/>
        <v/>
      </c>
      <c r="AM54" s="85"/>
      <c r="AO54" s="85"/>
      <c r="AQ54" s="85"/>
      <c r="AS54" s="78"/>
    </row>
    <row r="55" spans="1:45" s="53" customFormat="1" ht="29.3" customHeight="1">
      <c r="A55" s="115"/>
      <c r="B55" s="170"/>
      <c r="C55" s="171"/>
      <c r="D55" s="171"/>
      <c r="E55" s="69"/>
      <c r="F55" s="69"/>
      <c r="G55" s="172"/>
      <c r="H55" s="172"/>
      <c r="I55" s="176"/>
      <c r="J55" s="204"/>
      <c r="K55" s="112"/>
      <c r="L55" s="112"/>
      <c r="M55" s="113"/>
      <c r="N55" s="90"/>
      <c r="O55" s="70"/>
      <c r="P55" s="70"/>
      <c r="Q55" s="70"/>
      <c r="R55" s="70"/>
      <c r="S55" s="70"/>
      <c r="T55" s="70"/>
      <c r="U55" s="71"/>
      <c r="V55" s="70"/>
      <c r="W55" s="70"/>
      <c r="X55" s="70"/>
      <c r="Y55" s="75"/>
      <c r="Z55" s="76"/>
      <c r="AA55" s="71"/>
      <c r="AB55" s="71"/>
      <c r="AC55" s="71"/>
      <c r="AD55" s="71"/>
      <c r="AE55" s="73"/>
      <c r="AF55" s="70"/>
      <c r="AG55" s="70"/>
      <c r="AH55" s="70"/>
      <c r="AI55" s="74"/>
      <c r="AJ55" s="78" t="str">
        <f t="shared" si="0"/>
        <v/>
      </c>
      <c r="AM55" s="85"/>
      <c r="AO55" s="85"/>
      <c r="AQ55" s="85"/>
      <c r="AS55" s="78"/>
    </row>
    <row r="56" spans="1:45" s="53" customFormat="1" ht="29.3" customHeight="1">
      <c r="A56" s="115"/>
      <c r="B56" s="170"/>
      <c r="C56" s="171"/>
      <c r="D56" s="171"/>
      <c r="E56" s="69"/>
      <c r="F56" s="69"/>
      <c r="G56" s="172"/>
      <c r="H56" s="172"/>
      <c r="I56" s="176"/>
      <c r="J56" s="204"/>
      <c r="K56" s="112"/>
      <c r="L56" s="112"/>
      <c r="M56" s="113"/>
      <c r="N56" s="90"/>
      <c r="O56" s="70"/>
      <c r="P56" s="70"/>
      <c r="Q56" s="70"/>
      <c r="R56" s="70"/>
      <c r="S56" s="70"/>
      <c r="T56" s="70"/>
      <c r="U56" s="71"/>
      <c r="V56" s="70"/>
      <c r="W56" s="70"/>
      <c r="X56" s="70"/>
      <c r="Y56" s="75"/>
      <c r="Z56" s="76"/>
      <c r="AA56" s="71"/>
      <c r="AB56" s="71"/>
      <c r="AC56" s="71"/>
      <c r="AD56" s="71"/>
      <c r="AE56" s="73"/>
      <c r="AF56" s="70"/>
      <c r="AG56" s="70"/>
      <c r="AH56" s="70"/>
      <c r="AI56" s="74"/>
      <c r="AJ56" s="78" t="str">
        <f t="shared" si="0"/>
        <v/>
      </c>
      <c r="AM56" s="85"/>
      <c r="AO56" s="85"/>
      <c r="AQ56" s="85"/>
      <c r="AS56" s="78"/>
    </row>
    <row r="57" spans="1:45" s="53" customFormat="1" ht="29.3" customHeight="1">
      <c r="A57" s="115"/>
      <c r="B57" s="170"/>
      <c r="C57" s="171"/>
      <c r="D57" s="171"/>
      <c r="E57" s="69"/>
      <c r="F57" s="69"/>
      <c r="G57" s="172"/>
      <c r="H57" s="172"/>
      <c r="I57" s="176"/>
      <c r="J57" s="204"/>
      <c r="K57" s="112"/>
      <c r="L57" s="112"/>
      <c r="M57" s="113"/>
      <c r="N57" s="90"/>
      <c r="O57" s="70"/>
      <c r="P57" s="70"/>
      <c r="Q57" s="70"/>
      <c r="R57" s="70"/>
      <c r="S57" s="70"/>
      <c r="T57" s="70"/>
      <c r="U57" s="71"/>
      <c r="V57" s="70"/>
      <c r="W57" s="70"/>
      <c r="X57" s="70"/>
      <c r="Y57" s="75"/>
      <c r="Z57" s="76"/>
      <c r="AA57" s="71"/>
      <c r="AB57" s="71"/>
      <c r="AC57" s="71"/>
      <c r="AD57" s="71"/>
      <c r="AE57" s="73"/>
      <c r="AF57" s="70"/>
      <c r="AG57" s="70"/>
      <c r="AH57" s="70"/>
      <c r="AI57" s="74"/>
      <c r="AJ57" s="78" t="str">
        <f t="shared" si="0"/>
        <v/>
      </c>
      <c r="AM57" s="85"/>
      <c r="AO57" s="85"/>
      <c r="AQ57" s="85"/>
      <c r="AS57" s="78"/>
    </row>
    <row r="58" spans="1:45" s="53" customFormat="1" ht="29.3" customHeight="1">
      <c r="A58" s="115"/>
      <c r="B58" s="170"/>
      <c r="C58" s="171"/>
      <c r="D58" s="171"/>
      <c r="E58" s="69"/>
      <c r="F58" s="69"/>
      <c r="G58" s="172"/>
      <c r="H58" s="172"/>
      <c r="I58" s="176"/>
      <c r="J58" s="204"/>
      <c r="K58" s="112"/>
      <c r="L58" s="112"/>
      <c r="M58" s="113"/>
      <c r="N58" s="90"/>
      <c r="O58" s="70"/>
      <c r="P58" s="70"/>
      <c r="Q58" s="70"/>
      <c r="R58" s="70"/>
      <c r="S58" s="70"/>
      <c r="T58" s="70"/>
      <c r="U58" s="71"/>
      <c r="V58" s="70"/>
      <c r="W58" s="70"/>
      <c r="X58" s="70"/>
      <c r="Y58" s="75"/>
      <c r="Z58" s="76"/>
      <c r="AA58" s="71"/>
      <c r="AB58" s="71"/>
      <c r="AC58" s="71"/>
      <c r="AD58" s="71"/>
      <c r="AE58" s="73"/>
      <c r="AF58" s="70"/>
      <c r="AG58" s="70"/>
      <c r="AH58" s="70"/>
      <c r="AI58" s="74"/>
      <c r="AJ58" s="78" t="str">
        <f t="shared" si="0"/>
        <v/>
      </c>
      <c r="AM58" s="85"/>
      <c r="AO58" s="85"/>
      <c r="AQ58" s="85"/>
      <c r="AS58" s="78"/>
    </row>
    <row r="59" spans="1:45" s="53" customFormat="1" ht="29.3" customHeight="1">
      <c r="A59" s="115"/>
      <c r="B59" s="170"/>
      <c r="C59" s="171"/>
      <c r="D59" s="171"/>
      <c r="E59" s="69"/>
      <c r="F59" s="69"/>
      <c r="G59" s="172"/>
      <c r="H59" s="172"/>
      <c r="I59" s="176"/>
      <c r="J59" s="204"/>
      <c r="K59" s="112"/>
      <c r="L59" s="112"/>
      <c r="M59" s="113"/>
      <c r="N59" s="90"/>
      <c r="O59" s="70"/>
      <c r="P59" s="70"/>
      <c r="Q59" s="70"/>
      <c r="R59" s="70"/>
      <c r="S59" s="70"/>
      <c r="T59" s="70"/>
      <c r="U59" s="71"/>
      <c r="V59" s="70"/>
      <c r="W59" s="70"/>
      <c r="X59" s="70"/>
      <c r="Y59" s="75"/>
      <c r="Z59" s="76"/>
      <c r="AA59" s="71"/>
      <c r="AB59" s="71"/>
      <c r="AC59" s="71"/>
      <c r="AD59" s="71"/>
      <c r="AE59" s="73"/>
      <c r="AF59" s="70"/>
      <c r="AG59" s="70"/>
      <c r="AH59" s="70"/>
      <c r="AI59" s="74"/>
      <c r="AJ59" s="78" t="str">
        <f t="shared" si="0"/>
        <v/>
      </c>
      <c r="AM59" s="85"/>
      <c r="AO59" s="85"/>
      <c r="AQ59" s="85"/>
      <c r="AS59" s="78"/>
    </row>
    <row r="60" spans="1:45" s="53" customFormat="1" ht="29.3" customHeight="1">
      <c r="A60" s="115"/>
      <c r="B60" s="170"/>
      <c r="C60" s="171"/>
      <c r="D60" s="171"/>
      <c r="E60" s="69"/>
      <c r="F60" s="69"/>
      <c r="G60" s="172"/>
      <c r="H60" s="172"/>
      <c r="I60" s="176"/>
      <c r="J60" s="204"/>
      <c r="K60" s="112"/>
      <c r="L60" s="112"/>
      <c r="M60" s="113"/>
      <c r="N60" s="90"/>
      <c r="O60" s="70"/>
      <c r="P60" s="70"/>
      <c r="Q60" s="70"/>
      <c r="R60" s="70"/>
      <c r="S60" s="70"/>
      <c r="T60" s="70"/>
      <c r="U60" s="71"/>
      <c r="V60" s="70"/>
      <c r="W60" s="70"/>
      <c r="X60" s="70"/>
      <c r="Y60" s="75"/>
      <c r="Z60" s="76"/>
      <c r="AA60" s="71"/>
      <c r="AB60" s="71"/>
      <c r="AC60" s="71"/>
      <c r="AD60" s="71"/>
      <c r="AE60" s="73"/>
      <c r="AF60" s="70"/>
      <c r="AG60" s="70"/>
      <c r="AH60" s="70"/>
      <c r="AI60" s="74"/>
      <c r="AJ60" s="78" t="str">
        <f t="shared" si="0"/>
        <v/>
      </c>
      <c r="AM60" s="85"/>
      <c r="AO60" s="85"/>
      <c r="AQ60" s="85"/>
      <c r="AS60" s="78"/>
    </row>
    <row r="61" spans="1:45">
      <c r="K61" s="68"/>
      <c r="L61" s="68"/>
      <c r="M61" s="68"/>
      <c r="O61" s="68"/>
      <c r="P61" s="68"/>
      <c r="Q61" s="68"/>
      <c r="R61" s="68"/>
      <c r="S61" s="68"/>
      <c r="T61" s="68"/>
      <c r="V61" s="68"/>
      <c r="W61" s="68"/>
      <c r="X61" s="68"/>
      <c r="AI61" s="54"/>
      <c r="AJ61" s="78" t="str">
        <f t="shared" si="0"/>
        <v/>
      </c>
      <c r="AM61" s="85"/>
      <c r="AO61" s="85"/>
      <c r="AQ61" s="85"/>
      <c r="AS61" s="78"/>
    </row>
    <row r="62" spans="1:45">
      <c r="K62" s="68"/>
      <c r="L62" s="68"/>
      <c r="M62" s="68"/>
      <c r="O62" s="68"/>
      <c r="P62" s="68"/>
      <c r="Q62" s="68"/>
      <c r="R62" s="68"/>
      <c r="S62" s="68"/>
      <c r="T62" s="68"/>
      <c r="V62" s="68"/>
      <c r="W62" s="68"/>
      <c r="X62" s="68"/>
      <c r="AI62" s="54"/>
      <c r="AJ62" s="78" t="str">
        <f t="shared" si="0"/>
        <v/>
      </c>
      <c r="AM62" s="85"/>
      <c r="AO62" s="85"/>
      <c r="AQ62" s="85"/>
      <c r="AS62" s="78"/>
    </row>
    <row r="63" spans="1:45">
      <c r="K63" s="68"/>
      <c r="L63" s="68"/>
      <c r="M63" s="68"/>
      <c r="O63" s="68"/>
      <c r="P63" s="68"/>
      <c r="Q63" s="68"/>
      <c r="R63" s="68"/>
      <c r="S63" s="68"/>
      <c r="T63" s="68"/>
      <c r="V63" s="68"/>
      <c r="W63" s="68"/>
      <c r="X63" s="68"/>
      <c r="AI63" s="54"/>
      <c r="AJ63" s="78" t="str">
        <f t="shared" si="0"/>
        <v/>
      </c>
      <c r="AM63" s="85"/>
      <c r="AO63" s="85"/>
      <c r="AQ63" s="85"/>
      <c r="AS63" s="78"/>
    </row>
    <row r="64" spans="1:45">
      <c r="K64" s="68"/>
      <c r="L64" s="68"/>
      <c r="M64" s="68"/>
      <c r="O64" s="68"/>
      <c r="P64" s="68"/>
      <c r="Q64" s="68"/>
      <c r="R64" s="68"/>
      <c r="S64" s="68"/>
      <c r="T64" s="68"/>
      <c r="V64" s="68"/>
      <c r="W64" s="68"/>
      <c r="X64" s="68"/>
      <c r="AI64" s="54"/>
      <c r="AJ64" s="78" t="str">
        <f t="shared" si="0"/>
        <v/>
      </c>
      <c r="AM64" s="85"/>
      <c r="AO64" s="85"/>
      <c r="AQ64" s="85"/>
      <c r="AS64" s="78"/>
    </row>
    <row r="65" spans="11:45">
      <c r="K65" s="68"/>
      <c r="L65" s="68"/>
      <c r="M65" s="68"/>
      <c r="O65" s="68"/>
      <c r="P65" s="68"/>
      <c r="Q65" s="68"/>
      <c r="R65" s="68"/>
      <c r="S65" s="68"/>
      <c r="T65" s="68"/>
      <c r="V65" s="68"/>
      <c r="W65" s="68"/>
      <c r="X65" s="68"/>
      <c r="AI65" s="54"/>
      <c r="AJ65" s="78" t="str">
        <f t="shared" si="0"/>
        <v/>
      </c>
      <c r="AM65" s="85"/>
      <c r="AO65" s="85"/>
      <c r="AQ65" s="85"/>
      <c r="AS65" s="78"/>
    </row>
    <row r="66" spans="11:45">
      <c r="K66" s="68"/>
      <c r="L66" s="68"/>
      <c r="M66" s="68"/>
      <c r="O66" s="68"/>
      <c r="P66" s="68"/>
      <c r="Q66" s="68"/>
      <c r="R66" s="68"/>
      <c r="S66" s="68"/>
      <c r="T66" s="68"/>
      <c r="V66" s="68"/>
      <c r="W66" s="68"/>
      <c r="X66" s="68"/>
      <c r="AI66" s="54"/>
      <c r="AJ66" s="78" t="str">
        <f t="shared" si="0"/>
        <v/>
      </c>
      <c r="AM66" s="85"/>
      <c r="AO66" s="85"/>
      <c r="AQ66" s="85"/>
      <c r="AS66" s="78"/>
    </row>
    <row r="67" spans="11:45">
      <c r="K67" s="68"/>
      <c r="L67" s="68"/>
      <c r="M67" s="68"/>
      <c r="O67" s="68"/>
      <c r="P67" s="68"/>
      <c r="Q67" s="68"/>
      <c r="R67" s="68"/>
      <c r="S67" s="68"/>
      <c r="T67" s="68"/>
      <c r="V67" s="68"/>
      <c r="W67" s="68"/>
      <c r="X67" s="68"/>
      <c r="AI67" s="54"/>
      <c r="AJ67" s="78" t="str">
        <f t="shared" si="0"/>
        <v/>
      </c>
      <c r="AM67" s="85"/>
      <c r="AO67" s="85"/>
      <c r="AQ67" s="85"/>
      <c r="AS67" s="78"/>
    </row>
    <row r="68" spans="11:45">
      <c r="K68" s="68"/>
      <c r="L68" s="68"/>
      <c r="M68" s="68"/>
      <c r="O68" s="68"/>
      <c r="P68" s="68"/>
      <c r="Q68" s="68"/>
      <c r="R68" s="68"/>
      <c r="S68" s="68"/>
      <c r="T68" s="68"/>
      <c r="V68" s="68"/>
      <c r="W68" s="68"/>
      <c r="X68" s="68"/>
      <c r="AI68" s="54"/>
      <c r="AJ68" s="78" t="str">
        <f t="shared" si="0"/>
        <v/>
      </c>
      <c r="AM68" s="85"/>
      <c r="AO68" s="85"/>
      <c r="AQ68" s="85"/>
      <c r="AS68" s="78"/>
    </row>
    <row r="69" spans="11:45">
      <c r="K69" s="68"/>
      <c r="L69" s="68"/>
      <c r="M69" s="68"/>
      <c r="O69" s="68"/>
      <c r="P69" s="68"/>
      <c r="Q69" s="68"/>
      <c r="R69" s="68"/>
      <c r="S69" s="68"/>
      <c r="T69" s="68"/>
      <c r="V69" s="68"/>
      <c r="W69" s="68"/>
      <c r="X69" s="68"/>
      <c r="AI69" s="54"/>
      <c r="AJ69" s="78" t="str">
        <f t="shared" si="0"/>
        <v/>
      </c>
      <c r="AM69" s="85"/>
      <c r="AO69" s="85"/>
      <c r="AQ69" s="85"/>
      <c r="AS69" s="78"/>
    </row>
    <row r="70" spans="11:45">
      <c r="K70" s="68"/>
      <c r="L70" s="68"/>
      <c r="M70" s="68"/>
      <c r="O70" s="68"/>
      <c r="P70" s="68"/>
      <c r="Q70" s="68"/>
      <c r="R70" s="68"/>
      <c r="S70" s="68"/>
      <c r="T70" s="68"/>
      <c r="V70" s="68"/>
      <c r="W70" s="68"/>
      <c r="X70" s="68"/>
      <c r="AI70" s="54"/>
      <c r="AJ70" s="78" t="str">
        <f t="shared" si="0"/>
        <v/>
      </c>
      <c r="AM70" s="85"/>
      <c r="AO70" s="85"/>
      <c r="AQ70" s="85"/>
      <c r="AS70" s="78"/>
    </row>
    <row r="71" spans="11:45">
      <c r="K71" s="68"/>
      <c r="L71" s="68"/>
      <c r="M71" s="68"/>
      <c r="O71" s="68"/>
      <c r="P71" s="68"/>
      <c r="Q71" s="68"/>
      <c r="R71" s="68"/>
      <c r="S71" s="68"/>
      <c r="T71" s="68"/>
      <c r="V71" s="68"/>
      <c r="W71" s="68"/>
      <c r="X71" s="68"/>
      <c r="AI71" s="54"/>
      <c r="AJ71" s="78" t="str">
        <f t="shared" si="0"/>
        <v/>
      </c>
      <c r="AM71" s="85"/>
      <c r="AO71" s="85"/>
      <c r="AQ71" s="85"/>
      <c r="AS71" s="78"/>
    </row>
    <row r="72" spans="11:45">
      <c r="K72" s="68"/>
      <c r="L72" s="68"/>
      <c r="M72" s="68"/>
      <c r="O72" s="68"/>
      <c r="P72" s="68"/>
      <c r="Q72" s="68"/>
      <c r="R72" s="68"/>
      <c r="S72" s="68"/>
      <c r="T72" s="68"/>
      <c r="V72" s="68"/>
      <c r="W72" s="68"/>
      <c r="X72" s="68"/>
      <c r="AI72" s="54"/>
      <c r="AJ72" s="78" t="str">
        <f t="shared" si="0"/>
        <v/>
      </c>
      <c r="AM72" s="85"/>
      <c r="AO72" s="85"/>
      <c r="AQ72" s="85"/>
      <c r="AS72" s="78"/>
    </row>
    <row r="73" spans="11:45">
      <c r="K73" s="68"/>
      <c r="L73" s="68"/>
      <c r="M73" s="68"/>
      <c r="O73" s="68"/>
      <c r="P73" s="68"/>
      <c r="Q73" s="68"/>
      <c r="R73" s="68"/>
      <c r="S73" s="68"/>
      <c r="T73" s="68"/>
      <c r="V73" s="68"/>
      <c r="W73" s="68"/>
      <c r="X73" s="68"/>
      <c r="AI73" s="54"/>
      <c r="AJ73" s="78" t="str">
        <f t="shared" si="0"/>
        <v/>
      </c>
      <c r="AM73" s="85"/>
      <c r="AO73" s="85"/>
      <c r="AQ73" s="85"/>
      <c r="AS73" s="78"/>
    </row>
    <row r="74" spans="11:45">
      <c r="K74" s="68"/>
      <c r="L74" s="68"/>
      <c r="M74" s="68"/>
      <c r="O74" s="68"/>
      <c r="P74" s="68"/>
      <c r="Q74" s="68"/>
      <c r="R74" s="68"/>
      <c r="S74" s="68"/>
      <c r="T74" s="68"/>
      <c r="V74" s="68"/>
      <c r="W74" s="68"/>
      <c r="X74" s="68"/>
      <c r="AI74" s="54"/>
      <c r="AJ74" s="78" t="str">
        <f t="shared" si="0"/>
        <v/>
      </c>
      <c r="AM74" s="85"/>
      <c r="AO74" s="85"/>
      <c r="AQ74" s="85"/>
      <c r="AS74" s="78"/>
    </row>
    <row r="75" spans="11:45">
      <c r="K75" s="68"/>
      <c r="L75" s="68"/>
      <c r="M75" s="68"/>
      <c r="O75" s="68"/>
      <c r="P75" s="68"/>
      <c r="Q75" s="68"/>
      <c r="R75" s="68"/>
      <c r="S75" s="68"/>
      <c r="T75" s="68"/>
      <c r="V75" s="68"/>
      <c r="W75" s="68"/>
      <c r="X75" s="68"/>
      <c r="AI75" s="54"/>
      <c r="AJ75" s="78" t="str">
        <f t="shared" si="0"/>
        <v/>
      </c>
      <c r="AM75" s="85"/>
      <c r="AO75" s="85"/>
      <c r="AQ75" s="85"/>
      <c r="AS75" s="78"/>
    </row>
    <row r="76" spans="11:45">
      <c r="K76" s="68"/>
      <c r="L76" s="68"/>
      <c r="M76" s="68"/>
      <c r="O76" s="68"/>
      <c r="P76" s="68"/>
      <c r="Q76" s="68"/>
      <c r="R76" s="68"/>
      <c r="S76" s="68"/>
      <c r="T76" s="68"/>
      <c r="V76" s="68"/>
      <c r="W76" s="68"/>
      <c r="X76" s="68"/>
      <c r="AI76" s="54"/>
      <c r="AJ76" s="78" t="str">
        <f t="shared" si="0"/>
        <v/>
      </c>
      <c r="AM76" s="85"/>
      <c r="AO76" s="85"/>
      <c r="AQ76" s="85"/>
      <c r="AS76" s="78"/>
    </row>
    <row r="77" spans="11:45">
      <c r="K77" s="68"/>
      <c r="L77" s="68"/>
      <c r="M77" s="68"/>
      <c r="O77" s="68"/>
      <c r="P77" s="68"/>
      <c r="Q77" s="68"/>
      <c r="R77" s="68"/>
      <c r="S77" s="68"/>
      <c r="T77" s="68"/>
      <c r="V77" s="68"/>
      <c r="W77" s="68"/>
      <c r="X77" s="68"/>
      <c r="AI77" s="54"/>
      <c r="AJ77" s="78" t="str">
        <f t="shared" si="0"/>
        <v/>
      </c>
      <c r="AM77" s="85"/>
      <c r="AO77" s="85"/>
      <c r="AQ77" s="85"/>
      <c r="AS77" s="78"/>
    </row>
    <row r="78" spans="11:45">
      <c r="K78" s="68"/>
      <c r="L78" s="68"/>
      <c r="M78" s="68"/>
      <c r="O78" s="68"/>
      <c r="P78" s="68"/>
      <c r="Q78" s="68"/>
      <c r="R78" s="68"/>
      <c r="S78" s="68"/>
      <c r="T78" s="68"/>
      <c r="V78" s="68"/>
      <c r="W78" s="68"/>
      <c r="X78" s="68"/>
      <c r="AI78" s="54"/>
      <c r="AJ78" s="78" t="str">
        <f t="shared" ref="AJ78:AJ141" si="1">IF(AI78="","",VLOOKUP(AI78,SEGUIMIENTOS,2,FALSE))</f>
        <v/>
      </c>
      <c r="AM78" s="85"/>
      <c r="AO78" s="85"/>
      <c r="AQ78" s="85"/>
      <c r="AS78" s="78"/>
    </row>
    <row r="79" spans="11:45">
      <c r="K79" s="68"/>
      <c r="L79" s="68"/>
      <c r="M79" s="68"/>
      <c r="O79" s="68"/>
      <c r="P79" s="68"/>
      <c r="Q79" s="68"/>
      <c r="R79" s="68"/>
      <c r="S79" s="68"/>
      <c r="T79" s="68"/>
      <c r="V79" s="68"/>
      <c r="W79" s="68"/>
      <c r="X79" s="68"/>
      <c r="AI79" s="54"/>
      <c r="AJ79" s="78" t="str">
        <f t="shared" si="1"/>
        <v/>
      </c>
      <c r="AM79" s="85"/>
      <c r="AO79" s="85"/>
      <c r="AQ79" s="85"/>
      <c r="AS79" s="78"/>
    </row>
    <row r="80" spans="11:45">
      <c r="K80" s="68"/>
      <c r="L80" s="68"/>
      <c r="M80" s="68"/>
      <c r="O80" s="68"/>
      <c r="P80" s="68"/>
      <c r="Q80" s="68"/>
      <c r="R80" s="68"/>
      <c r="S80" s="68"/>
      <c r="T80" s="68"/>
      <c r="V80" s="68"/>
      <c r="W80" s="68"/>
      <c r="X80" s="68"/>
      <c r="AI80" s="54"/>
      <c r="AJ80" s="78" t="str">
        <f t="shared" si="1"/>
        <v/>
      </c>
      <c r="AM80" s="85"/>
      <c r="AO80" s="85"/>
      <c r="AQ80" s="85"/>
      <c r="AS80" s="78"/>
    </row>
    <row r="81" spans="11:45">
      <c r="K81" s="68"/>
      <c r="L81" s="68"/>
      <c r="M81" s="68"/>
      <c r="O81" s="68"/>
      <c r="P81" s="68"/>
      <c r="Q81" s="68"/>
      <c r="R81" s="68"/>
      <c r="S81" s="68"/>
      <c r="T81" s="68"/>
      <c r="V81" s="68"/>
      <c r="W81" s="68"/>
      <c r="X81" s="68"/>
      <c r="AI81" s="54"/>
      <c r="AJ81" s="78" t="str">
        <f t="shared" si="1"/>
        <v/>
      </c>
      <c r="AM81" s="85"/>
      <c r="AO81" s="85"/>
      <c r="AQ81" s="85"/>
      <c r="AS81" s="78"/>
    </row>
    <row r="82" spans="11:45">
      <c r="K82" s="68"/>
      <c r="L82" s="68"/>
      <c r="M82" s="68"/>
      <c r="O82" s="68"/>
      <c r="P82" s="68"/>
      <c r="Q82" s="68"/>
      <c r="R82" s="68"/>
      <c r="S82" s="68"/>
      <c r="T82" s="68"/>
      <c r="V82" s="68"/>
      <c r="W82" s="68"/>
      <c r="X82" s="68"/>
      <c r="AI82" s="54"/>
      <c r="AJ82" s="78" t="str">
        <f t="shared" si="1"/>
        <v/>
      </c>
      <c r="AM82" s="85"/>
      <c r="AO82" s="85"/>
      <c r="AQ82" s="85"/>
      <c r="AS82" s="78"/>
    </row>
    <row r="83" spans="11:45">
      <c r="K83" s="68"/>
      <c r="L83" s="68"/>
      <c r="M83" s="68"/>
      <c r="O83" s="68"/>
      <c r="P83" s="68"/>
      <c r="Q83" s="68"/>
      <c r="R83" s="68"/>
      <c r="S83" s="68"/>
      <c r="T83" s="68"/>
      <c r="V83" s="68"/>
      <c r="W83" s="68"/>
      <c r="X83" s="68"/>
      <c r="AI83" s="54"/>
      <c r="AJ83" s="78" t="str">
        <f t="shared" si="1"/>
        <v/>
      </c>
      <c r="AM83" s="85"/>
      <c r="AO83" s="85"/>
      <c r="AQ83" s="85"/>
      <c r="AS83" s="78"/>
    </row>
    <row r="84" spans="11:45">
      <c r="K84" s="68"/>
      <c r="L84" s="68"/>
      <c r="M84" s="68"/>
      <c r="O84" s="68"/>
      <c r="P84" s="68"/>
      <c r="Q84" s="68"/>
      <c r="R84" s="68"/>
      <c r="S84" s="68"/>
      <c r="T84" s="68"/>
      <c r="V84" s="68"/>
      <c r="W84" s="68"/>
      <c r="X84" s="68"/>
      <c r="AI84" s="54"/>
      <c r="AJ84" s="78" t="str">
        <f t="shared" si="1"/>
        <v/>
      </c>
      <c r="AM84" s="85"/>
      <c r="AO84" s="85"/>
      <c r="AQ84" s="85"/>
      <c r="AS84" s="78"/>
    </row>
    <row r="85" spans="11:45">
      <c r="K85" s="68"/>
      <c r="L85" s="68"/>
      <c r="M85" s="68"/>
      <c r="O85" s="68"/>
      <c r="P85" s="68"/>
      <c r="Q85" s="68"/>
      <c r="R85" s="68"/>
      <c r="S85" s="68"/>
      <c r="T85" s="68"/>
      <c r="V85" s="68"/>
      <c r="W85" s="68"/>
      <c r="X85" s="68"/>
      <c r="AI85" s="54"/>
      <c r="AJ85" s="78" t="str">
        <f t="shared" si="1"/>
        <v/>
      </c>
      <c r="AM85" s="85"/>
      <c r="AO85" s="85"/>
      <c r="AQ85" s="85"/>
      <c r="AS85" s="78"/>
    </row>
    <row r="86" spans="11:45">
      <c r="K86" s="68"/>
      <c r="L86" s="68"/>
      <c r="M86" s="68"/>
      <c r="O86" s="68"/>
      <c r="P86" s="68"/>
      <c r="Q86" s="68"/>
      <c r="R86" s="68"/>
      <c r="S86" s="68"/>
      <c r="T86" s="68"/>
      <c r="V86" s="68"/>
      <c r="W86" s="68"/>
      <c r="X86" s="68"/>
      <c r="AI86" s="54"/>
      <c r="AJ86" s="78" t="str">
        <f t="shared" si="1"/>
        <v/>
      </c>
      <c r="AM86" s="85"/>
      <c r="AO86" s="85"/>
      <c r="AQ86" s="85"/>
      <c r="AS86" s="78"/>
    </row>
    <row r="87" spans="11:45">
      <c r="K87" s="68"/>
      <c r="L87" s="68"/>
      <c r="M87" s="68"/>
      <c r="O87" s="68"/>
      <c r="P87" s="68"/>
      <c r="Q87" s="68"/>
      <c r="R87" s="68"/>
      <c r="S87" s="68"/>
      <c r="T87" s="68"/>
      <c r="V87" s="68"/>
      <c r="W87" s="68"/>
      <c r="X87" s="68"/>
      <c r="AI87" s="54"/>
      <c r="AJ87" s="78" t="str">
        <f t="shared" si="1"/>
        <v/>
      </c>
      <c r="AM87" s="85"/>
      <c r="AO87" s="85"/>
      <c r="AQ87" s="85"/>
      <c r="AS87" s="78"/>
    </row>
    <row r="88" spans="11:45">
      <c r="K88" s="68"/>
      <c r="L88" s="68"/>
      <c r="M88" s="68"/>
      <c r="O88" s="68"/>
      <c r="P88" s="68"/>
      <c r="Q88" s="68"/>
      <c r="R88" s="68"/>
      <c r="S88" s="68"/>
      <c r="T88" s="68"/>
      <c r="V88" s="68"/>
      <c r="W88" s="68"/>
      <c r="X88" s="68"/>
      <c r="AI88" s="54"/>
      <c r="AJ88" s="78" t="str">
        <f t="shared" si="1"/>
        <v/>
      </c>
      <c r="AM88" s="85"/>
      <c r="AO88" s="85"/>
      <c r="AQ88" s="85"/>
      <c r="AS88" s="78"/>
    </row>
    <row r="89" spans="11:45">
      <c r="K89" s="68"/>
      <c r="L89" s="68"/>
      <c r="M89" s="68"/>
      <c r="O89" s="68"/>
      <c r="P89" s="68"/>
      <c r="Q89" s="68"/>
      <c r="R89" s="68"/>
      <c r="S89" s="68"/>
      <c r="T89" s="68"/>
      <c r="V89" s="68"/>
      <c r="W89" s="68"/>
      <c r="X89" s="68"/>
      <c r="AI89" s="54"/>
      <c r="AJ89" s="78" t="str">
        <f t="shared" si="1"/>
        <v/>
      </c>
      <c r="AM89" s="85"/>
      <c r="AO89" s="85"/>
      <c r="AQ89" s="85"/>
      <c r="AS89" s="78"/>
    </row>
    <row r="90" spans="11:45">
      <c r="K90" s="68"/>
      <c r="L90" s="68"/>
      <c r="M90" s="68"/>
      <c r="O90" s="68"/>
      <c r="P90" s="68"/>
      <c r="Q90" s="68"/>
      <c r="R90" s="68"/>
      <c r="S90" s="68"/>
      <c r="T90" s="68"/>
      <c r="V90" s="68"/>
      <c r="W90" s="68"/>
      <c r="X90" s="68"/>
      <c r="AI90" s="54"/>
      <c r="AJ90" s="78" t="str">
        <f t="shared" si="1"/>
        <v/>
      </c>
      <c r="AM90" s="85"/>
      <c r="AO90" s="85"/>
      <c r="AQ90" s="85"/>
      <c r="AS90" s="78"/>
    </row>
    <row r="91" spans="11:45">
      <c r="K91" s="68"/>
      <c r="L91" s="68"/>
      <c r="M91" s="68"/>
      <c r="O91" s="68"/>
      <c r="P91" s="68"/>
      <c r="Q91" s="68"/>
      <c r="R91" s="68"/>
      <c r="S91" s="68"/>
      <c r="T91" s="68"/>
      <c r="V91" s="68"/>
      <c r="W91" s="68"/>
      <c r="X91" s="68"/>
      <c r="AI91" s="54"/>
      <c r="AJ91" s="78" t="str">
        <f t="shared" si="1"/>
        <v/>
      </c>
      <c r="AM91" s="85"/>
      <c r="AO91" s="85"/>
      <c r="AQ91" s="85"/>
      <c r="AS91" s="78"/>
    </row>
    <row r="92" spans="11:45">
      <c r="K92" s="68"/>
      <c r="L92" s="68"/>
      <c r="M92" s="68"/>
      <c r="O92" s="68"/>
      <c r="P92" s="68"/>
      <c r="Q92" s="68"/>
      <c r="R92" s="68"/>
      <c r="S92" s="68"/>
      <c r="T92" s="68"/>
      <c r="V92" s="68"/>
      <c r="W92" s="68"/>
      <c r="X92" s="68"/>
      <c r="AI92" s="54"/>
      <c r="AJ92" s="78" t="str">
        <f t="shared" si="1"/>
        <v/>
      </c>
      <c r="AM92" s="85"/>
      <c r="AO92" s="85"/>
      <c r="AQ92" s="85"/>
      <c r="AS92" s="78"/>
    </row>
    <row r="93" spans="11:45">
      <c r="K93" s="68"/>
      <c r="L93" s="68"/>
      <c r="M93" s="68"/>
      <c r="O93" s="68"/>
      <c r="P93" s="68"/>
      <c r="Q93" s="68"/>
      <c r="R93" s="68"/>
      <c r="S93" s="68"/>
      <c r="T93" s="68"/>
      <c r="V93" s="68"/>
      <c r="W93" s="68"/>
      <c r="X93" s="68"/>
      <c r="AI93" s="54"/>
      <c r="AJ93" s="78" t="str">
        <f t="shared" si="1"/>
        <v/>
      </c>
      <c r="AM93" s="85"/>
      <c r="AO93" s="85"/>
      <c r="AQ93" s="85"/>
      <c r="AS93" s="78"/>
    </row>
    <row r="94" spans="11:45">
      <c r="K94" s="68"/>
      <c r="L94" s="68"/>
      <c r="M94" s="68"/>
      <c r="O94" s="68"/>
      <c r="P94" s="68"/>
      <c r="Q94" s="68"/>
      <c r="R94" s="68"/>
      <c r="S94" s="68"/>
      <c r="T94" s="68"/>
      <c r="V94" s="68"/>
      <c r="W94" s="68"/>
      <c r="X94" s="68"/>
      <c r="AI94" s="54"/>
      <c r="AJ94" s="78" t="str">
        <f t="shared" si="1"/>
        <v/>
      </c>
      <c r="AM94" s="85"/>
      <c r="AO94" s="85"/>
      <c r="AQ94" s="85"/>
      <c r="AS94" s="78"/>
    </row>
    <row r="95" spans="11:45">
      <c r="K95" s="68"/>
      <c r="L95" s="68"/>
      <c r="M95" s="68"/>
      <c r="O95" s="68"/>
      <c r="P95" s="68"/>
      <c r="Q95" s="68"/>
      <c r="R95" s="68"/>
      <c r="S95" s="68"/>
      <c r="T95" s="68"/>
      <c r="V95" s="68"/>
      <c r="W95" s="68"/>
      <c r="X95" s="68"/>
      <c r="AI95" s="54"/>
      <c r="AJ95" s="78" t="str">
        <f t="shared" si="1"/>
        <v/>
      </c>
      <c r="AM95" s="85"/>
      <c r="AO95" s="85"/>
      <c r="AQ95" s="85"/>
      <c r="AS95" s="78"/>
    </row>
    <row r="96" spans="11:45">
      <c r="K96" s="68"/>
      <c r="L96" s="68"/>
      <c r="M96" s="68"/>
      <c r="O96" s="68"/>
      <c r="P96" s="68"/>
      <c r="Q96" s="68"/>
      <c r="R96" s="68"/>
      <c r="S96" s="68"/>
      <c r="T96" s="68"/>
      <c r="V96" s="68"/>
      <c r="W96" s="68"/>
      <c r="X96" s="68"/>
      <c r="AI96" s="54"/>
      <c r="AJ96" s="78" t="str">
        <f t="shared" si="1"/>
        <v/>
      </c>
      <c r="AM96" s="85"/>
      <c r="AO96" s="85"/>
      <c r="AQ96" s="85"/>
      <c r="AS96" s="78"/>
    </row>
    <row r="97" spans="11:45">
      <c r="K97" s="68"/>
      <c r="L97" s="68"/>
      <c r="M97" s="68"/>
      <c r="O97" s="68"/>
      <c r="P97" s="68"/>
      <c r="Q97" s="68"/>
      <c r="R97" s="68"/>
      <c r="S97" s="68"/>
      <c r="T97" s="68"/>
      <c r="V97" s="68"/>
      <c r="W97" s="68"/>
      <c r="X97" s="68"/>
      <c r="AI97" s="54"/>
      <c r="AJ97" s="78" t="str">
        <f t="shared" si="1"/>
        <v/>
      </c>
      <c r="AM97" s="85"/>
      <c r="AO97" s="85"/>
      <c r="AQ97" s="85"/>
      <c r="AS97" s="78"/>
    </row>
    <row r="98" spans="11:45">
      <c r="K98" s="68"/>
      <c r="L98" s="68"/>
      <c r="M98" s="68"/>
      <c r="O98" s="68"/>
      <c r="P98" s="68"/>
      <c r="Q98" s="68"/>
      <c r="R98" s="68"/>
      <c r="S98" s="68"/>
      <c r="T98" s="68"/>
      <c r="V98" s="68"/>
      <c r="W98" s="68"/>
      <c r="X98" s="68"/>
      <c r="AI98" s="54"/>
      <c r="AJ98" s="78" t="str">
        <f t="shared" si="1"/>
        <v/>
      </c>
      <c r="AM98" s="85"/>
      <c r="AO98" s="85"/>
      <c r="AQ98" s="85"/>
      <c r="AS98" s="78"/>
    </row>
    <row r="99" spans="11:45">
      <c r="K99" s="68"/>
      <c r="L99" s="68"/>
      <c r="M99" s="68"/>
      <c r="O99" s="68"/>
      <c r="P99" s="68"/>
      <c r="Q99" s="68"/>
      <c r="R99" s="68"/>
      <c r="S99" s="68"/>
      <c r="T99" s="68"/>
      <c r="V99" s="68"/>
      <c r="W99" s="68"/>
      <c r="X99" s="68"/>
      <c r="AI99" s="54"/>
      <c r="AJ99" s="78" t="str">
        <f t="shared" si="1"/>
        <v/>
      </c>
      <c r="AM99" s="85"/>
      <c r="AO99" s="85"/>
      <c r="AQ99" s="85"/>
      <c r="AS99" s="78"/>
    </row>
    <row r="100" spans="11:45">
      <c r="K100" s="68"/>
      <c r="L100" s="68"/>
      <c r="M100" s="68"/>
      <c r="O100" s="68"/>
      <c r="P100" s="68"/>
      <c r="Q100" s="68"/>
      <c r="R100" s="68"/>
      <c r="S100" s="68"/>
      <c r="T100" s="68"/>
      <c r="V100" s="68"/>
      <c r="W100" s="68"/>
      <c r="X100" s="68"/>
      <c r="AI100" s="54"/>
      <c r="AJ100" s="78" t="str">
        <f t="shared" si="1"/>
        <v/>
      </c>
      <c r="AM100" s="85"/>
      <c r="AO100" s="85"/>
      <c r="AQ100" s="85"/>
      <c r="AS100" s="78"/>
    </row>
    <row r="101" spans="11:45">
      <c r="K101" s="68"/>
      <c r="L101" s="68"/>
      <c r="M101" s="68"/>
      <c r="O101" s="68"/>
      <c r="P101" s="68"/>
      <c r="Q101" s="68"/>
      <c r="R101" s="68"/>
      <c r="S101" s="68"/>
      <c r="T101" s="68"/>
      <c r="V101" s="68"/>
      <c r="W101" s="68"/>
      <c r="X101" s="68"/>
      <c r="AI101" s="54"/>
      <c r="AJ101" s="78" t="str">
        <f t="shared" si="1"/>
        <v/>
      </c>
      <c r="AM101" s="85"/>
      <c r="AO101" s="85"/>
      <c r="AQ101" s="85"/>
      <c r="AS101" s="78"/>
    </row>
    <row r="102" spans="11:45">
      <c r="K102" s="68"/>
      <c r="L102" s="68"/>
      <c r="M102" s="68"/>
      <c r="O102" s="68"/>
      <c r="P102" s="68"/>
      <c r="Q102" s="68"/>
      <c r="R102" s="68"/>
      <c r="S102" s="68"/>
      <c r="T102" s="68"/>
      <c r="V102" s="68"/>
      <c r="W102" s="68"/>
      <c r="X102" s="68"/>
      <c r="AI102" s="54"/>
      <c r="AJ102" s="78" t="str">
        <f t="shared" si="1"/>
        <v/>
      </c>
      <c r="AM102" s="85"/>
      <c r="AO102" s="85"/>
      <c r="AQ102" s="85"/>
      <c r="AS102" s="78"/>
    </row>
    <row r="103" spans="11:45">
      <c r="K103" s="68"/>
      <c r="L103" s="68"/>
      <c r="M103" s="68"/>
      <c r="O103" s="68"/>
      <c r="P103" s="68"/>
      <c r="Q103" s="68"/>
      <c r="R103" s="68"/>
      <c r="S103" s="68"/>
      <c r="T103" s="68"/>
      <c r="V103" s="68"/>
      <c r="W103" s="68"/>
      <c r="X103" s="68"/>
      <c r="AI103" s="54"/>
      <c r="AJ103" s="78" t="str">
        <f t="shared" si="1"/>
        <v/>
      </c>
      <c r="AM103" s="85"/>
      <c r="AO103" s="85"/>
      <c r="AQ103" s="85"/>
      <c r="AS103" s="78"/>
    </row>
    <row r="104" spans="11:45">
      <c r="K104" s="68"/>
      <c r="L104" s="68"/>
      <c r="M104" s="68"/>
      <c r="O104" s="68"/>
      <c r="P104" s="68"/>
      <c r="Q104" s="68"/>
      <c r="R104" s="68"/>
      <c r="S104" s="68"/>
      <c r="T104" s="68"/>
      <c r="V104" s="68"/>
      <c r="W104" s="68"/>
      <c r="X104" s="68"/>
      <c r="AI104" s="54"/>
      <c r="AJ104" s="78" t="str">
        <f t="shared" si="1"/>
        <v/>
      </c>
      <c r="AM104" s="85"/>
      <c r="AO104" s="85"/>
      <c r="AQ104" s="85"/>
      <c r="AS104" s="78"/>
    </row>
    <row r="105" spans="11:45">
      <c r="K105" s="68"/>
      <c r="L105" s="68"/>
      <c r="M105" s="68"/>
      <c r="O105" s="68"/>
      <c r="P105" s="68"/>
      <c r="Q105" s="68"/>
      <c r="R105" s="68"/>
      <c r="S105" s="68"/>
      <c r="T105" s="68"/>
      <c r="V105" s="68"/>
      <c r="W105" s="68"/>
      <c r="X105" s="68"/>
      <c r="AI105" s="54"/>
      <c r="AJ105" s="78" t="str">
        <f t="shared" si="1"/>
        <v/>
      </c>
      <c r="AM105" s="85"/>
      <c r="AO105" s="85"/>
      <c r="AQ105" s="85"/>
      <c r="AS105" s="78"/>
    </row>
    <row r="106" spans="11:45">
      <c r="K106" s="68"/>
      <c r="L106" s="68"/>
      <c r="M106" s="68"/>
      <c r="O106" s="68"/>
      <c r="P106" s="68"/>
      <c r="Q106" s="68"/>
      <c r="R106" s="68"/>
      <c r="S106" s="68"/>
      <c r="T106" s="68"/>
      <c r="V106" s="68"/>
      <c r="W106" s="68"/>
      <c r="X106" s="68"/>
      <c r="AI106" s="54"/>
      <c r="AJ106" s="78" t="str">
        <f t="shared" si="1"/>
        <v/>
      </c>
      <c r="AM106" s="85"/>
      <c r="AO106" s="85"/>
      <c r="AQ106" s="85"/>
      <c r="AS106" s="78"/>
    </row>
    <row r="107" spans="11:45">
      <c r="K107" s="68"/>
      <c r="L107" s="68"/>
      <c r="M107" s="68"/>
      <c r="O107" s="68"/>
      <c r="P107" s="68"/>
      <c r="Q107" s="68"/>
      <c r="R107" s="68"/>
      <c r="S107" s="68"/>
      <c r="T107" s="68"/>
      <c r="V107" s="68"/>
      <c r="W107" s="68"/>
      <c r="X107" s="68"/>
      <c r="AI107" s="54"/>
      <c r="AJ107" s="78" t="str">
        <f t="shared" si="1"/>
        <v/>
      </c>
      <c r="AM107" s="85"/>
      <c r="AO107" s="85"/>
      <c r="AQ107" s="85"/>
      <c r="AS107" s="78"/>
    </row>
    <row r="108" spans="11:45">
      <c r="K108" s="68"/>
      <c r="L108" s="68"/>
      <c r="M108" s="68"/>
      <c r="O108" s="68"/>
      <c r="P108" s="68"/>
      <c r="Q108" s="68"/>
      <c r="R108" s="68"/>
      <c r="S108" s="68"/>
      <c r="T108" s="68"/>
      <c r="V108" s="68"/>
      <c r="W108" s="68"/>
      <c r="X108" s="68"/>
      <c r="AI108" s="54"/>
      <c r="AJ108" s="78" t="str">
        <f t="shared" si="1"/>
        <v/>
      </c>
      <c r="AM108" s="85"/>
      <c r="AO108" s="85"/>
      <c r="AQ108" s="85"/>
      <c r="AS108" s="78"/>
    </row>
    <row r="109" spans="11:45">
      <c r="K109" s="68"/>
      <c r="L109" s="68"/>
      <c r="M109" s="68"/>
      <c r="O109" s="68"/>
      <c r="P109" s="68"/>
      <c r="Q109" s="68"/>
      <c r="R109" s="68"/>
      <c r="S109" s="68"/>
      <c r="T109" s="68"/>
      <c r="V109" s="68"/>
      <c r="W109" s="68"/>
      <c r="X109" s="68"/>
      <c r="AI109" s="54"/>
      <c r="AJ109" s="78" t="str">
        <f t="shared" si="1"/>
        <v/>
      </c>
      <c r="AM109" s="85"/>
      <c r="AO109" s="85"/>
      <c r="AQ109" s="85"/>
      <c r="AS109" s="78"/>
    </row>
    <row r="110" spans="11:45">
      <c r="K110" s="68"/>
      <c r="L110" s="68"/>
      <c r="M110" s="68"/>
      <c r="O110" s="68"/>
      <c r="P110" s="68"/>
      <c r="Q110" s="68"/>
      <c r="R110" s="68"/>
      <c r="S110" s="68"/>
      <c r="T110" s="68"/>
      <c r="V110" s="68"/>
      <c r="W110" s="68"/>
      <c r="X110" s="68"/>
      <c r="AI110" s="54"/>
      <c r="AJ110" s="78" t="str">
        <f t="shared" si="1"/>
        <v/>
      </c>
      <c r="AM110" s="85"/>
      <c r="AO110" s="85"/>
      <c r="AQ110" s="85"/>
      <c r="AS110" s="78"/>
    </row>
    <row r="111" spans="11:45">
      <c r="K111" s="68"/>
      <c r="L111" s="68"/>
      <c r="M111" s="68"/>
      <c r="O111" s="68"/>
      <c r="P111" s="68"/>
      <c r="Q111" s="68"/>
      <c r="R111" s="68"/>
      <c r="S111" s="68"/>
      <c r="T111" s="68"/>
      <c r="V111" s="68"/>
      <c r="W111" s="68"/>
      <c r="X111" s="68"/>
      <c r="AI111" s="54"/>
      <c r="AJ111" s="78" t="str">
        <f t="shared" si="1"/>
        <v/>
      </c>
      <c r="AM111" s="85"/>
      <c r="AO111" s="85"/>
      <c r="AQ111" s="85"/>
      <c r="AS111" s="78"/>
    </row>
    <row r="112" spans="11:45">
      <c r="K112" s="68"/>
      <c r="L112" s="68"/>
      <c r="M112" s="68"/>
      <c r="O112" s="68"/>
      <c r="P112" s="68"/>
      <c r="Q112" s="68"/>
      <c r="R112" s="68"/>
      <c r="S112" s="68"/>
      <c r="T112" s="68"/>
      <c r="V112" s="68"/>
      <c r="W112" s="68"/>
      <c r="X112" s="68"/>
      <c r="AI112" s="54"/>
      <c r="AJ112" s="78" t="str">
        <f t="shared" si="1"/>
        <v/>
      </c>
      <c r="AM112" s="85"/>
      <c r="AO112" s="85"/>
      <c r="AQ112" s="85"/>
      <c r="AS112" s="78"/>
    </row>
    <row r="113" spans="11:45">
      <c r="K113" s="68"/>
      <c r="L113" s="68"/>
      <c r="M113" s="68"/>
      <c r="O113" s="68"/>
      <c r="P113" s="68"/>
      <c r="Q113" s="68"/>
      <c r="R113" s="68"/>
      <c r="S113" s="68"/>
      <c r="T113" s="68"/>
      <c r="V113" s="68"/>
      <c r="W113" s="68"/>
      <c r="X113" s="68"/>
      <c r="AI113" s="54"/>
      <c r="AJ113" s="78" t="str">
        <f t="shared" si="1"/>
        <v/>
      </c>
      <c r="AM113" s="85"/>
      <c r="AO113" s="85"/>
      <c r="AQ113" s="85"/>
      <c r="AS113" s="78"/>
    </row>
    <row r="114" spans="11:45">
      <c r="K114" s="68"/>
      <c r="L114" s="68"/>
      <c r="M114" s="68"/>
      <c r="O114" s="68"/>
      <c r="P114" s="68"/>
      <c r="Q114" s="68"/>
      <c r="R114" s="68"/>
      <c r="S114" s="68"/>
      <c r="T114" s="68"/>
      <c r="V114" s="68"/>
      <c r="W114" s="68"/>
      <c r="X114" s="68"/>
      <c r="AI114" s="54"/>
      <c r="AJ114" s="78" t="str">
        <f t="shared" si="1"/>
        <v/>
      </c>
      <c r="AM114" s="85"/>
      <c r="AO114" s="85"/>
      <c r="AQ114" s="85"/>
      <c r="AS114" s="78"/>
    </row>
    <row r="115" spans="11:45">
      <c r="K115" s="68"/>
      <c r="L115" s="68"/>
      <c r="M115" s="68"/>
      <c r="O115" s="68"/>
      <c r="P115" s="68"/>
      <c r="Q115" s="68"/>
      <c r="R115" s="68"/>
      <c r="S115" s="68"/>
      <c r="T115" s="68"/>
      <c r="V115" s="68"/>
      <c r="W115" s="68"/>
      <c r="X115" s="68"/>
      <c r="AI115" s="54"/>
      <c r="AJ115" s="78" t="str">
        <f t="shared" si="1"/>
        <v/>
      </c>
      <c r="AM115" s="85"/>
      <c r="AO115" s="85"/>
      <c r="AQ115" s="85"/>
      <c r="AS115" s="78"/>
    </row>
    <row r="116" spans="11:45">
      <c r="K116" s="68"/>
      <c r="L116" s="68"/>
      <c r="M116" s="68"/>
      <c r="O116" s="68"/>
      <c r="P116" s="68"/>
      <c r="Q116" s="68"/>
      <c r="R116" s="68"/>
      <c r="S116" s="68"/>
      <c r="T116" s="68"/>
      <c r="V116" s="68"/>
      <c r="W116" s="68"/>
      <c r="X116" s="68"/>
      <c r="AI116" s="54"/>
      <c r="AJ116" s="78" t="str">
        <f t="shared" si="1"/>
        <v/>
      </c>
      <c r="AM116" s="85"/>
      <c r="AO116" s="85"/>
      <c r="AQ116" s="85"/>
      <c r="AS116" s="78"/>
    </row>
    <row r="117" spans="11:45">
      <c r="K117" s="68"/>
      <c r="L117" s="68"/>
      <c r="M117" s="68"/>
      <c r="O117" s="68"/>
      <c r="P117" s="68"/>
      <c r="Q117" s="68"/>
      <c r="R117" s="68"/>
      <c r="S117" s="68"/>
      <c r="T117" s="68"/>
      <c r="V117" s="68"/>
      <c r="W117" s="68"/>
      <c r="X117" s="68"/>
      <c r="AI117" s="54"/>
      <c r="AJ117" s="78" t="str">
        <f t="shared" si="1"/>
        <v/>
      </c>
      <c r="AM117" s="85"/>
      <c r="AO117" s="85"/>
      <c r="AQ117" s="85"/>
      <c r="AS117" s="78"/>
    </row>
    <row r="118" spans="11:45">
      <c r="K118" s="68"/>
      <c r="L118" s="68"/>
      <c r="M118" s="68"/>
      <c r="O118" s="68"/>
      <c r="P118" s="68"/>
      <c r="Q118" s="68"/>
      <c r="R118" s="68"/>
      <c r="S118" s="68"/>
      <c r="T118" s="68"/>
      <c r="V118" s="68"/>
      <c r="W118" s="68"/>
      <c r="X118" s="68"/>
      <c r="AI118" s="54"/>
      <c r="AJ118" s="78" t="str">
        <f t="shared" si="1"/>
        <v/>
      </c>
      <c r="AM118" s="85"/>
      <c r="AO118" s="85"/>
      <c r="AQ118" s="85"/>
      <c r="AS118" s="78"/>
    </row>
    <row r="119" spans="11:45">
      <c r="K119" s="68"/>
      <c r="L119" s="68"/>
      <c r="M119" s="68"/>
      <c r="O119" s="68"/>
      <c r="P119" s="68"/>
      <c r="Q119" s="68"/>
      <c r="R119" s="68"/>
      <c r="S119" s="68"/>
      <c r="T119" s="68"/>
      <c r="V119" s="68"/>
      <c r="W119" s="68"/>
      <c r="X119" s="68"/>
      <c r="AI119" s="54"/>
      <c r="AJ119" s="78" t="str">
        <f t="shared" si="1"/>
        <v/>
      </c>
      <c r="AM119" s="85"/>
      <c r="AO119" s="85"/>
      <c r="AQ119" s="85"/>
      <c r="AS119" s="78"/>
    </row>
    <row r="120" spans="11:45">
      <c r="K120" s="68"/>
      <c r="L120" s="68"/>
      <c r="M120" s="68"/>
      <c r="O120" s="68"/>
      <c r="P120" s="68"/>
      <c r="Q120" s="68"/>
      <c r="R120" s="68"/>
      <c r="S120" s="68"/>
      <c r="T120" s="68"/>
      <c r="V120" s="68"/>
      <c r="W120" s="68"/>
      <c r="X120" s="68"/>
      <c r="AI120" s="54"/>
      <c r="AJ120" s="78" t="str">
        <f t="shared" si="1"/>
        <v/>
      </c>
      <c r="AM120" s="85"/>
      <c r="AO120" s="85"/>
      <c r="AQ120" s="85"/>
      <c r="AS120" s="78"/>
    </row>
    <row r="121" spans="11:45">
      <c r="K121" s="68"/>
      <c r="L121" s="68"/>
      <c r="M121" s="68"/>
      <c r="O121" s="68"/>
      <c r="P121" s="68"/>
      <c r="Q121" s="68"/>
      <c r="R121" s="68"/>
      <c r="S121" s="68"/>
      <c r="T121" s="68"/>
      <c r="V121" s="68"/>
      <c r="W121" s="68"/>
      <c r="X121" s="68"/>
      <c r="AI121" s="54"/>
      <c r="AJ121" s="78" t="str">
        <f t="shared" si="1"/>
        <v/>
      </c>
      <c r="AM121" s="85"/>
      <c r="AO121" s="85"/>
      <c r="AQ121" s="85"/>
      <c r="AS121" s="78"/>
    </row>
    <row r="122" spans="11:45">
      <c r="K122" s="68"/>
      <c r="L122" s="68"/>
      <c r="M122" s="68"/>
      <c r="O122" s="68"/>
      <c r="P122" s="68"/>
      <c r="Q122" s="68"/>
      <c r="R122" s="68"/>
      <c r="S122" s="68"/>
      <c r="T122" s="68"/>
      <c r="V122" s="68"/>
      <c r="W122" s="68"/>
      <c r="X122" s="68"/>
      <c r="AI122" s="54"/>
      <c r="AJ122" s="78" t="str">
        <f t="shared" si="1"/>
        <v/>
      </c>
      <c r="AM122" s="85"/>
      <c r="AO122" s="85"/>
      <c r="AQ122" s="85"/>
      <c r="AS122" s="78"/>
    </row>
    <row r="123" spans="11:45">
      <c r="K123" s="68"/>
      <c r="L123" s="68"/>
      <c r="M123" s="68"/>
      <c r="O123" s="68"/>
      <c r="P123" s="68"/>
      <c r="Q123" s="68"/>
      <c r="R123" s="68"/>
      <c r="S123" s="68"/>
      <c r="T123" s="68"/>
      <c r="V123" s="68"/>
      <c r="W123" s="68"/>
      <c r="X123" s="68"/>
      <c r="AI123" s="54"/>
      <c r="AJ123" s="78" t="str">
        <f t="shared" si="1"/>
        <v/>
      </c>
      <c r="AM123" s="85"/>
      <c r="AO123" s="85"/>
      <c r="AQ123" s="85"/>
      <c r="AS123" s="78"/>
    </row>
    <row r="124" spans="11:45">
      <c r="K124" s="68"/>
      <c r="L124" s="68"/>
      <c r="M124" s="68"/>
      <c r="O124" s="68"/>
      <c r="P124" s="68"/>
      <c r="Q124" s="68"/>
      <c r="R124" s="68"/>
      <c r="S124" s="68"/>
      <c r="T124" s="68"/>
      <c r="V124" s="68"/>
      <c r="W124" s="68"/>
      <c r="X124" s="68"/>
      <c r="AI124" s="54"/>
      <c r="AJ124" s="78" t="str">
        <f t="shared" si="1"/>
        <v/>
      </c>
      <c r="AM124" s="85"/>
      <c r="AO124" s="85"/>
      <c r="AQ124" s="85"/>
      <c r="AS124" s="78"/>
    </row>
    <row r="125" spans="11:45">
      <c r="K125" s="68"/>
      <c r="L125" s="68"/>
      <c r="M125" s="68"/>
      <c r="O125" s="68"/>
      <c r="P125" s="68"/>
      <c r="Q125" s="68"/>
      <c r="R125" s="68"/>
      <c r="S125" s="68"/>
      <c r="T125" s="68"/>
      <c r="V125" s="68"/>
      <c r="W125" s="68"/>
      <c r="X125" s="68"/>
      <c r="AI125" s="54"/>
      <c r="AJ125" s="78" t="str">
        <f t="shared" si="1"/>
        <v/>
      </c>
      <c r="AM125" s="85"/>
      <c r="AO125" s="85"/>
      <c r="AQ125" s="85"/>
      <c r="AS125" s="78"/>
    </row>
    <row r="126" spans="11:45">
      <c r="K126" s="68"/>
      <c r="L126" s="68"/>
      <c r="M126" s="68"/>
      <c r="O126" s="68"/>
      <c r="P126" s="68"/>
      <c r="Q126" s="68"/>
      <c r="R126" s="68"/>
      <c r="S126" s="68"/>
      <c r="T126" s="68"/>
      <c r="V126" s="68"/>
      <c r="W126" s="68"/>
      <c r="X126" s="68"/>
      <c r="AI126" s="54"/>
      <c r="AJ126" s="78" t="str">
        <f t="shared" si="1"/>
        <v/>
      </c>
      <c r="AM126" s="85"/>
      <c r="AO126" s="85"/>
      <c r="AQ126" s="85"/>
      <c r="AS126" s="78"/>
    </row>
    <row r="127" spans="11:45">
      <c r="K127" s="68"/>
      <c r="L127" s="68"/>
      <c r="M127" s="68"/>
      <c r="O127" s="68"/>
      <c r="P127" s="68"/>
      <c r="Q127" s="68"/>
      <c r="R127" s="68"/>
      <c r="S127" s="68"/>
      <c r="T127" s="68"/>
      <c r="V127" s="68"/>
      <c r="W127" s="68"/>
      <c r="X127" s="68"/>
      <c r="AI127" s="54"/>
      <c r="AJ127" s="78" t="str">
        <f t="shared" si="1"/>
        <v/>
      </c>
      <c r="AM127" s="85"/>
      <c r="AO127" s="85"/>
      <c r="AQ127" s="85"/>
      <c r="AS127" s="78"/>
    </row>
    <row r="128" spans="11:45">
      <c r="K128" s="68"/>
      <c r="L128" s="68"/>
      <c r="M128" s="68"/>
      <c r="O128" s="68"/>
      <c r="P128" s="68"/>
      <c r="Q128" s="68"/>
      <c r="R128" s="68"/>
      <c r="S128" s="68"/>
      <c r="T128" s="68"/>
      <c r="V128" s="68"/>
      <c r="W128" s="68"/>
      <c r="X128" s="68"/>
      <c r="AI128" s="54"/>
      <c r="AJ128" s="78" t="str">
        <f t="shared" si="1"/>
        <v/>
      </c>
      <c r="AM128" s="85"/>
      <c r="AO128" s="85"/>
      <c r="AQ128" s="85"/>
      <c r="AS128" s="78"/>
    </row>
    <row r="129" spans="11:45">
      <c r="K129" s="68"/>
      <c r="L129" s="68"/>
      <c r="M129" s="68"/>
      <c r="O129" s="68"/>
      <c r="P129" s="68"/>
      <c r="Q129" s="68"/>
      <c r="R129" s="68"/>
      <c r="S129" s="68"/>
      <c r="T129" s="68"/>
      <c r="V129" s="68"/>
      <c r="W129" s="68"/>
      <c r="X129" s="68"/>
      <c r="AI129" s="54"/>
      <c r="AJ129" s="78" t="str">
        <f t="shared" si="1"/>
        <v/>
      </c>
      <c r="AM129" s="85"/>
      <c r="AO129" s="85"/>
      <c r="AQ129" s="85"/>
      <c r="AS129" s="78"/>
    </row>
    <row r="130" spans="11:45">
      <c r="K130" s="68"/>
      <c r="L130" s="68"/>
      <c r="M130" s="68"/>
      <c r="O130" s="68"/>
      <c r="P130" s="68"/>
      <c r="Q130" s="68"/>
      <c r="R130" s="68"/>
      <c r="S130" s="68"/>
      <c r="T130" s="68"/>
      <c r="V130" s="68"/>
      <c r="W130" s="68"/>
      <c r="X130" s="68"/>
      <c r="AI130" s="54"/>
      <c r="AJ130" s="78" t="str">
        <f t="shared" si="1"/>
        <v/>
      </c>
      <c r="AM130" s="85"/>
      <c r="AO130" s="85"/>
      <c r="AQ130" s="85"/>
      <c r="AS130" s="78"/>
    </row>
    <row r="131" spans="11:45">
      <c r="K131" s="68"/>
      <c r="L131" s="68"/>
      <c r="M131" s="68"/>
      <c r="O131" s="68"/>
      <c r="P131" s="68"/>
      <c r="Q131" s="68"/>
      <c r="R131" s="68"/>
      <c r="S131" s="68"/>
      <c r="T131" s="68"/>
      <c r="V131" s="68"/>
      <c r="W131" s="68"/>
      <c r="X131" s="68"/>
      <c r="AI131" s="54"/>
      <c r="AJ131" s="78" t="str">
        <f t="shared" si="1"/>
        <v/>
      </c>
      <c r="AM131" s="85"/>
      <c r="AO131" s="85"/>
      <c r="AQ131" s="85"/>
      <c r="AS131" s="78"/>
    </row>
    <row r="132" spans="11:45">
      <c r="K132" s="68"/>
      <c r="L132" s="68"/>
      <c r="M132" s="68"/>
      <c r="O132" s="68"/>
      <c r="P132" s="68"/>
      <c r="Q132" s="68"/>
      <c r="R132" s="68"/>
      <c r="S132" s="68"/>
      <c r="T132" s="68"/>
      <c r="V132" s="68"/>
      <c r="W132" s="68"/>
      <c r="X132" s="68"/>
      <c r="AI132" s="54"/>
      <c r="AJ132" s="78" t="str">
        <f t="shared" si="1"/>
        <v/>
      </c>
      <c r="AM132" s="85"/>
      <c r="AO132" s="85"/>
      <c r="AQ132" s="85"/>
      <c r="AS132" s="78"/>
    </row>
    <row r="133" spans="11:45">
      <c r="K133" s="68"/>
      <c r="L133" s="68"/>
      <c r="M133" s="68"/>
      <c r="O133" s="68"/>
      <c r="P133" s="68"/>
      <c r="Q133" s="68"/>
      <c r="R133" s="68"/>
      <c r="S133" s="68"/>
      <c r="T133" s="68"/>
      <c r="V133" s="68"/>
      <c r="W133" s="68"/>
      <c r="X133" s="68"/>
      <c r="AI133" s="54"/>
      <c r="AJ133" s="78" t="str">
        <f t="shared" si="1"/>
        <v/>
      </c>
      <c r="AM133" s="85"/>
      <c r="AO133" s="85"/>
      <c r="AQ133" s="85"/>
      <c r="AS133" s="78"/>
    </row>
    <row r="134" spans="11:45">
      <c r="K134" s="68"/>
      <c r="L134" s="68"/>
      <c r="M134" s="68"/>
      <c r="O134" s="68"/>
      <c r="P134" s="68"/>
      <c r="Q134" s="68"/>
      <c r="R134" s="68"/>
      <c r="S134" s="68"/>
      <c r="T134" s="68"/>
      <c r="V134" s="68"/>
      <c r="W134" s="68"/>
      <c r="X134" s="68"/>
      <c r="AI134" s="54"/>
      <c r="AJ134" s="78" t="str">
        <f t="shared" si="1"/>
        <v/>
      </c>
      <c r="AM134" s="85"/>
      <c r="AO134" s="85"/>
      <c r="AQ134" s="85"/>
      <c r="AS134" s="78"/>
    </row>
    <row r="135" spans="11:45">
      <c r="K135" s="68"/>
      <c r="L135" s="68"/>
      <c r="M135" s="68"/>
      <c r="O135" s="68"/>
      <c r="P135" s="68"/>
      <c r="Q135" s="68"/>
      <c r="R135" s="68"/>
      <c r="S135" s="68"/>
      <c r="T135" s="68"/>
      <c r="V135" s="68"/>
      <c r="W135" s="68"/>
      <c r="X135" s="68"/>
      <c r="AI135" s="54"/>
      <c r="AJ135" s="78" t="str">
        <f t="shared" si="1"/>
        <v/>
      </c>
      <c r="AM135" s="85"/>
      <c r="AO135" s="85"/>
      <c r="AQ135" s="85"/>
      <c r="AS135" s="78"/>
    </row>
    <row r="136" spans="11:45">
      <c r="K136" s="68"/>
      <c r="L136" s="68"/>
      <c r="M136" s="68"/>
      <c r="O136" s="68"/>
      <c r="P136" s="68"/>
      <c r="Q136" s="68"/>
      <c r="R136" s="68"/>
      <c r="S136" s="68"/>
      <c r="T136" s="68"/>
      <c r="V136" s="68"/>
      <c r="W136" s="68"/>
      <c r="X136" s="68"/>
      <c r="AI136" s="54"/>
      <c r="AJ136" s="78" t="str">
        <f t="shared" si="1"/>
        <v/>
      </c>
      <c r="AM136" s="85"/>
      <c r="AO136" s="85"/>
      <c r="AQ136" s="85"/>
      <c r="AS136" s="78"/>
    </row>
    <row r="137" spans="11:45">
      <c r="K137" s="68"/>
      <c r="L137" s="68"/>
      <c r="M137" s="68"/>
      <c r="O137" s="68"/>
      <c r="P137" s="68"/>
      <c r="Q137" s="68"/>
      <c r="R137" s="68"/>
      <c r="S137" s="68"/>
      <c r="T137" s="68"/>
      <c r="V137" s="68"/>
      <c r="W137" s="68"/>
      <c r="X137" s="68"/>
      <c r="AI137" s="54"/>
      <c r="AJ137" s="78" t="str">
        <f t="shared" si="1"/>
        <v/>
      </c>
      <c r="AM137" s="85"/>
      <c r="AO137" s="85"/>
      <c r="AQ137" s="85"/>
      <c r="AS137" s="78"/>
    </row>
    <row r="138" spans="11:45">
      <c r="K138" s="68"/>
      <c r="L138" s="68"/>
      <c r="M138" s="68"/>
      <c r="O138" s="68"/>
      <c r="P138" s="68"/>
      <c r="Q138" s="68"/>
      <c r="R138" s="68"/>
      <c r="S138" s="68"/>
      <c r="T138" s="68"/>
      <c r="V138" s="68"/>
      <c r="W138" s="68"/>
      <c r="X138" s="68"/>
      <c r="AI138" s="54"/>
      <c r="AJ138" s="78" t="str">
        <f t="shared" si="1"/>
        <v/>
      </c>
      <c r="AM138" s="85"/>
      <c r="AO138" s="85"/>
      <c r="AQ138" s="85"/>
      <c r="AS138" s="78"/>
    </row>
    <row r="139" spans="11:45">
      <c r="K139" s="68"/>
      <c r="L139" s="68"/>
      <c r="M139" s="68"/>
      <c r="O139" s="68"/>
      <c r="P139" s="68"/>
      <c r="Q139" s="68"/>
      <c r="R139" s="68"/>
      <c r="S139" s="68"/>
      <c r="T139" s="68"/>
      <c r="V139" s="68"/>
      <c r="W139" s="68"/>
      <c r="X139" s="68"/>
      <c r="AI139" s="54"/>
      <c r="AJ139" s="78" t="str">
        <f t="shared" si="1"/>
        <v/>
      </c>
      <c r="AM139" s="85"/>
      <c r="AO139" s="85"/>
      <c r="AQ139" s="85"/>
      <c r="AS139" s="78"/>
    </row>
    <row r="140" spans="11:45">
      <c r="K140" s="68"/>
      <c r="L140" s="68"/>
      <c r="M140" s="68"/>
      <c r="O140" s="68"/>
      <c r="P140" s="68"/>
      <c r="Q140" s="68"/>
      <c r="R140" s="68"/>
      <c r="S140" s="68"/>
      <c r="T140" s="68"/>
      <c r="V140" s="68"/>
      <c r="W140" s="68"/>
      <c r="X140" s="68"/>
      <c r="AI140" s="54"/>
      <c r="AJ140" s="78" t="str">
        <f t="shared" si="1"/>
        <v/>
      </c>
      <c r="AM140" s="85"/>
      <c r="AO140" s="85"/>
      <c r="AQ140" s="85"/>
      <c r="AS140" s="78"/>
    </row>
    <row r="141" spans="11:45">
      <c r="K141" s="68"/>
      <c r="L141" s="68"/>
      <c r="M141" s="68"/>
      <c r="O141" s="68"/>
      <c r="P141" s="68"/>
      <c r="Q141" s="68"/>
      <c r="R141" s="68"/>
      <c r="S141" s="68"/>
      <c r="T141" s="68"/>
      <c r="V141" s="68"/>
      <c r="W141" s="68"/>
      <c r="X141" s="68"/>
      <c r="AI141" s="54"/>
      <c r="AJ141" s="78" t="str">
        <f t="shared" si="1"/>
        <v/>
      </c>
      <c r="AM141" s="85"/>
      <c r="AO141" s="85"/>
      <c r="AQ141" s="85"/>
      <c r="AS141" s="78"/>
    </row>
    <row r="142" spans="11:45">
      <c r="K142" s="68"/>
      <c r="L142" s="68"/>
      <c r="M142" s="68"/>
      <c r="O142" s="68"/>
      <c r="P142" s="68"/>
      <c r="Q142" s="68"/>
      <c r="R142" s="68"/>
      <c r="S142" s="68"/>
      <c r="T142" s="68"/>
      <c r="V142" s="68"/>
      <c r="W142" s="68"/>
      <c r="X142" s="68"/>
      <c r="AI142" s="54"/>
      <c r="AJ142" s="78" t="str">
        <f t="shared" ref="AJ142:AJ205" si="2">IF(AI142="","",VLOOKUP(AI142,SEGUIMIENTOS,2,FALSE))</f>
        <v/>
      </c>
      <c r="AM142" s="85"/>
      <c r="AO142" s="85"/>
      <c r="AQ142" s="85"/>
      <c r="AS142" s="78"/>
    </row>
    <row r="143" spans="11:45">
      <c r="K143" s="68"/>
      <c r="L143" s="68"/>
      <c r="M143" s="68"/>
      <c r="O143" s="68"/>
      <c r="P143" s="68"/>
      <c r="Q143" s="68"/>
      <c r="R143" s="68"/>
      <c r="S143" s="68"/>
      <c r="T143" s="68"/>
      <c r="V143" s="68"/>
      <c r="W143" s="68"/>
      <c r="X143" s="68"/>
      <c r="AI143" s="54"/>
      <c r="AJ143" s="78" t="str">
        <f t="shared" si="2"/>
        <v/>
      </c>
      <c r="AM143" s="85"/>
      <c r="AO143" s="85"/>
      <c r="AQ143" s="85"/>
      <c r="AS143" s="78"/>
    </row>
    <row r="144" spans="11:45">
      <c r="K144" s="68"/>
      <c r="L144" s="68"/>
      <c r="M144" s="68"/>
      <c r="O144" s="68"/>
      <c r="P144" s="68"/>
      <c r="Q144" s="68"/>
      <c r="R144" s="68"/>
      <c r="S144" s="68"/>
      <c r="T144" s="68"/>
      <c r="V144" s="68"/>
      <c r="W144" s="68"/>
      <c r="X144" s="68"/>
      <c r="AI144" s="54"/>
      <c r="AJ144" s="78" t="str">
        <f t="shared" si="2"/>
        <v/>
      </c>
      <c r="AM144" s="85"/>
      <c r="AO144" s="85"/>
      <c r="AQ144" s="85"/>
      <c r="AS144" s="78"/>
    </row>
    <row r="145" spans="11:45">
      <c r="K145" s="68"/>
      <c r="L145" s="68"/>
      <c r="M145" s="68"/>
      <c r="O145" s="68"/>
      <c r="P145" s="68"/>
      <c r="Q145" s="68"/>
      <c r="R145" s="68"/>
      <c r="S145" s="68"/>
      <c r="T145" s="68"/>
      <c r="V145" s="68"/>
      <c r="W145" s="68"/>
      <c r="X145" s="68"/>
      <c r="AI145" s="54"/>
      <c r="AJ145" s="78" t="str">
        <f t="shared" si="2"/>
        <v/>
      </c>
      <c r="AM145" s="85"/>
      <c r="AO145" s="85"/>
      <c r="AQ145" s="85"/>
      <c r="AS145" s="78"/>
    </row>
    <row r="146" spans="11:45">
      <c r="K146" s="68"/>
      <c r="L146" s="68"/>
      <c r="M146" s="68"/>
      <c r="O146" s="68"/>
      <c r="P146" s="68"/>
      <c r="Q146" s="68"/>
      <c r="R146" s="68"/>
      <c r="S146" s="68"/>
      <c r="T146" s="68"/>
      <c r="V146" s="68"/>
      <c r="W146" s="68"/>
      <c r="X146" s="68"/>
      <c r="AI146" s="54"/>
      <c r="AJ146" s="78" t="str">
        <f t="shared" si="2"/>
        <v/>
      </c>
      <c r="AM146" s="85"/>
      <c r="AO146" s="85"/>
      <c r="AQ146" s="85"/>
      <c r="AS146" s="78"/>
    </row>
    <row r="147" spans="11:45">
      <c r="K147" s="68"/>
      <c r="L147" s="68"/>
      <c r="M147" s="68"/>
      <c r="O147" s="68"/>
      <c r="P147" s="68"/>
      <c r="Q147" s="68"/>
      <c r="R147" s="68"/>
      <c r="S147" s="68"/>
      <c r="T147" s="68"/>
      <c r="V147" s="68"/>
      <c r="W147" s="68"/>
      <c r="X147" s="68"/>
      <c r="AI147" s="54"/>
      <c r="AJ147" s="78" t="str">
        <f t="shared" si="2"/>
        <v/>
      </c>
      <c r="AM147" s="85"/>
      <c r="AO147" s="85"/>
      <c r="AQ147" s="85"/>
      <c r="AS147" s="78"/>
    </row>
    <row r="148" spans="11:45">
      <c r="K148" s="68"/>
      <c r="L148" s="68"/>
      <c r="M148" s="68"/>
      <c r="O148" s="68"/>
      <c r="P148" s="68"/>
      <c r="Q148" s="68"/>
      <c r="R148" s="68"/>
      <c r="S148" s="68"/>
      <c r="T148" s="68"/>
      <c r="V148" s="68"/>
      <c r="W148" s="68"/>
      <c r="X148" s="68"/>
      <c r="AI148" s="54"/>
      <c r="AJ148" s="78" t="str">
        <f t="shared" si="2"/>
        <v/>
      </c>
      <c r="AM148" s="85"/>
      <c r="AO148" s="85"/>
      <c r="AQ148" s="85"/>
      <c r="AS148" s="78"/>
    </row>
    <row r="149" spans="11:45">
      <c r="K149" s="68"/>
      <c r="L149" s="68"/>
      <c r="M149" s="68"/>
      <c r="O149" s="68"/>
      <c r="P149" s="68"/>
      <c r="Q149" s="68"/>
      <c r="R149" s="68"/>
      <c r="S149" s="68"/>
      <c r="T149" s="68"/>
      <c r="V149" s="68"/>
      <c r="W149" s="68"/>
      <c r="X149" s="68"/>
      <c r="AI149" s="54"/>
      <c r="AJ149" s="78" t="str">
        <f t="shared" si="2"/>
        <v/>
      </c>
      <c r="AM149" s="85"/>
      <c r="AO149" s="85"/>
      <c r="AQ149" s="85"/>
      <c r="AS149" s="78"/>
    </row>
    <row r="150" spans="11:45">
      <c r="K150" s="68"/>
      <c r="L150" s="68"/>
      <c r="M150" s="68"/>
      <c r="O150" s="68"/>
      <c r="P150" s="68"/>
      <c r="Q150" s="68"/>
      <c r="R150" s="68"/>
      <c r="S150" s="68"/>
      <c r="T150" s="68"/>
      <c r="V150" s="68"/>
      <c r="W150" s="68"/>
      <c r="X150" s="68"/>
      <c r="AI150" s="54"/>
      <c r="AJ150" s="78" t="str">
        <f t="shared" si="2"/>
        <v/>
      </c>
      <c r="AM150" s="85"/>
      <c r="AO150" s="85"/>
      <c r="AQ150" s="85"/>
      <c r="AS150" s="78"/>
    </row>
    <row r="151" spans="11:45">
      <c r="AJ151" s="78" t="str">
        <f t="shared" si="2"/>
        <v/>
      </c>
      <c r="AM151" s="85"/>
      <c r="AO151" s="85"/>
      <c r="AQ151" s="85"/>
      <c r="AS151" s="78"/>
    </row>
    <row r="152" spans="11:45">
      <c r="AJ152" s="78" t="str">
        <f t="shared" si="2"/>
        <v/>
      </c>
      <c r="AM152" s="85"/>
      <c r="AO152" s="85"/>
      <c r="AQ152" s="85"/>
      <c r="AS152" s="78"/>
    </row>
    <row r="153" spans="11:45">
      <c r="AJ153" s="78" t="str">
        <f t="shared" si="2"/>
        <v/>
      </c>
      <c r="AM153" s="85"/>
      <c r="AO153" s="85"/>
      <c r="AQ153" s="85"/>
      <c r="AS153" s="78"/>
    </row>
    <row r="154" spans="11:45">
      <c r="AJ154" s="78" t="str">
        <f t="shared" si="2"/>
        <v/>
      </c>
      <c r="AM154" s="85"/>
      <c r="AO154" s="85"/>
      <c r="AQ154" s="85"/>
      <c r="AS154" s="78"/>
    </row>
    <row r="155" spans="11:45">
      <c r="AJ155" s="78" t="str">
        <f t="shared" si="2"/>
        <v/>
      </c>
      <c r="AM155" s="85"/>
      <c r="AO155" s="85"/>
      <c r="AQ155" s="85"/>
      <c r="AS155" s="78"/>
    </row>
    <row r="156" spans="11:45">
      <c r="AJ156" s="78" t="str">
        <f t="shared" si="2"/>
        <v/>
      </c>
      <c r="AM156" s="85"/>
      <c r="AO156" s="85"/>
      <c r="AQ156" s="85"/>
      <c r="AS156" s="78"/>
    </row>
    <row r="157" spans="11:45">
      <c r="AJ157" s="78" t="str">
        <f t="shared" si="2"/>
        <v/>
      </c>
      <c r="AM157" s="85"/>
      <c r="AO157" s="85"/>
      <c r="AQ157" s="85"/>
      <c r="AS157" s="78"/>
    </row>
    <row r="158" spans="11:45">
      <c r="AJ158" s="78" t="str">
        <f t="shared" si="2"/>
        <v/>
      </c>
      <c r="AM158" s="85"/>
      <c r="AO158" s="85"/>
      <c r="AQ158" s="85"/>
      <c r="AS158" s="78"/>
    </row>
    <row r="159" spans="11:45">
      <c r="AJ159" s="78" t="str">
        <f t="shared" si="2"/>
        <v/>
      </c>
      <c r="AM159" s="85"/>
      <c r="AO159" s="85"/>
      <c r="AQ159" s="85"/>
      <c r="AS159" s="78"/>
    </row>
    <row r="160" spans="11:45">
      <c r="AJ160" s="78" t="str">
        <f t="shared" si="2"/>
        <v/>
      </c>
      <c r="AM160" s="85"/>
      <c r="AO160" s="85"/>
      <c r="AQ160" s="85"/>
      <c r="AS160" s="78"/>
    </row>
    <row r="161" spans="36:45">
      <c r="AJ161" s="78" t="str">
        <f t="shared" si="2"/>
        <v/>
      </c>
      <c r="AM161" s="85"/>
      <c r="AO161" s="85"/>
      <c r="AQ161" s="85"/>
      <c r="AS161" s="78"/>
    </row>
    <row r="162" spans="36:45">
      <c r="AJ162" s="78" t="str">
        <f t="shared" si="2"/>
        <v/>
      </c>
      <c r="AM162" s="85"/>
      <c r="AO162" s="85"/>
      <c r="AQ162" s="85"/>
      <c r="AS162" s="78"/>
    </row>
    <row r="163" spans="36:45">
      <c r="AJ163" s="78" t="str">
        <f t="shared" si="2"/>
        <v/>
      </c>
      <c r="AM163" s="85"/>
      <c r="AO163" s="85"/>
      <c r="AQ163" s="85"/>
      <c r="AS163" s="78"/>
    </row>
    <row r="164" spans="36:45">
      <c r="AJ164" s="78" t="str">
        <f t="shared" si="2"/>
        <v/>
      </c>
      <c r="AM164" s="85"/>
      <c r="AO164" s="85"/>
      <c r="AQ164" s="85"/>
      <c r="AS164" s="78"/>
    </row>
    <row r="165" spans="36:45">
      <c r="AJ165" s="78" t="str">
        <f t="shared" si="2"/>
        <v/>
      </c>
      <c r="AM165" s="85"/>
      <c r="AO165" s="85"/>
      <c r="AQ165" s="85"/>
      <c r="AS165" s="78"/>
    </row>
    <row r="166" spans="36:45">
      <c r="AJ166" s="78" t="str">
        <f t="shared" si="2"/>
        <v/>
      </c>
      <c r="AM166" s="85"/>
      <c r="AO166" s="85"/>
      <c r="AQ166" s="85"/>
      <c r="AS166" s="78"/>
    </row>
    <row r="167" spans="36:45">
      <c r="AJ167" s="78" t="str">
        <f t="shared" si="2"/>
        <v/>
      </c>
      <c r="AM167" s="85"/>
      <c r="AO167" s="85"/>
      <c r="AQ167" s="85"/>
      <c r="AS167" s="78"/>
    </row>
    <row r="168" spans="36:45">
      <c r="AJ168" s="78" t="str">
        <f t="shared" si="2"/>
        <v/>
      </c>
      <c r="AM168" s="85"/>
      <c r="AO168" s="85"/>
      <c r="AQ168" s="85"/>
      <c r="AS168" s="78"/>
    </row>
    <row r="169" spans="36:45">
      <c r="AJ169" s="78" t="str">
        <f t="shared" si="2"/>
        <v/>
      </c>
      <c r="AM169" s="85"/>
      <c r="AO169" s="85"/>
      <c r="AQ169" s="85"/>
      <c r="AS169" s="78"/>
    </row>
    <row r="170" spans="36:45">
      <c r="AJ170" s="78" t="str">
        <f t="shared" si="2"/>
        <v/>
      </c>
      <c r="AM170" s="85"/>
      <c r="AO170" s="85"/>
      <c r="AQ170" s="85"/>
      <c r="AS170" s="78"/>
    </row>
    <row r="171" spans="36:45">
      <c r="AJ171" s="78" t="str">
        <f t="shared" si="2"/>
        <v/>
      </c>
      <c r="AM171" s="85"/>
      <c r="AO171" s="85"/>
      <c r="AQ171" s="85"/>
      <c r="AS171" s="78"/>
    </row>
    <row r="172" spans="36:45">
      <c r="AJ172" s="78" t="str">
        <f t="shared" si="2"/>
        <v/>
      </c>
      <c r="AM172" s="85"/>
      <c r="AO172" s="85"/>
      <c r="AQ172" s="85"/>
      <c r="AS172" s="78"/>
    </row>
    <row r="173" spans="36:45">
      <c r="AJ173" s="78" t="str">
        <f t="shared" si="2"/>
        <v/>
      </c>
      <c r="AM173" s="85"/>
      <c r="AO173" s="85"/>
      <c r="AQ173" s="85"/>
      <c r="AS173" s="78"/>
    </row>
    <row r="174" spans="36:45">
      <c r="AJ174" s="78" t="str">
        <f t="shared" si="2"/>
        <v/>
      </c>
      <c r="AM174" s="85"/>
      <c r="AO174" s="85"/>
      <c r="AQ174" s="85"/>
      <c r="AS174" s="78"/>
    </row>
    <row r="175" spans="36:45">
      <c r="AJ175" s="78" t="str">
        <f t="shared" si="2"/>
        <v/>
      </c>
      <c r="AM175" s="85"/>
      <c r="AO175" s="85"/>
      <c r="AQ175" s="85"/>
      <c r="AS175" s="78"/>
    </row>
    <row r="176" spans="36:45">
      <c r="AJ176" s="78" t="str">
        <f t="shared" si="2"/>
        <v/>
      </c>
      <c r="AM176" s="85"/>
      <c r="AO176" s="85"/>
      <c r="AQ176" s="85"/>
      <c r="AS176" s="78"/>
    </row>
    <row r="177" spans="36:45">
      <c r="AJ177" s="78" t="str">
        <f t="shared" si="2"/>
        <v/>
      </c>
      <c r="AM177" s="85"/>
      <c r="AO177" s="85"/>
      <c r="AQ177" s="85"/>
      <c r="AS177" s="78"/>
    </row>
    <row r="178" spans="36:45">
      <c r="AJ178" s="78" t="str">
        <f t="shared" si="2"/>
        <v/>
      </c>
      <c r="AM178" s="85"/>
      <c r="AO178" s="85"/>
      <c r="AQ178" s="85"/>
      <c r="AS178" s="78"/>
    </row>
    <row r="179" spans="36:45">
      <c r="AJ179" s="78" t="str">
        <f t="shared" si="2"/>
        <v/>
      </c>
      <c r="AM179" s="85"/>
      <c r="AO179" s="85"/>
      <c r="AQ179" s="85"/>
      <c r="AS179" s="78"/>
    </row>
    <row r="180" spans="36:45">
      <c r="AJ180" s="78" t="str">
        <f t="shared" si="2"/>
        <v/>
      </c>
      <c r="AM180" s="85"/>
      <c r="AO180" s="85"/>
      <c r="AQ180" s="85"/>
      <c r="AS180" s="78"/>
    </row>
    <row r="181" spans="36:45">
      <c r="AJ181" s="78" t="str">
        <f t="shared" si="2"/>
        <v/>
      </c>
      <c r="AM181" s="85"/>
      <c r="AO181" s="85"/>
      <c r="AQ181" s="85"/>
      <c r="AS181" s="78"/>
    </row>
    <row r="182" spans="36:45">
      <c r="AJ182" s="78" t="str">
        <f t="shared" si="2"/>
        <v/>
      </c>
      <c r="AM182" s="85"/>
      <c r="AO182" s="85"/>
      <c r="AQ182" s="85"/>
      <c r="AS182" s="78"/>
    </row>
    <row r="183" spans="36:45">
      <c r="AJ183" s="78" t="str">
        <f t="shared" si="2"/>
        <v/>
      </c>
      <c r="AM183" s="85"/>
      <c r="AO183" s="85"/>
      <c r="AQ183" s="85"/>
      <c r="AS183" s="78"/>
    </row>
    <row r="184" spans="36:45">
      <c r="AJ184" s="78" t="str">
        <f t="shared" si="2"/>
        <v/>
      </c>
      <c r="AM184" s="85"/>
      <c r="AO184" s="85"/>
      <c r="AQ184" s="85"/>
      <c r="AS184" s="78"/>
    </row>
    <row r="185" spans="36:45">
      <c r="AJ185" s="78" t="str">
        <f t="shared" si="2"/>
        <v/>
      </c>
      <c r="AM185" s="85"/>
      <c r="AO185" s="85"/>
      <c r="AQ185" s="85"/>
      <c r="AS185" s="78"/>
    </row>
    <row r="186" spans="36:45">
      <c r="AJ186" s="78" t="str">
        <f t="shared" si="2"/>
        <v/>
      </c>
      <c r="AM186" s="85"/>
      <c r="AO186" s="85"/>
      <c r="AQ186" s="85"/>
      <c r="AS186" s="78"/>
    </row>
    <row r="187" spans="36:45">
      <c r="AJ187" s="78" t="str">
        <f t="shared" si="2"/>
        <v/>
      </c>
      <c r="AM187" s="85"/>
      <c r="AO187" s="85"/>
      <c r="AQ187" s="85"/>
      <c r="AS187" s="78"/>
    </row>
    <row r="188" spans="36:45">
      <c r="AJ188" s="78" t="str">
        <f t="shared" si="2"/>
        <v/>
      </c>
      <c r="AM188" s="85"/>
      <c r="AO188" s="85"/>
      <c r="AQ188" s="85"/>
      <c r="AS188" s="78"/>
    </row>
    <row r="189" spans="36:45">
      <c r="AJ189" s="78" t="str">
        <f t="shared" si="2"/>
        <v/>
      </c>
      <c r="AM189" s="85"/>
      <c r="AO189" s="85"/>
      <c r="AQ189" s="85"/>
      <c r="AS189" s="78"/>
    </row>
    <row r="190" spans="36:45">
      <c r="AJ190" s="78" t="str">
        <f t="shared" si="2"/>
        <v/>
      </c>
      <c r="AM190" s="85"/>
      <c r="AO190" s="85"/>
      <c r="AQ190" s="85"/>
      <c r="AS190" s="78"/>
    </row>
    <row r="191" spans="36:45">
      <c r="AJ191" s="78" t="str">
        <f t="shared" si="2"/>
        <v/>
      </c>
      <c r="AM191" s="85"/>
      <c r="AO191" s="85"/>
      <c r="AQ191" s="85"/>
      <c r="AS191" s="78"/>
    </row>
    <row r="192" spans="36:45">
      <c r="AJ192" s="78" t="str">
        <f t="shared" si="2"/>
        <v/>
      </c>
      <c r="AM192" s="85"/>
      <c r="AO192" s="85"/>
      <c r="AQ192" s="85"/>
      <c r="AS192" s="78"/>
    </row>
    <row r="193" spans="36:45">
      <c r="AJ193" s="78" t="str">
        <f t="shared" si="2"/>
        <v/>
      </c>
      <c r="AM193" s="85"/>
      <c r="AO193" s="85"/>
      <c r="AQ193" s="85"/>
      <c r="AS193" s="78"/>
    </row>
    <row r="194" spans="36:45">
      <c r="AJ194" s="78" t="str">
        <f t="shared" si="2"/>
        <v/>
      </c>
      <c r="AM194" s="85"/>
      <c r="AO194" s="85"/>
      <c r="AQ194" s="85"/>
      <c r="AS194" s="78"/>
    </row>
    <row r="195" spans="36:45">
      <c r="AJ195" s="78" t="str">
        <f t="shared" si="2"/>
        <v/>
      </c>
      <c r="AM195" s="85"/>
      <c r="AO195" s="85"/>
      <c r="AQ195" s="85"/>
      <c r="AS195" s="78"/>
    </row>
    <row r="196" spans="36:45">
      <c r="AJ196" s="78" t="str">
        <f t="shared" si="2"/>
        <v/>
      </c>
      <c r="AM196" s="85"/>
      <c r="AO196" s="85"/>
      <c r="AQ196" s="85"/>
      <c r="AS196" s="78"/>
    </row>
    <row r="197" spans="36:45">
      <c r="AJ197" s="78" t="str">
        <f t="shared" si="2"/>
        <v/>
      </c>
      <c r="AM197" s="85"/>
      <c r="AO197" s="85"/>
      <c r="AQ197" s="85"/>
      <c r="AS197" s="78"/>
    </row>
    <row r="198" spans="36:45">
      <c r="AJ198" s="78" t="str">
        <f t="shared" si="2"/>
        <v/>
      </c>
      <c r="AM198" s="85"/>
      <c r="AO198" s="85"/>
      <c r="AQ198" s="85"/>
      <c r="AS198" s="78"/>
    </row>
    <row r="199" spans="36:45">
      <c r="AJ199" s="78" t="str">
        <f t="shared" si="2"/>
        <v/>
      </c>
      <c r="AM199" s="85"/>
      <c r="AO199" s="85"/>
      <c r="AQ199" s="85"/>
      <c r="AS199" s="78"/>
    </row>
    <row r="200" spans="36:45">
      <c r="AJ200" s="78" t="str">
        <f t="shared" si="2"/>
        <v/>
      </c>
      <c r="AM200" s="85"/>
      <c r="AO200" s="85"/>
      <c r="AQ200" s="85"/>
      <c r="AS200" s="78"/>
    </row>
    <row r="201" spans="36:45">
      <c r="AJ201" s="78" t="str">
        <f t="shared" si="2"/>
        <v/>
      </c>
      <c r="AM201" s="85"/>
      <c r="AO201" s="85"/>
      <c r="AQ201" s="85"/>
      <c r="AS201" s="78"/>
    </row>
    <row r="202" spans="36:45">
      <c r="AJ202" s="78" t="str">
        <f t="shared" si="2"/>
        <v/>
      </c>
      <c r="AM202" s="85"/>
      <c r="AO202" s="85"/>
      <c r="AQ202" s="85"/>
      <c r="AS202" s="78"/>
    </row>
    <row r="203" spans="36:45">
      <c r="AJ203" s="78" t="str">
        <f t="shared" si="2"/>
        <v/>
      </c>
      <c r="AM203" s="85"/>
      <c r="AO203" s="85"/>
      <c r="AQ203" s="85"/>
      <c r="AS203" s="78"/>
    </row>
    <row r="204" spans="36:45">
      <c r="AJ204" s="78" t="str">
        <f t="shared" si="2"/>
        <v/>
      </c>
      <c r="AM204" s="85"/>
      <c r="AO204" s="85"/>
      <c r="AQ204" s="85"/>
      <c r="AS204" s="78"/>
    </row>
    <row r="205" spans="36:45">
      <c r="AJ205" s="78" t="str">
        <f t="shared" si="2"/>
        <v/>
      </c>
      <c r="AM205" s="85"/>
      <c r="AO205" s="85"/>
      <c r="AQ205" s="85"/>
      <c r="AS205" s="78"/>
    </row>
    <row r="206" spans="36:45">
      <c r="AJ206" s="78" t="str">
        <f t="shared" ref="AJ206:AJ269" si="3">IF(AI206="","",VLOOKUP(AI206,SEGUIMIENTOS,2,FALSE))</f>
        <v/>
      </c>
      <c r="AM206" s="85"/>
      <c r="AO206" s="85"/>
      <c r="AQ206" s="85"/>
      <c r="AS206" s="78"/>
    </row>
    <row r="207" spans="36:45">
      <c r="AJ207" s="78" t="str">
        <f t="shared" si="3"/>
        <v/>
      </c>
      <c r="AM207" s="85"/>
      <c r="AO207" s="85"/>
      <c r="AQ207" s="85"/>
      <c r="AS207" s="78"/>
    </row>
    <row r="208" spans="36:45">
      <c r="AJ208" s="78" t="str">
        <f t="shared" si="3"/>
        <v/>
      </c>
      <c r="AM208" s="85"/>
      <c r="AO208" s="85"/>
      <c r="AQ208" s="85"/>
      <c r="AS208" s="78"/>
    </row>
    <row r="209" spans="36:45">
      <c r="AJ209" s="78" t="str">
        <f t="shared" si="3"/>
        <v/>
      </c>
      <c r="AM209" s="85"/>
      <c r="AO209" s="85"/>
      <c r="AQ209" s="85"/>
      <c r="AS209" s="78"/>
    </row>
    <row r="210" spans="36:45">
      <c r="AJ210" s="78" t="str">
        <f t="shared" si="3"/>
        <v/>
      </c>
      <c r="AM210" s="85"/>
      <c r="AO210" s="85"/>
      <c r="AQ210" s="85"/>
      <c r="AS210" s="78"/>
    </row>
    <row r="211" spans="36:45">
      <c r="AJ211" s="78" t="str">
        <f t="shared" si="3"/>
        <v/>
      </c>
      <c r="AM211" s="85"/>
      <c r="AO211" s="85"/>
      <c r="AQ211" s="85"/>
      <c r="AS211" s="78"/>
    </row>
    <row r="212" spans="36:45">
      <c r="AJ212" s="78" t="str">
        <f t="shared" si="3"/>
        <v/>
      </c>
      <c r="AM212" s="85"/>
      <c r="AO212" s="85"/>
      <c r="AQ212" s="85"/>
      <c r="AS212" s="78"/>
    </row>
    <row r="213" spans="36:45">
      <c r="AJ213" s="78" t="str">
        <f t="shared" si="3"/>
        <v/>
      </c>
      <c r="AM213" s="85"/>
      <c r="AO213" s="85"/>
      <c r="AQ213" s="85"/>
      <c r="AS213" s="78"/>
    </row>
    <row r="214" spans="36:45">
      <c r="AJ214" s="78" t="str">
        <f t="shared" si="3"/>
        <v/>
      </c>
      <c r="AM214" s="85"/>
      <c r="AO214" s="85"/>
      <c r="AQ214" s="85"/>
      <c r="AS214" s="78"/>
    </row>
    <row r="215" spans="36:45">
      <c r="AJ215" s="78" t="str">
        <f t="shared" si="3"/>
        <v/>
      </c>
      <c r="AM215" s="85"/>
      <c r="AO215" s="85"/>
      <c r="AQ215" s="85"/>
      <c r="AS215" s="78"/>
    </row>
    <row r="216" spans="36:45">
      <c r="AJ216" s="78" t="str">
        <f t="shared" si="3"/>
        <v/>
      </c>
      <c r="AM216" s="85"/>
      <c r="AO216" s="85"/>
      <c r="AQ216" s="85"/>
      <c r="AS216" s="78"/>
    </row>
    <row r="217" spans="36:45">
      <c r="AJ217" s="78" t="str">
        <f t="shared" si="3"/>
        <v/>
      </c>
      <c r="AM217" s="85"/>
      <c r="AO217" s="85"/>
      <c r="AQ217" s="85"/>
      <c r="AS217" s="78"/>
    </row>
    <row r="218" spans="36:45">
      <c r="AJ218" s="78" t="str">
        <f t="shared" si="3"/>
        <v/>
      </c>
      <c r="AM218" s="85"/>
      <c r="AO218" s="85"/>
      <c r="AQ218" s="85"/>
      <c r="AS218" s="78"/>
    </row>
    <row r="219" spans="36:45">
      <c r="AJ219" s="78" t="str">
        <f t="shared" si="3"/>
        <v/>
      </c>
      <c r="AM219" s="85"/>
      <c r="AO219" s="85"/>
      <c r="AQ219" s="85"/>
      <c r="AS219" s="78"/>
    </row>
    <row r="220" spans="36:45">
      <c r="AJ220" s="78" t="str">
        <f t="shared" si="3"/>
        <v/>
      </c>
      <c r="AM220" s="85"/>
      <c r="AO220" s="85"/>
      <c r="AQ220" s="85"/>
      <c r="AS220" s="78"/>
    </row>
    <row r="221" spans="36:45">
      <c r="AJ221" s="26" t="str">
        <f t="shared" si="3"/>
        <v/>
      </c>
      <c r="AM221" s="85"/>
      <c r="AO221" s="85"/>
      <c r="AQ221" s="85"/>
      <c r="AS221" s="78"/>
    </row>
    <row r="222" spans="36:45">
      <c r="AJ222" s="26" t="str">
        <f t="shared" si="3"/>
        <v/>
      </c>
      <c r="AM222" s="85"/>
      <c r="AO222" s="85"/>
      <c r="AQ222" s="85"/>
      <c r="AS222" s="78"/>
    </row>
    <row r="223" spans="36:45">
      <c r="AJ223" s="26" t="str">
        <f t="shared" si="3"/>
        <v/>
      </c>
      <c r="AM223" s="85"/>
      <c r="AO223" s="85"/>
      <c r="AQ223" s="85"/>
      <c r="AS223" s="78"/>
    </row>
    <row r="224" spans="36:45">
      <c r="AJ224" s="26" t="str">
        <f t="shared" si="3"/>
        <v/>
      </c>
      <c r="AM224" s="85"/>
      <c r="AO224" s="85"/>
      <c r="AQ224" s="85"/>
      <c r="AS224" s="78"/>
    </row>
    <row r="225" spans="36:45">
      <c r="AJ225" s="26" t="str">
        <f t="shared" si="3"/>
        <v/>
      </c>
      <c r="AM225" s="85"/>
      <c r="AO225" s="85"/>
      <c r="AQ225" s="85"/>
      <c r="AS225" s="78"/>
    </row>
    <row r="226" spans="36:45">
      <c r="AJ226" s="26" t="str">
        <f t="shared" si="3"/>
        <v/>
      </c>
      <c r="AM226" s="85"/>
      <c r="AO226" s="85"/>
      <c r="AQ226" s="85"/>
      <c r="AS226" s="78"/>
    </row>
    <row r="227" spans="36:45">
      <c r="AJ227" s="26" t="str">
        <f t="shared" si="3"/>
        <v/>
      </c>
      <c r="AM227" s="85"/>
      <c r="AO227" s="85"/>
      <c r="AQ227" s="85"/>
      <c r="AS227" s="78"/>
    </row>
    <row r="228" spans="36:45">
      <c r="AJ228" s="26" t="str">
        <f t="shared" si="3"/>
        <v/>
      </c>
      <c r="AM228" s="85"/>
      <c r="AO228" s="85"/>
      <c r="AQ228" s="85"/>
      <c r="AS228" s="78"/>
    </row>
    <row r="229" spans="36:45">
      <c r="AJ229" s="26" t="str">
        <f t="shared" si="3"/>
        <v/>
      </c>
      <c r="AM229" s="85"/>
      <c r="AO229" s="85"/>
      <c r="AQ229" s="85"/>
      <c r="AS229" s="78"/>
    </row>
    <row r="230" spans="36:45">
      <c r="AJ230" s="26" t="str">
        <f t="shared" si="3"/>
        <v/>
      </c>
      <c r="AM230" s="85"/>
      <c r="AO230" s="85"/>
      <c r="AQ230" s="85"/>
      <c r="AS230" s="78"/>
    </row>
    <row r="231" spans="36:45">
      <c r="AJ231" s="26" t="str">
        <f t="shared" si="3"/>
        <v/>
      </c>
      <c r="AM231" s="85"/>
      <c r="AO231" s="85"/>
      <c r="AQ231" s="85"/>
      <c r="AS231" s="78"/>
    </row>
    <row r="232" spans="36:45">
      <c r="AJ232" s="26" t="str">
        <f t="shared" si="3"/>
        <v/>
      </c>
      <c r="AM232" s="85"/>
      <c r="AO232" s="85"/>
      <c r="AQ232" s="85"/>
      <c r="AS232" s="78"/>
    </row>
    <row r="233" spans="36:45">
      <c r="AJ233" s="26" t="str">
        <f t="shared" si="3"/>
        <v/>
      </c>
      <c r="AM233" s="85"/>
      <c r="AO233" s="85"/>
      <c r="AQ233" s="85"/>
      <c r="AS233" s="78"/>
    </row>
    <row r="234" spans="36:45">
      <c r="AJ234" s="26" t="str">
        <f t="shared" si="3"/>
        <v/>
      </c>
      <c r="AM234" s="85"/>
      <c r="AO234" s="85"/>
      <c r="AQ234" s="85"/>
      <c r="AS234" s="78"/>
    </row>
    <row r="235" spans="36:45">
      <c r="AJ235" s="26" t="str">
        <f t="shared" si="3"/>
        <v/>
      </c>
      <c r="AM235" s="85"/>
      <c r="AO235" s="85"/>
      <c r="AQ235" s="85"/>
      <c r="AS235" s="78"/>
    </row>
    <row r="236" spans="36:45">
      <c r="AJ236" s="26" t="str">
        <f t="shared" si="3"/>
        <v/>
      </c>
      <c r="AM236" s="85"/>
      <c r="AO236" s="85"/>
      <c r="AQ236" s="85"/>
      <c r="AS236" s="78"/>
    </row>
    <row r="237" spans="36:45">
      <c r="AJ237" s="26" t="str">
        <f t="shared" si="3"/>
        <v/>
      </c>
      <c r="AM237" s="85"/>
      <c r="AO237" s="85"/>
      <c r="AQ237" s="85"/>
      <c r="AS237" s="78"/>
    </row>
    <row r="238" spans="36:45">
      <c r="AJ238" s="26" t="str">
        <f t="shared" si="3"/>
        <v/>
      </c>
      <c r="AM238" s="85"/>
      <c r="AO238" s="85"/>
      <c r="AQ238" s="85"/>
      <c r="AS238" s="78"/>
    </row>
    <row r="239" spans="36:45">
      <c r="AJ239" s="26" t="str">
        <f t="shared" si="3"/>
        <v/>
      </c>
      <c r="AM239" s="85"/>
      <c r="AO239" s="85"/>
      <c r="AQ239" s="85"/>
      <c r="AS239" s="78"/>
    </row>
    <row r="240" spans="36:45">
      <c r="AJ240" s="26" t="str">
        <f t="shared" si="3"/>
        <v/>
      </c>
      <c r="AM240" s="85"/>
      <c r="AO240" s="85"/>
      <c r="AQ240" s="85"/>
      <c r="AS240" s="78"/>
    </row>
    <row r="241" spans="36:45">
      <c r="AJ241" s="26" t="str">
        <f t="shared" si="3"/>
        <v/>
      </c>
      <c r="AM241" s="85"/>
      <c r="AO241" s="85"/>
      <c r="AQ241" s="85"/>
      <c r="AS241" s="78"/>
    </row>
    <row r="242" spans="36:45">
      <c r="AJ242" s="26" t="str">
        <f t="shared" si="3"/>
        <v/>
      </c>
      <c r="AM242" s="85"/>
      <c r="AO242" s="85"/>
      <c r="AQ242" s="85"/>
      <c r="AS242" s="78"/>
    </row>
    <row r="243" spans="36:45">
      <c r="AJ243" s="26" t="str">
        <f t="shared" si="3"/>
        <v/>
      </c>
      <c r="AM243" s="85"/>
      <c r="AO243" s="85"/>
      <c r="AQ243" s="85"/>
      <c r="AS243" s="78"/>
    </row>
    <row r="244" spans="36:45">
      <c r="AJ244" s="26" t="str">
        <f t="shared" si="3"/>
        <v/>
      </c>
      <c r="AM244" s="85"/>
      <c r="AO244" s="85"/>
      <c r="AQ244" s="85"/>
      <c r="AS244" s="78"/>
    </row>
    <row r="245" spans="36:45">
      <c r="AJ245" s="26" t="str">
        <f t="shared" si="3"/>
        <v/>
      </c>
      <c r="AM245" s="85"/>
      <c r="AO245" s="85"/>
      <c r="AQ245" s="85"/>
      <c r="AS245" s="78"/>
    </row>
    <row r="246" spans="36:45">
      <c r="AJ246" s="26" t="str">
        <f t="shared" si="3"/>
        <v/>
      </c>
      <c r="AM246" s="85"/>
      <c r="AO246" s="85"/>
      <c r="AQ246" s="85"/>
      <c r="AS246" s="78"/>
    </row>
    <row r="247" spans="36:45">
      <c r="AJ247" s="26" t="str">
        <f t="shared" si="3"/>
        <v/>
      </c>
      <c r="AM247" s="85"/>
      <c r="AO247" s="85"/>
      <c r="AQ247" s="85"/>
      <c r="AS247" s="78"/>
    </row>
    <row r="248" spans="36:45">
      <c r="AJ248" s="26" t="str">
        <f t="shared" si="3"/>
        <v/>
      </c>
      <c r="AM248" s="85"/>
      <c r="AO248" s="85"/>
      <c r="AQ248" s="85"/>
      <c r="AS248" s="78"/>
    </row>
    <row r="249" spans="36:45">
      <c r="AJ249" s="26" t="str">
        <f t="shared" si="3"/>
        <v/>
      </c>
      <c r="AM249" s="85"/>
      <c r="AO249" s="85"/>
      <c r="AQ249" s="85"/>
      <c r="AS249" s="78"/>
    </row>
    <row r="250" spans="36:45">
      <c r="AJ250" s="26" t="str">
        <f t="shared" si="3"/>
        <v/>
      </c>
      <c r="AM250" s="85"/>
      <c r="AO250" s="85"/>
      <c r="AQ250" s="85"/>
      <c r="AS250" s="78"/>
    </row>
    <row r="251" spans="36:45">
      <c r="AJ251" s="26" t="str">
        <f t="shared" si="3"/>
        <v/>
      </c>
      <c r="AM251" s="85"/>
      <c r="AO251" s="85"/>
      <c r="AQ251" s="85"/>
      <c r="AS251" s="78"/>
    </row>
    <row r="252" spans="36:45">
      <c r="AJ252" s="26" t="str">
        <f t="shared" si="3"/>
        <v/>
      </c>
      <c r="AM252" s="85"/>
      <c r="AO252" s="85"/>
      <c r="AQ252" s="85"/>
      <c r="AS252" s="78"/>
    </row>
    <row r="253" spans="36:45">
      <c r="AJ253" s="26" t="str">
        <f t="shared" si="3"/>
        <v/>
      </c>
      <c r="AM253" s="85"/>
      <c r="AO253" s="85"/>
      <c r="AQ253" s="85"/>
      <c r="AS253" s="78"/>
    </row>
    <row r="254" spans="36:45">
      <c r="AJ254" s="26" t="str">
        <f t="shared" si="3"/>
        <v/>
      </c>
      <c r="AM254" s="85"/>
      <c r="AO254" s="85"/>
      <c r="AQ254" s="85"/>
      <c r="AS254" s="78"/>
    </row>
    <row r="255" spans="36:45">
      <c r="AJ255" s="26" t="str">
        <f t="shared" si="3"/>
        <v/>
      </c>
      <c r="AM255" s="85"/>
      <c r="AO255" s="85"/>
      <c r="AQ255" s="85"/>
      <c r="AS255" s="78"/>
    </row>
    <row r="256" spans="36:45">
      <c r="AJ256" s="26" t="str">
        <f t="shared" si="3"/>
        <v/>
      </c>
      <c r="AM256" s="85"/>
      <c r="AO256" s="85"/>
      <c r="AQ256" s="85"/>
      <c r="AS256" s="78"/>
    </row>
    <row r="257" spans="36:45">
      <c r="AJ257" s="26" t="str">
        <f t="shared" si="3"/>
        <v/>
      </c>
      <c r="AM257" s="85"/>
      <c r="AO257" s="85"/>
      <c r="AQ257" s="85"/>
      <c r="AS257" s="78"/>
    </row>
    <row r="258" spans="36:45">
      <c r="AJ258" s="26" t="str">
        <f t="shared" si="3"/>
        <v/>
      </c>
      <c r="AM258" s="85"/>
      <c r="AO258" s="85"/>
      <c r="AQ258" s="85"/>
      <c r="AS258" s="78"/>
    </row>
    <row r="259" spans="36:45">
      <c r="AJ259" s="26" t="str">
        <f t="shared" si="3"/>
        <v/>
      </c>
      <c r="AM259" s="85"/>
      <c r="AO259" s="85"/>
      <c r="AQ259" s="85"/>
      <c r="AS259" s="78"/>
    </row>
    <row r="260" spans="36:45">
      <c r="AJ260" s="26" t="str">
        <f t="shared" si="3"/>
        <v/>
      </c>
      <c r="AM260" s="85"/>
      <c r="AO260" s="85"/>
      <c r="AQ260" s="85"/>
      <c r="AS260" s="78"/>
    </row>
    <row r="261" spans="36:45">
      <c r="AJ261" s="26" t="str">
        <f t="shared" si="3"/>
        <v/>
      </c>
      <c r="AM261" s="85"/>
      <c r="AO261" s="85"/>
      <c r="AQ261" s="85"/>
      <c r="AS261" s="78"/>
    </row>
    <row r="262" spans="36:45">
      <c r="AJ262" s="26" t="str">
        <f t="shared" si="3"/>
        <v/>
      </c>
      <c r="AM262" s="85"/>
      <c r="AO262" s="85"/>
      <c r="AQ262" s="85"/>
      <c r="AS262" s="78"/>
    </row>
    <row r="263" spans="36:45">
      <c r="AJ263" s="26" t="str">
        <f t="shared" si="3"/>
        <v/>
      </c>
      <c r="AM263" s="85"/>
      <c r="AO263" s="85"/>
      <c r="AQ263" s="85"/>
      <c r="AS263" s="78"/>
    </row>
    <row r="264" spans="36:45">
      <c r="AJ264" s="26" t="str">
        <f t="shared" si="3"/>
        <v/>
      </c>
      <c r="AM264" s="85"/>
      <c r="AO264" s="85"/>
      <c r="AQ264" s="85"/>
      <c r="AS264" s="78"/>
    </row>
    <row r="265" spans="36:45">
      <c r="AJ265" s="26" t="str">
        <f t="shared" si="3"/>
        <v/>
      </c>
      <c r="AM265" s="85"/>
      <c r="AO265" s="85"/>
      <c r="AQ265" s="85"/>
      <c r="AS265" s="78"/>
    </row>
    <row r="266" spans="36:45">
      <c r="AJ266" s="26" t="str">
        <f t="shared" si="3"/>
        <v/>
      </c>
      <c r="AM266" s="85"/>
      <c r="AO266" s="85"/>
      <c r="AQ266" s="85"/>
      <c r="AS266" s="78"/>
    </row>
    <row r="267" spans="36:45">
      <c r="AJ267" s="26" t="str">
        <f t="shared" si="3"/>
        <v/>
      </c>
      <c r="AM267" s="85"/>
      <c r="AO267" s="85"/>
      <c r="AQ267" s="85"/>
      <c r="AS267" s="78"/>
    </row>
    <row r="268" spans="36:45">
      <c r="AJ268" s="26" t="str">
        <f t="shared" si="3"/>
        <v/>
      </c>
      <c r="AM268" s="85"/>
      <c r="AO268" s="85"/>
      <c r="AQ268" s="85"/>
      <c r="AS268" s="78"/>
    </row>
    <row r="269" spans="36:45">
      <c r="AJ269" s="26" t="str">
        <f t="shared" si="3"/>
        <v/>
      </c>
      <c r="AM269" s="85"/>
      <c r="AO269" s="85"/>
      <c r="AQ269" s="85"/>
      <c r="AS269" s="78"/>
    </row>
    <row r="270" spans="36:45">
      <c r="AJ270" s="26" t="str">
        <f t="shared" ref="AJ270:AJ333" si="4">IF(AI270="","",VLOOKUP(AI270,SEGUIMIENTOS,2,FALSE))</f>
        <v/>
      </c>
      <c r="AM270" s="85"/>
      <c r="AO270" s="85"/>
      <c r="AQ270" s="85"/>
      <c r="AS270" s="78"/>
    </row>
    <row r="271" spans="36:45">
      <c r="AJ271" s="26" t="str">
        <f t="shared" si="4"/>
        <v/>
      </c>
      <c r="AM271" s="85"/>
      <c r="AO271" s="85"/>
      <c r="AQ271" s="85"/>
      <c r="AS271" s="78"/>
    </row>
    <row r="272" spans="36:45">
      <c r="AJ272" s="26" t="str">
        <f t="shared" si="4"/>
        <v/>
      </c>
      <c r="AM272" s="85"/>
      <c r="AO272" s="85"/>
      <c r="AQ272" s="85"/>
      <c r="AS272" s="78"/>
    </row>
    <row r="273" spans="36:45">
      <c r="AJ273" s="26" t="str">
        <f t="shared" si="4"/>
        <v/>
      </c>
      <c r="AM273" s="85"/>
      <c r="AO273" s="85"/>
      <c r="AQ273" s="85"/>
      <c r="AS273" s="78"/>
    </row>
    <row r="274" spans="36:45">
      <c r="AJ274" s="26" t="str">
        <f t="shared" si="4"/>
        <v/>
      </c>
      <c r="AM274" s="85"/>
      <c r="AO274" s="85"/>
      <c r="AQ274" s="85"/>
      <c r="AS274" s="78"/>
    </row>
    <row r="275" spans="36:45">
      <c r="AJ275" s="26" t="str">
        <f t="shared" si="4"/>
        <v/>
      </c>
      <c r="AM275" s="85"/>
      <c r="AO275" s="85"/>
      <c r="AQ275" s="85"/>
      <c r="AS275" s="78"/>
    </row>
    <row r="276" spans="36:45">
      <c r="AJ276" s="26" t="str">
        <f t="shared" si="4"/>
        <v/>
      </c>
      <c r="AM276" s="85"/>
      <c r="AO276" s="85"/>
      <c r="AQ276" s="85"/>
      <c r="AS276" s="78"/>
    </row>
    <row r="277" spans="36:45">
      <c r="AJ277" s="26" t="str">
        <f t="shared" si="4"/>
        <v/>
      </c>
      <c r="AM277" s="85"/>
      <c r="AO277" s="85"/>
      <c r="AQ277" s="85"/>
      <c r="AS277" s="78"/>
    </row>
    <row r="278" spans="36:45">
      <c r="AJ278" s="26" t="str">
        <f t="shared" si="4"/>
        <v/>
      </c>
      <c r="AM278" s="85"/>
      <c r="AO278" s="85"/>
      <c r="AQ278" s="85"/>
      <c r="AS278" s="78"/>
    </row>
    <row r="279" spans="36:45">
      <c r="AJ279" s="26" t="str">
        <f t="shared" si="4"/>
        <v/>
      </c>
      <c r="AM279" s="85"/>
      <c r="AO279" s="85"/>
      <c r="AQ279" s="85"/>
      <c r="AS279" s="78"/>
    </row>
    <row r="280" spans="36:45">
      <c r="AJ280" s="26" t="str">
        <f t="shared" si="4"/>
        <v/>
      </c>
      <c r="AM280" s="85"/>
      <c r="AO280" s="85"/>
      <c r="AQ280" s="85"/>
      <c r="AS280" s="78"/>
    </row>
    <row r="281" spans="36:45">
      <c r="AJ281" s="26" t="str">
        <f t="shared" si="4"/>
        <v/>
      </c>
      <c r="AM281" s="85"/>
      <c r="AO281" s="85"/>
      <c r="AQ281" s="85"/>
      <c r="AS281" s="78"/>
    </row>
    <row r="282" spans="36:45">
      <c r="AJ282" s="26" t="str">
        <f t="shared" si="4"/>
        <v/>
      </c>
      <c r="AM282" s="85"/>
      <c r="AO282" s="85"/>
      <c r="AQ282" s="85"/>
      <c r="AS282" s="78"/>
    </row>
    <row r="283" spans="36:45">
      <c r="AJ283" s="26" t="str">
        <f t="shared" si="4"/>
        <v/>
      </c>
      <c r="AM283" s="85"/>
      <c r="AO283" s="85"/>
      <c r="AQ283" s="85"/>
      <c r="AS283" s="78"/>
    </row>
    <row r="284" spans="36:45">
      <c r="AJ284" s="26" t="str">
        <f t="shared" si="4"/>
        <v/>
      </c>
      <c r="AM284" s="85"/>
      <c r="AO284" s="85"/>
      <c r="AQ284" s="85"/>
      <c r="AS284" s="78"/>
    </row>
    <row r="285" spans="36:45">
      <c r="AJ285" s="26" t="str">
        <f t="shared" si="4"/>
        <v/>
      </c>
      <c r="AM285" s="85"/>
      <c r="AO285" s="85"/>
      <c r="AQ285" s="85"/>
      <c r="AS285" s="78"/>
    </row>
    <row r="286" spans="36:45">
      <c r="AJ286" s="26" t="str">
        <f t="shared" si="4"/>
        <v/>
      </c>
      <c r="AM286" s="85"/>
      <c r="AO286" s="85"/>
      <c r="AQ286" s="85"/>
      <c r="AS286" s="78"/>
    </row>
    <row r="287" spans="36:45">
      <c r="AJ287" s="26" t="str">
        <f t="shared" si="4"/>
        <v/>
      </c>
      <c r="AM287" s="85"/>
      <c r="AO287" s="85"/>
      <c r="AQ287" s="85"/>
      <c r="AS287" s="78"/>
    </row>
    <row r="288" spans="36:45">
      <c r="AJ288" s="26" t="str">
        <f t="shared" si="4"/>
        <v/>
      </c>
      <c r="AM288" s="85"/>
      <c r="AO288" s="85"/>
      <c r="AQ288" s="85"/>
      <c r="AS288" s="78"/>
    </row>
    <row r="289" spans="36:45">
      <c r="AJ289" s="26" t="str">
        <f t="shared" si="4"/>
        <v/>
      </c>
      <c r="AM289" s="85"/>
      <c r="AO289" s="85"/>
      <c r="AQ289" s="85"/>
      <c r="AS289" s="78"/>
    </row>
    <row r="290" spans="36:45">
      <c r="AJ290" s="26" t="str">
        <f t="shared" si="4"/>
        <v/>
      </c>
      <c r="AM290" s="85"/>
      <c r="AO290" s="85"/>
      <c r="AQ290" s="85"/>
      <c r="AS290" s="78"/>
    </row>
    <row r="291" spans="36:45">
      <c r="AJ291" s="26" t="str">
        <f t="shared" si="4"/>
        <v/>
      </c>
      <c r="AM291" s="85"/>
      <c r="AO291" s="85"/>
      <c r="AQ291" s="85"/>
      <c r="AS291" s="78"/>
    </row>
    <row r="292" spans="36:45">
      <c r="AJ292" s="26" t="str">
        <f t="shared" si="4"/>
        <v/>
      </c>
      <c r="AM292" s="85"/>
      <c r="AO292" s="85"/>
      <c r="AQ292" s="85"/>
      <c r="AS292" s="78"/>
    </row>
    <row r="293" spans="36:45">
      <c r="AJ293" s="26" t="str">
        <f t="shared" si="4"/>
        <v/>
      </c>
      <c r="AM293" s="85"/>
      <c r="AO293" s="85"/>
      <c r="AQ293" s="85"/>
      <c r="AS293" s="78"/>
    </row>
    <row r="294" spans="36:45">
      <c r="AJ294" s="26" t="str">
        <f t="shared" si="4"/>
        <v/>
      </c>
      <c r="AM294" s="85"/>
      <c r="AO294" s="85"/>
      <c r="AQ294" s="85"/>
      <c r="AS294" s="78"/>
    </row>
    <row r="295" spans="36:45">
      <c r="AJ295" s="26" t="str">
        <f t="shared" si="4"/>
        <v/>
      </c>
      <c r="AM295" s="85"/>
      <c r="AO295" s="85"/>
      <c r="AQ295" s="85"/>
      <c r="AS295" s="78"/>
    </row>
    <row r="296" spans="36:45">
      <c r="AJ296" s="26" t="str">
        <f t="shared" si="4"/>
        <v/>
      </c>
      <c r="AM296" s="85"/>
      <c r="AO296" s="85"/>
      <c r="AQ296" s="85"/>
      <c r="AS296" s="78"/>
    </row>
    <row r="297" spans="36:45">
      <c r="AJ297" s="26" t="str">
        <f t="shared" si="4"/>
        <v/>
      </c>
      <c r="AM297" s="85"/>
      <c r="AO297" s="85"/>
      <c r="AQ297" s="85"/>
      <c r="AS297" s="78"/>
    </row>
    <row r="298" spans="36:45">
      <c r="AJ298" s="26" t="str">
        <f t="shared" si="4"/>
        <v/>
      </c>
      <c r="AM298" s="85"/>
      <c r="AO298" s="85"/>
      <c r="AQ298" s="85"/>
      <c r="AS298" s="78"/>
    </row>
    <row r="299" spans="36:45">
      <c r="AJ299" s="26" t="str">
        <f t="shared" si="4"/>
        <v/>
      </c>
      <c r="AM299" s="85"/>
      <c r="AO299" s="85"/>
      <c r="AQ299" s="85"/>
      <c r="AS299" s="78"/>
    </row>
    <row r="300" spans="36:45">
      <c r="AJ300" s="26" t="str">
        <f t="shared" si="4"/>
        <v/>
      </c>
      <c r="AM300" s="85"/>
      <c r="AO300" s="85"/>
      <c r="AQ300" s="85"/>
      <c r="AS300" s="78"/>
    </row>
    <row r="301" spans="36:45">
      <c r="AJ301" s="26" t="str">
        <f t="shared" si="4"/>
        <v/>
      </c>
      <c r="AM301" s="85"/>
      <c r="AO301" s="85"/>
      <c r="AQ301" s="85"/>
      <c r="AS301" s="78"/>
    </row>
    <row r="302" spans="36:45">
      <c r="AJ302" s="26" t="str">
        <f t="shared" si="4"/>
        <v/>
      </c>
      <c r="AM302" s="85"/>
      <c r="AO302" s="85"/>
      <c r="AQ302" s="85"/>
      <c r="AS302" s="78"/>
    </row>
    <row r="303" spans="36:45">
      <c r="AJ303" s="26" t="str">
        <f t="shared" si="4"/>
        <v/>
      </c>
      <c r="AM303" s="85"/>
      <c r="AO303" s="85"/>
      <c r="AQ303" s="85"/>
      <c r="AS303" s="78"/>
    </row>
    <row r="304" spans="36:45">
      <c r="AJ304" s="26" t="str">
        <f t="shared" si="4"/>
        <v/>
      </c>
      <c r="AM304" s="85"/>
      <c r="AO304" s="85"/>
      <c r="AQ304" s="85"/>
      <c r="AS304" s="78"/>
    </row>
    <row r="305" spans="36:45">
      <c r="AJ305" s="26" t="str">
        <f t="shared" si="4"/>
        <v/>
      </c>
      <c r="AM305" s="85"/>
      <c r="AO305" s="85"/>
      <c r="AQ305" s="85"/>
      <c r="AS305" s="78"/>
    </row>
    <row r="306" spans="36:45">
      <c r="AJ306" s="26" t="str">
        <f t="shared" si="4"/>
        <v/>
      </c>
      <c r="AM306" s="85"/>
      <c r="AO306" s="85"/>
      <c r="AQ306" s="85"/>
      <c r="AS306" s="78"/>
    </row>
    <row r="307" spans="36:45">
      <c r="AJ307" s="26" t="str">
        <f t="shared" si="4"/>
        <v/>
      </c>
      <c r="AM307" s="85"/>
      <c r="AO307" s="85"/>
      <c r="AQ307" s="85"/>
      <c r="AS307" s="78"/>
    </row>
    <row r="308" spans="36:45">
      <c r="AJ308" s="26" t="str">
        <f t="shared" si="4"/>
        <v/>
      </c>
      <c r="AM308" s="85"/>
      <c r="AO308" s="85"/>
      <c r="AQ308" s="85"/>
      <c r="AS308" s="78"/>
    </row>
    <row r="309" spans="36:45">
      <c r="AJ309" s="26" t="str">
        <f t="shared" si="4"/>
        <v/>
      </c>
      <c r="AM309" s="85"/>
      <c r="AO309" s="85"/>
      <c r="AQ309" s="85"/>
      <c r="AS309" s="78"/>
    </row>
    <row r="310" spans="36:45">
      <c r="AJ310" s="26" t="str">
        <f t="shared" si="4"/>
        <v/>
      </c>
      <c r="AM310" s="85"/>
      <c r="AO310" s="85"/>
      <c r="AQ310" s="85"/>
      <c r="AS310" s="78"/>
    </row>
    <row r="311" spans="36:45">
      <c r="AJ311" s="26" t="str">
        <f t="shared" si="4"/>
        <v/>
      </c>
      <c r="AM311" s="85"/>
      <c r="AO311" s="85"/>
      <c r="AQ311" s="85"/>
      <c r="AS311" s="78"/>
    </row>
    <row r="312" spans="36:45">
      <c r="AJ312" s="26" t="str">
        <f t="shared" si="4"/>
        <v/>
      </c>
      <c r="AM312" s="85"/>
      <c r="AO312" s="85"/>
      <c r="AQ312" s="85"/>
      <c r="AS312" s="78"/>
    </row>
    <row r="313" spans="36:45">
      <c r="AJ313" s="26" t="str">
        <f t="shared" si="4"/>
        <v/>
      </c>
      <c r="AM313" s="85"/>
      <c r="AO313" s="85"/>
      <c r="AQ313" s="85"/>
      <c r="AS313" s="78"/>
    </row>
    <row r="314" spans="36:45">
      <c r="AJ314" s="26" t="str">
        <f t="shared" si="4"/>
        <v/>
      </c>
      <c r="AM314" s="85"/>
      <c r="AO314" s="85"/>
      <c r="AQ314" s="85"/>
      <c r="AS314" s="78"/>
    </row>
    <row r="315" spans="36:45">
      <c r="AJ315" s="26" t="str">
        <f t="shared" si="4"/>
        <v/>
      </c>
      <c r="AM315" s="85"/>
      <c r="AO315" s="85"/>
      <c r="AQ315" s="85"/>
      <c r="AS315" s="78"/>
    </row>
    <row r="316" spans="36:45">
      <c r="AJ316" s="26" t="str">
        <f t="shared" si="4"/>
        <v/>
      </c>
      <c r="AM316" s="85"/>
      <c r="AO316" s="85"/>
      <c r="AQ316" s="85"/>
      <c r="AS316" s="78"/>
    </row>
    <row r="317" spans="36:45">
      <c r="AJ317" s="26" t="str">
        <f t="shared" si="4"/>
        <v/>
      </c>
      <c r="AM317" s="85"/>
      <c r="AO317" s="85"/>
      <c r="AQ317" s="85"/>
      <c r="AS317" s="78"/>
    </row>
    <row r="318" spans="36:45">
      <c r="AJ318" s="26" t="str">
        <f t="shared" si="4"/>
        <v/>
      </c>
      <c r="AM318" s="85"/>
      <c r="AO318" s="85"/>
      <c r="AQ318" s="85"/>
      <c r="AS318" s="78"/>
    </row>
    <row r="319" spans="36:45">
      <c r="AJ319" s="26" t="str">
        <f t="shared" si="4"/>
        <v/>
      </c>
      <c r="AM319" s="85"/>
      <c r="AO319" s="85"/>
      <c r="AQ319" s="85"/>
      <c r="AS319" s="78"/>
    </row>
    <row r="320" spans="36:45">
      <c r="AJ320" s="26" t="str">
        <f t="shared" si="4"/>
        <v/>
      </c>
      <c r="AM320" s="85"/>
      <c r="AO320" s="85"/>
      <c r="AQ320" s="85"/>
      <c r="AS320" s="78"/>
    </row>
    <row r="321" spans="36:45">
      <c r="AJ321" s="26" t="str">
        <f t="shared" si="4"/>
        <v/>
      </c>
      <c r="AM321" s="85"/>
      <c r="AO321" s="85"/>
      <c r="AQ321" s="85"/>
      <c r="AS321" s="78"/>
    </row>
    <row r="322" spans="36:45">
      <c r="AJ322" s="26" t="str">
        <f t="shared" si="4"/>
        <v/>
      </c>
      <c r="AM322" s="85"/>
      <c r="AO322" s="85"/>
      <c r="AQ322" s="85"/>
      <c r="AS322" s="78"/>
    </row>
    <row r="323" spans="36:45">
      <c r="AJ323" s="26" t="str">
        <f t="shared" si="4"/>
        <v/>
      </c>
      <c r="AM323" s="85"/>
      <c r="AO323" s="85"/>
      <c r="AQ323" s="85"/>
      <c r="AS323" s="78"/>
    </row>
    <row r="324" spans="36:45">
      <c r="AJ324" s="26" t="str">
        <f t="shared" si="4"/>
        <v/>
      </c>
      <c r="AM324" s="85"/>
      <c r="AO324" s="85"/>
      <c r="AQ324" s="85"/>
      <c r="AS324" s="78"/>
    </row>
    <row r="325" spans="36:45">
      <c r="AJ325" s="26" t="str">
        <f t="shared" si="4"/>
        <v/>
      </c>
      <c r="AM325" s="85"/>
      <c r="AO325" s="85"/>
      <c r="AQ325" s="85"/>
      <c r="AS325" s="78"/>
    </row>
    <row r="326" spans="36:45">
      <c r="AJ326" s="26" t="str">
        <f t="shared" si="4"/>
        <v/>
      </c>
      <c r="AM326" s="85"/>
      <c r="AO326" s="85"/>
      <c r="AQ326" s="85"/>
      <c r="AS326" s="78"/>
    </row>
    <row r="327" spans="36:45">
      <c r="AJ327" s="26" t="str">
        <f t="shared" si="4"/>
        <v/>
      </c>
      <c r="AM327" s="85"/>
      <c r="AO327" s="85"/>
      <c r="AQ327" s="85"/>
      <c r="AS327" s="78"/>
    </row>
    <row r="328" spans="36:45">
      <c r="AJ328" s="26" t="str">
        <f t="shared" si="4"/>
        <v/>
      </c>
      <c r="AM328" s="85"/>
      <c r="AO328" s="85"/>
      <c r="AQ328" s="85"/>
      <c r="AS328" s="78"/>
    </row>
    <row r="329" spans="36:45">
      <c r="AJ329" s="26" t="str">
        <f t="shared" si="4"/>
        <v/>
      </c>
      <c r="AM329" s="85"/>
      <c r="AO329" s="85"/>
      <c r="AQ329" s="85"/>
      <c r="AS329" s="78"/>
    </row>
    <row r="330" spans="36:45">
      <c r="AJ330" s="26" t="str">
        <f t="shared" si="4"/>
        <v/>
      </c>
      <c r="AM330" s="85"/>
      <c r="AO330" s="85"/>
      <c r="AQ330" s="85"/>
      <c r="AS330" s="78"/>
    </row>
    <row r="331" spans="36:45">
      <c r="AJ331" s="26" t="str">
        <f t="shared" si="4"/>
        <v/>
      </c>
      <c r="AM331" s="85"/>
      <c r="AO331" s="85"/>
      <c r="AQ331" s="85"/>
      <c r="AS331" s="78"/>
    </row>
    <row r="332" spans="36:45">
      <c r="AJ332" s="26" t="str">
        <f t="shared" si="4"/>
        <v/>
      </c>
      <c r="AM332" s="85"/>
      <c r="AO332" s="85"/>
      <c r="AQ332" s="85"/>
      <c r="AS332" s="78"/>
    </row>
    <row r="333" spans="36:45">
      <c r="AJ333" s="26" t="str">
        <f t="shared" si="4"/>
        <v/>
      </c>
      <c r="AM333" s="85"/>
      <c r="AO333" s="85"/>
      <c r="AQ333" s="85"/>
      <c r="AS333" s="78"/>
    </row>
    <row r="334" spans="36:45">
      <c r="AJ334" s="26" t="str">
        <f t="shared" ref="AJ334:AJ397" si="5">IF(AI334="","",VLOOKUP(AI334,SEGUIMIENTOS,2,FALSE))</f>
        <v/>
      </c>
      <c r="AM334" s="85"/>
      <c r="AO334" s="85"/>
      <c r="AQ334" s="85"/>
      <c r="AS334" s="78"/>
    </row>
    <row r="335" spans="36:45">
      <c r="AJ335" s="26" t="str">
        <f t="shared" si="5"/>
        <v/>
      </c>
      <c r="AM335" s="85"/>
      <c r="AO335" s="85"/>
      <c r="AQ335" s="85"/>
      <c r="AS335" s="78"/>
    </row>
    <row r="336" spans="36:45">
      <c r="AJ336" s="26" t="str">
        <f t="shared" si="5"/>
        <v/>
      </c>
      <c r="AM336" s="85"/>
      <c r="AO336" s="85"/>
      <c r="AQ336" s="85"/>
      <c r="AS336" s="78"/>
    </row>
    <row r="337" spans="36:45">
      <c r="AJ337" s="26" t="str">
        <f t="shared" si="5"/>
        <v/>
      </c>
      <c r="AM337" s="85"/>
      <c r="AO337" s="85"/>
      <c r="AQ337" s="85"/>
      <c r="AS337" s="78"/>
    </row>
    <row r="338" spans="36:45">
      <c r="AJ338" s="26" t="str">
        <f t="shared" si="5"/>
        <v/>
      </c>
      <c r="AM338" s="85"/>
      <c r="AO338" s="85"/>
      <c r="AQ338" s="85"/>
      <c r="AS338" s="78"/>
    </row>
    <row r="339" spans="36:45">
      <c r="AJ339" s="26" t="str">
        <f t="shared" si="5"/>
        <v/>
      </c>
      <c r="AM339" s="85"/>
      <c r="AO339" s="85"/>
      <c r="AQ339" s="85"/>
      <c r="AS339" s="78"/>
    </row>
    <row r="340" spans="36:45">
      <c r="AJ340" s="26" t="str">
        <f t="shared" si="5"/>
        <v/>
      </c>
      <c r="AM340" s="85"/>
      <c r="AO340" s="85"/>
      <c r="AQ340" s="85"/>
      <c r="AS340" s="78"/>
    </row>
    <row r="341" spans="36:45">
      <c r="AJ341" s="26" t="str">
        <f t="shared" si="5"/>
        <v/>
      </c>
      <c r="AM341" s="85"/>
      <c r="AO341" s="85"/>
      <c r="AQ341" s="85"/>
      <c r="AS341" s="78"/>
    </row>
    <row r="342" spans="36:45">
      <c r="AJ342" s="26" t="str">
        <f t="shared" si="5"/>
        <v/>
      </c>
      <c r="AM342" s="85"/>
      <c r="AO342" s="85"/>
      <c r="AQ342" s="85"/>
      <c r="AS342" s="78"/>
    </row>
    <row r="343" spans="36:45">
      <c r="AJ343" s="26" t="str">
        <f t="shared" si="5"/>
        <v/>
      </c>
      <c r="AM343" s="85"/>
      <c r="AO343" s="85"/>
      <c r="AQ343" s="85"/>
      <c r="AS343" s="78"/>
    </row>
    <row r="344" spans="36:45">
      <c r="AJ344" s="26" t="str">
        <f t="shared" si="5"/>
        <v/>
      </c>
      <c r="AM344" s="85"/>
      <c r="AO344" s="85"/>
      <c r="AQ344" s="85"/>
      <c r="AS344" s="78"/>
    </row>
    <row r="345" spans="36:45">
      <c r="AJ345" s="26" t="str">
        <f t="shared" si="5"/>
        <v/>
      </c>
      <c r="AM345" s="85"/>
      <c r="AO345" s="85"/>
      <c r="AQ345" s="85"/>
      <c r="AS345" s="78"/>
    </row>
    <row r="346" spans="36:45">
      <c r="AJ346" s="26" t="str">
        <f t="shared" si="5"/>
        <v/>
      </c>
      <c r="AM346" s="85"/>
      <c r="AO346" s="85"/>
      <c r="AQ346" s="85"/>
      <c r="AS346" s="78"/>
    </row>
    <row r="347" spans="36:45">
      <c r="AJ347" s="26" t="str">
        <f t="shared" si="5"/>
        <v/>
      </c>
      <c r="AM347" s="85"/>
      <c r="AO347" s="85"/>
      <c r="AQ347" s="85"/>
      <c r="AS347" s="78"/>
    </row>
    <row r="348" spans="36:45">
      <c r="AJ348" s="26" t="str">
        <f t="shared" si="5"/>
        <v/>
      </c>
      <c r="AM348" s="85"/>
      <c r="AO348" s="85"/>
      <c r="AQ348" s="85"/>
      <c r="AS348" s="78"/>
    </row>
    <row r="349" spans="36:45">
      <c r="AJ349" s="26" t="str">
        <f t="shared" si="5"/>
        <v/>
      </c>
      <c r="AM349" s="85"/>
      <c r="AO349" s="85"/>
      <c r="AQ349" s="85"/>
      <c r="AS349" s="78"/>
    </row>
    <row r="350" spans="36:45">
      <c r="AJ350" s="26" t="str">
        <f t="shared" si="5"/>
        <v/>
      </c>
      <c r="AM350" s="85"/>
      <c r="AO350" s="85"/>
      <c r="AQ350" s="85"/>
      <c r="AS350" s="78"/>
    </row>
    <row r="351" spans="36:45">
      <c r="AJ351" s="26" t="str">
        <f t="shared" si="5"/>
        <v/>
      </c>
      <c r="AM351" s="85"/>
      <c r="AO351" s="85"/>
      <c r="AQ351" s="85"/>
      <c r="AS351" s="78"/>
    </row>
    <row r="352" spans="36:45">
      <c r="AJ352" s="26" t="str">
        <f t="shared" si="5"/>
        <v/>
      </c>
      <c r="AM352" s="85"/>
      <c r="AO352" s="85"/>
      <c r="AQ352" s="85"/>
      <c r="AS352" s="78"/>
    </row>
    <row r="353" spans="36:45">
      <c r="AJ353" s="26" t="str">
        <f t="shared" si="5"/>
        <v/>
      </c>
      <c r="AM353" s="85"/>
      <c r="AO353" s="85"/>
      <c r="AQ353" s="85"/>
      <c r="AS353" s="78"/>
    </row>
    <row r="354" spans="36:45">
      <c r="AJ354" s="26" t="str">
        <f t="shared" si="5"/>
        <v/>
      </c>
      <c r="AM354" s="85"/>
      <c r="AO354" s="85"/>
      <c r="AQ354" s="85"/>
      <c r="AS354" s="78"/>
    </row>
    <row r="355" spans="36:45">
      <c r="AJ355" s="26" t="str">
        <f t="shared" si="5"/>
        <v/>
      </c>
      <c r="AM355" s="85"/>
      <c r="AO355" s="85"/>
      <c r="AQ355" s="85"/>
      <c r="AS355" s="78"/>
    </row>
    <row r="356" spans="36:45">
      <c r="AJ356" s="26" t="str">
        <f t="shared" si="5"/>
        <v/>
      </c>
      <c r="AM356" s="85"/>
      <c r="AO356" s="85"/>
      <c r="AQ356" s="85"/>
      <c r="AS356" s="78"/>
    </row>
    <row r="357" spans="36:45">
      <c r="AJ357" s="26" t="str">
        <f t="shared" si="5"/>
        <v/>
      </c>
      <c r="AM357" s="85"/>
      <c r="AO357" s="85"/>
      <c r="AQ357" s="85"/>
      <c r="AS357" s="78"/>
    </row>
    <row r="358" spans="36:45">
      <c r="AJ358" s="26" t="str">
        <f t="shared" si="5"/>
        <v/>
      </c>
      <c r="AM358" s="85"/>
      <c r="AO358" s="85"/>
      <c r="AQ358" s="85"/>
      <c r="AS358" s="78"/>
    </row>
    <row r="359" spans="36:45">
      <c r="AJ359" s="26" t="str">
        <f t="shared" si="5"/>
        <v/>
      </c>
      <c r="AM359" s="85"/>
      <c r="AO359" s="85"/>
      <c r="AQ359" s="85"/>
      <c r="AS359" s="78"/>
    </row>
    <row r="360" spans="36:45">
      <c r="AJ360" s="26" t="str">
        <f t="shared" si="5"/>
        <v/>
      </c>
      <c r="AM360" s="85"/>
      <c r="AO360" s="85"/>
      <c r="AQ360" s="85"/>
      <c r="AS360" s="78"/>
    </row>
    <row r="361" spans="36:45">
      <c r="AJ361" s="26" t="str">
        <f t="shared" si="5"/>
        <v/>
      </c>
      <c r="AM361" s="85"/>
      <c r="AO361" s="85"/>
      <c r="AQ361" s="85"/>
      <c r="AS361" s="78"/>
    </row>
    <row r="362" spans="36:45">
      <c r="AJ362" s="26" t="str">
        <f t="shared" si="5"/>
        <v/>
      </c>
      <c r="AM362" s="85"/>
      <c r="AO362" s="85"/>
      <c r="AQ362" s="85"/>
      <c r="AS362" s="78"/>
    </row>
    <row r="363" spans="36:45">
      <c r="AJ363" s="26" t="str">
        <f t="shared" si="5"/>
        <v/>
      </c>
      <c r="AM363" s="85"/>
      <c r="AO363" s="85"/>
      <c r="AQ363" s="85"/>
      <c r="AS363" s="78"/>
    </row>
    <row r="364" spans="36:45">
      <c r="AJ364" s="26" t="str">
        <f t="shared" si="5"/>
        <v/>
      </c>
      <c r="AM364" s="85"/>
      <c r="AO364" s="85"/>
      <c r="AQ364" s="85"/>
      <c r="AS364" s="78"/>
    </row>
    <row r="365" spans="36:45">
      <c r="AJ365" s="26" t="str">
        <f t="shared" si="5"/>
        <v/>
      </c>
      <c r="AM365" s="85"/>
      <c r="AO365" s="85"/>
      <c r="AQ365" s="85"/>
      <c r="AS365" s="78"/>
    </row>
    <row r="366" spans="36:45">
      <c r="AJ366" s="26" t="str">
        <f t="shared" si="5"/>
        <v/>
      </c>
      <c r="AM366" s="85"/>
      <c r="AO366" s="85"/>
      <c r="AQ366" s="85"/>
      <c r="AS366" s="78"/>
    </row>
    <row r="367" spans="36:45">
      <c r="AJ367" s="26" t="str">
        <f t="shared" si="5"/>
        <v/>
      </c>
      <c r="AM367" s="85"/>
      <c r="AO367" s="85"/>
      <c r="AQ367" s="85"/>
      <c r="AS367" s="78"/>
    </row>
    <row r="368" spans="36:45">
      <c r="AJ368" s="26" t="str">
        <f t="shared" si="5"/>
        <v/>
      </c>
      <c r="AM368" s="85"/>
      <c r="AO368" s="85"/>
      <c r="AQ368" s="85"/>
      <c r="AS368" s="78"/>
    </row>
    <row r="369" spans="36:45">
      <c r="AJ369" s="26" t="str">
        <f t="shared" si="5"/>
        <v/>
      </c>
      <c r="AM369" s="85"/>
      <c r="AO369" s="85"/>
      <c r="AQ369" s="85"/>
      <c r="AS369" s="78"/>
    </row>
    <row r="370" spans="36:45">
      <c r="AJ370" s="26" t="str">
        <f t="shared" si="5"/>
        <v/>
      </c>
      <c r="AM370" s="85"/>
      <c r="AO370" s="85"/>
      <c r="AQ370" s="85"/>
      <c r="AS370" s="78"/>
    </row>
    <row r="371" spans="36:45">
      <c r="AJ371" s="26" t="str">
        <f t="shared" si="5"/>
        <v/>
      </c>
      <c r="AM371" s="85"/>
      <c r="AO371" s="85"/>
      <c r="AQ371" s="85"/>
      <c r="AS371" s="78"/>
    </row>
    <row r="372" spans="36:45">
      <c r="AJ372" s="26" t="str">
        <f t="shared" si="5"/>
        <v/>
      </c>
      <c r="AM372" s="85"/>
      <c r="AO372" s="85"/>
      <c r="AQ372" s="85"/>
      <c r="AS372" s="78"/>
    </row>
    <row r="373" spans="36:45">
      <c r="AJ373" s="26" t="str">
        <f t="shared" si="5"/>
        <v/>
      </c>
      <c r="AM373" s="85"/>
      <c r="AO373" s="85"/>
      <c r="AQ373" s="85"/>
      <c r="AS373" s="78"/>
    </row>
    <row r="374" spans="36:45">
      <c r="AJ374" s="26" t="str">
        <f t="shared" si="5"/>
        <v/>
      </c>
      <c r="AM374" s="85"/>
      <c r="AO374" s="85"/>
      <c r="AQ374" s="85"/>
      <c r="AS374" s="78"/>
    </row>
    <row r="375" spans="36:45">
      <c r="AJ375" s="26" t="str">
        <f t="shared" si="5"/>
        <v/>
      </c>
      <c r="AM375" s="85"/>
      <c r="AO375" s="85"/>
      <c r="AQ375" s="85"/>
      <c r="AS375" s="78"/>
    </row>
    <row r="376" spans="36:45">
      <c r="AJ376" s="26" t="str">
        <f t="shared" si="5"/>
        <v/>
      </c>
      <c r="AM376" s="85"/>
      <c r="AO376" s="85"/>
      <c r="AQ376" s="85"/>
      <c r="AS376" s="78"/>
    </row>
    <row r="377" spans="36:45">
      <c r="AJ377" s="26" t="str">
        <f t="shared" si="5"/>
        <v/>
      </c>
      <c r="AM377" s="85"/>
      <c r="AO377" s="85"/>
      <c r="AQ377" s="85"/>
      <c r="AS377" s="78"/>
    </row>
    <row r="378" spans="36:45">
      <c r="AJ378" s="26" t="str">
        <f t="shared" si="5"/>
        <v/>
      </c>
      <c r="AM378" s="85"/>
      <c r="AO378" s="85"/>
      <c r="AQ378" s="85"/>
      <c r="AS378" s="78"/>
    </row>
    <row r="379" spans="36:45">
      <c r="AJ379" s="26" t="str">
        <f t="shared" si="5"/>
        <v/>
      </c>
      <c r="AM379" s="85"/>
      <c r="AO379" s="85"/>
      <c r="AQ379" s="85"/>
      <c r="AS379" s="78"/>
    </row>
    <row r="380" spans="36:45">
      <c r="AJ380" s="26" t="str">
        <f t="shared" si="5"/>
        <v/>
      </c>
      <c r="AM380" s="85"/>
      <c r="AO380" s="85"/>
      <c r="AQ380" s="85"/>
      <c r="AS380" s="78"/>
    </row>
    <row r="381" spans="36:45">
      <c r="AJ381" s="26" t="str">
        <f t="shared" si="5"/>
        <v/>
      </c>
      <c r="AM381" s="85"/>
      <c r="AO381" s="85"/>
      <c r="AQ381" s="85"/>
      <c r="AS381" s="78"/>
    </row>
    <row r="382" spans="36:45">
      <c r="AJ382" s="26" t="str">
        <f t="shared" si="5"/>
        <v/>
      </c>
      <c r="AM382" s="85"/>
      <c r="AO382" s="85"/>
      <c r="AQ382" s="85"/>
      <c r="AS382" s="78"/>
    </row>
    <row r="383" spans="36:45">
      <c r="AJ383" s="26" t="str">
        <f t="shared" si="5"/>
        <v/>
      </c>
      <c r="AM383" s="85"/>
      <c r="AO383" s="85"/>
      <c r="AQ383" s="85"/>
      <c r="AS383" s="78"/>
    </row>
    <row r="384" spans="36:45">
      <c r="AJ384" s="26" t="str">
        <f t="shared" si="5"/>
        <v/>
      </c>
      <c r="AM384" s="85"/>
      <c r="AO384" s="85"/>
      <c r="AQ384" s="85"/>
      <c r="AS384" s="78"/>
    </row>
    <row r="385" spans="36:45">
      <c r="AJ385" s="26" t="str">
        <f t="shared" si="5"/>
        <v/>
      </c>
      <c r="AM385" s="85"/>
      <c r="AO385" s="85"/>
      <c r="AQ385" s="85"/>
      <c r="AS385" s="78"/>
    </row>
    <row r="386" spans="36:45">
      <c r="AJ386" s="26" t="str">
        <f t="shared" si="5"/>
        <v/>
      </c>
      <c r="AM386" s="85"/>
      <c r="AO386" s="85"/>
      <c r="AQ386" s="85"/>
      <c r="AS386" s="78"/>
    </row>
    <row r="387" spans="36:45">
      <c r="AJ387" s="26" t="str">
        <f t="shared" si="5"/>
        <v/>
      </c>
      <c r="AM387" s="85"/>
      <c r="AO387" s="85"/>
      <c r="AQ387" s="85"/>
      <c r="AS387" s="78"/>
    </row>
    <row r="388" spans="36:45">
      <c r="AJ388" s="26" t="str">
        <f t="shared" si="5"/>
        <v/>
      </c>
      <c r="AM388" s="85"/>
      <c r="AO388" s="85"/>
      <c r="AQ388" s="85"/>
      <c r="AS388" s="78"/>
    </row>
    <row r="389" spans="36:45">
      <c r="AJ389" s="26" t="str">
        <f t="shared" si="5"/>
        <v/>
      </c>
      <c r="AM389" s="85"/>
      <c r="AO389" s="85"/>
      <c r="AQ389" s="85"/>
      <c r="AS389" s="78"/>
    </row>
    <row r="390" spans="36:45">
      <c r="AJ390" s="26" t="str">
        <f t="shared" si="5"/>
        <v/>
      </c>
      <c r="AM390" s="85"/>
      <c r="AO390" s="85"/>
      <c r="AQ390" s="85"/>
      <c r="AS390" s="78"/>
    </row>
    <row r="391" spans="36:45">
      <c r="AJ391" s="26" t="str">
        <f t="shared" si="5"/>
        <v/>
      </c>
      <c r="AM391" s="85"/>
      <c r="AO391" s="85"/>
      <c r="AQ391" s="85"/>
      <c r="AS391" s="78"/>
    </row>
    <row r="392" spans="36:45">
      <c r="AJ392" s="26" t="str">
        <f t="shared" si="5"/>
        <v/>
      </c>
      <c r="AM392" s="85"/>
      <c r="AO392" s="85"/>
      <c r="AQ392" s="85"/>
      <c r="AS392" s="78"/>
    </row>
    <row r="393" spans="36:45">
      <c r="AJ393" s="26" t="str">
        <f t="shared" si="5"/>
        <v/>
      </c>
      <c r="AM393" s="85"/>
      <c r="AO393" s="85"/>
      <c r="AQ393" s="85"/>
      <c r="AS393" s="78"/>
    </row>
    <row r="394" spans="36:45">
      <c r="AJ394" s="26" t="str">
        <f t="shared" si="5"/>
        <v/>
      </c>
      <c r="AM394" s="85"/>
      <c r="AO394" s="85"/>
      <c r="AQ394" s="85"/>
      <c r="AS394" s="78"/>
    </row>
    <row r="395" spans="36:45">
      <c r="AJ395" s="26" t="str">
        <f t="shared" si="5"/>
        <v/>
      </c>
      <c r="AM395" s="85"/>
      <c r="AO395" s="85"/>
      <c r="AQ395" s="85"/>
      <c r="AS395" s="78"/>
    </row>
    <row r="396" spans="36:45">
      <c r="AJ396" s="26" t="str">
        <f t="shared" si="5"/>
        <v/>
      </c>
      <c r="AM396" s="85"/>
      <c r="AO396" s="85"/>
      <c r="AQ396" s="85"/>
      <c r="AS396" s="78"/>
    </row>
    <row r="397" spans="36:45">
      <c r="AJ397" s="26" t="str">
        <f t="shared" si="5"/>
        <v/>
      </c>
      <c r="AM397" s="85"/>
      <c r="AO397" s="85"/>
      <c r="AQ397" s="85"/>
      <c r="AS397" s="78"/>
    </row>
    <row r="398" spans="36:45">
      <c r="AJ398" s="26" t="str">
        <f t="shared" ref="AJ398:AJ461" si="6">IF(AI398="","",VLOOKUP(AI398,SEGUIMIENTOS,2,FALSE))</f>
        <v/>
      </c>
      <c r="AM398" s="85"/>
      <c r="AO398" s="85"/>
      <c r="AQ398" s="85"/>
      <c r="AS398" s="78"/>
    </row>
    <row r="399" spans="36:45">
      <c r="AJ399" s="26" t="str">
        <f t="shared" si="6"/>
        <v/>
      </c>
      <c r="AM399" s="85"/>
      <c r="AO399" s="85"/>
      <c r="AQ399" s="85"/>
      <c r="AS399" s="78"/>
    </row>
    <row r="400" spans="36:45">
      <c r="AJ400" s="26" t="str">
        <f t="shared" si="6"/>
        <v/>
      </c>
      <c r="AM400" s="85"/>
      <c r="AO400" s="85"/>
      <c r="AQ400" s="85"/>
      <c r="AS400" s="78"/>
    </row>
    <row r="401" spans="36:45">
      <c r="AJ401" s="26" t="str">
        <f t="shared" si="6"/>
        <v/>
      </c>
      <c r="AM401" s="85"/>
      <c r="AO401" s="85"/>
      <c r="AQ401" s="85"/>
      <c r="AS401" s="78"/>
    </row>
    <row r="402" spans="36:45">
      <c r="AJ402" s="26" t="str">
        <f t="shared" si="6"/>
        <v/>
      </c>
      <c r="AM402" s="85"/>
      <c r="AO402" s="85"/>
      <c r="AQ402" s="85"/>
      <c r="AS402" s="78"/>
    </row>
    <row r="403" spans="36:45">
      <c r="AJ403" s="26" t="str">
        <f t="shared" si="6"/>
        <v/>
      </c>
      <c r="AM403" s="85"/>
      <c r="AO403" s="85"/>
      <c r="AQ403" s="85"/>
      <c r="AS403" s="78"/>
    </row>
    <row r="404" spans="36:45">
      <c r="AJ404" s="26" t="str">
        <f t="shared" si="6"/>
        <v/>
      </c>
      <c r="AM404" s="85"/>
      <c r="AO404" s="85"/>
      <c r="AQ404" s="85"/>
      <c r="AS404" s="78"/>
    </row>
    <row r="405" spans="36:45">
      <c r="AJ405" s="26" t="str">
        <f t="shared" si="6"/>
        <v/>
      </c>
      <c r="AM405" s="85"/>
      <c r="AO405" s="85"/>
      <c r="AQ405" s="85"/>
      <c r="AS405" s="78"/>
    </row>
    <row r="406" spans="36:45">
      <c r="AJ406" s="26" t="str">
        <f t="shared" si="6"/>
        <v/>
      </c>
      <c r="AM406" s="85"/>
      <c r="AO406" s="85"/>
      <c r="AQ406" s="85"/>
      <c r="AS406" s="78"/>
    </row>
    <row r="407" spans="36:45">
      <c r="AJ407" s="26" t="str">
        <f t="shared" si="6"/>
        <v/>
      </c>
      <c r="AM407" s="85"/>
      <c r="AO407" s="85"/>
      <c r="AQ407" s="85"/>
      <c r="AS407" s="78"/>
    </row>
    <row r="408" spans="36:45">
      <c r="AJ408" s="26" t="str">
        <f t="shared" si="6"/>
        <v/>
      </c>
      <c r="AM408" s="85"/>
      <c r="AO408" s="85"/>
      <c r="AQ408" s="85"/>
      <c r="AS408" s="78"/>
    </row>
    <row r="409" spans="36:45">
      <c r="AJ409" s="26" t="str">
        <f t="shared" si="6"/>
        <v/>
      </c>
      <c r="AM409" s="85"/>
      <c r="AO409" s="85"/>
      <c r="AQ409" s="85"/>
      <c r="AS409" s="78"/>
    </row>
    <row r="410" spans="36:45">
      <c r="AJ410" s="26" t="str">
        <f t="shared" si="6"/>
        <v/>
      </c>
      <c r="AM410" s="85"/>
      <c r="AO410" s="85"/>
      <c r="AQ410" s="85"/>
      <c r="AS410" s="78"/>
    </row>
    <row r="411" spans="36:45">
      <c r="AJ411" s="26" t="str">
        <f t="shared" si="6"/>
        <v/>
      </c>
      <c r="AM411" s="85"/>
      <c r="AO411" s="85"/>
      <c r="AQ411" s="85"/>
      <c r="AS411" s="78"/>
    </row>
    <row r="412" spans="36:45">
      <c r="AJ412" s="26" t="str">
        <f t="shared" si="6"/>
        <v/>
      </c>
      <c r="AM412" s="85"/>
      <c r="AO412" s="85"/>
      <c r="AQ412" s="85"/>
      <c r="AS412" s="78"/>
    </row>
    <row r="413" spans="36:45">
      <c r="AJ413" s="26" t="str">
        <f t="shared" si="6"/>
        <v/>
      </c>
      <c r="AM413" s="85"/>
      <c r="AO413" s="85"/>
      <c r="AQ413" s="85"/>
      <c r="AS413" s="78"/>
    </row>
    <row r="414" spans="36:45">
      <c r="AJ414" s="26" t="str">
        <f t="shared" si="6"/>
        <v/>
      </c>
      <c r="AM414" s="85"/>
      <c r="AO414" s="85"/>
      <c r="AQ414" s="85"/>
      <c r="AS414" s="78"/>
    </row>
    <row r="415" spans="36:45">
      <c r="AJ415" s="26" t="str">
        <f t="shared" si="6"/>
        <v/>
      </c>
      <c r="AM415" s="85"/>
      <c r="AO415" s="85"/>
      <c r="AQ415" s="85"/>
      <c r="AS415" s="78"/>
    </row>
    <row r="416" spans="36:45">
      <c r="AJ416" s="26" t="str">
        <f t="shared" si="6"/>
        <v/>
      </c>
      <c r="AM416" s="85"/>
      <c r="AO416" s="85"/>
      <c r="AQ416" s="85"/>
      <c r="AS416" s="78"/>
    </row>
    <row r="417" spans="36:45">
      <c r="AJ417" s="26" t="str">
        <f t="shared" si="6"/>
        <v/>
      </c>
      <c r="AM417" s="85"/>
      <c r="AO417" s="85"/>
      <c r="AQ417" s="85"/>
      <c r="AS417" s="78"/>
    </row>
    <row r="418" spans="36:45">
      <c r="AJ418" s="26" t="str">
        <f t="shared" si="6"/>
        <v/>
      </c>
      <c r="AM418" s="85"/>
      <c r="AO418" s="85"/>
      <c r="AQ418" s="85"/>
      <c r="AS418" s="78"/>
    </row>
    <row r="419" spans="36:45">
      <c r="AJ419" s="26" t="str">
        <f t="shared" si="6"/>
        <v/>
      </c>
      <c r="AM419" s="85"/>
      <c r="AO419" s="85"/>
      <c r="AQ419" s="85"/>
      <c r="AS419" s="78"/>
    </row>
    <row r="420" spans="36:45">
      <c r="AJ420" s="26" t="str">
        <f t="shared" si="6"/>
        <v/>
      </c>
      <c r="AM420" s="85"/>
      <c r="AO420" s="85"/>
      <c r="AQ420" s="85"/>
      <c r="AS420" s="78"/>
    </row>
    <row r="421" spans="36:45">
      <c r="AJ421" s="26" t="str">
        <f t="shared" si="6"/>
        <v/>
      </c>
      <c r="AM421" s="85"/>
      <c r="AO421" s="85"/>
      <c r="AQ421" s="85"/>
      <c r="AS421" s="78"/>
    </row>
    <row r="422" spans="36:45">
      <c r="AJ422" s="26" t="str">
        <f t="shared" si="6"/>
        <v/>
      </c>
      <c r="AM422" s="85"/>
      <c r="AO422" s="85"/>
      <c r="AQ422" s="85"/>
      <c r="AS422" s="78"/>
    </row>
    <row r="423" spans="36:45">
      <c r="AJ423" s="26" t="str">
        <f t="shared" si="6"/>
        <v/>
      </c>
      <c r="AM423" s="85"/>
      <c r="AO423" s="85"/>
      <c r="AQ423" s="85"/>
      <c r="AS423" s="78"/>
    </row>
    <row r="424" spans="36:45">
      <c r="AJ424" s="26" t="str">
        <f t="shared" si="6"/>
        <v/>
      </c>
      <c r="AM424" s="85"/>
      <c r="AO424" s="85"/>
      <c r="AQ424" s="85"/>
      <c r="AS424" s="78"/>
    </row>
    <row r="425" spans="36:45">
      <c r="AJ425" s="26" t="str">
        <f t="shared" si="6"/>
        <v/>
      </c>
      <c r="AM425" s="85"/>
      <c r="AO425" s="85"/>
      <c r="AQ425" s="85"/>
      <c r="AS425" s="78"/>
    </row>
    <row r="426" spans="36:45">
      <c r="AJ426" s="26" t="str">
        <f t="shared" si="6"/>
        <v/>
      </c>
      <c r="AM426" s="85"/>
      <c r="AO426" s="85"/>
      <c r="AQ426" s="85"/>
      <c r="AS426" s="78"/>
    </row>
    <row r="427" spans="36:45">
      <c r="AJ427" s="26" t="str">
        <f t="shared" si="6"/>
        <v/>
      </c>
      <c r="AM427" s="85"/>
      <c r="AO427" s="85"/>
      <c r="AQ427" s="85"/>
      <c r="AS427" s="78"/>
    </row>
    <row r="428" spans="36:45">
      <c r="AJ428" s="26" t="str">
        <f t="shared" si="6"/>
        <v/>
      </c>
      <c r="AM428" s="85"/>
      <c r="AO428" s="85"/>
      <c r="AQ428" s="85"/>
      <c r="AS428" s="78"/>
    </row>
    <row r="429" spans="36:45">
      <c r="AJ429" s="26" t="str">
        <f t="shared" si="6"/>
        <v/>
      </c>
      <c r="AM429" s="85"/>
      <c r="AO429" s="85"/>
      <c r="AQ429" s="85"/>
      <c r="AS429" s="78"/>
    </row>
    <row r="430" spans="36:45">
      <c r="AJ430" s="26" t="str">
        <f t="shared" si="6"/>
        <v/>
      </c>
      <c r="AM430" s="85"/>
      <c r="AO430" s="85"/>
      <c r="AQ430" s="85"/>
      <c r="AS430" s="78"/>
    </row>
    <row r="431" spans="36:45">
      <c r="AJ431" s="26" t="str">
        <f t="shared" si="6"/>
        <v/>
      </c>
      <c r="AM431" s="85"/>
      <c r="AO431" s="85"/>
      <c r="AQ431" s="85"/>
      <c r="AS431" s="78"/>
    </row>
    <row r="432" spans="36:45">
      <c r="AJ432" s="26" t="str">
        <f t="shared" si="6"/>
        <v/>
      </c>
      <c r="AM432" s="85"/>
      <c r="AO432" s="85"/>
      <c r="AQ432" s="85"/>
      <c r="AS432" s="78"/>
    </row>
    <row r="433" spans="36:45">
      <c r="AJ433" s="26" t="str">
        <f t="shared" si="6"/>
        <v/>
      </c>
      <c r="AM433" s="85"/>
      <c r="AO433" s="85"/>
      <c r="AQ433" s="85"/>
      <c r="AS433" s="78"/>
    </row>
    <row r="434" spans="36:45">
      <c r="AJ434" s="26" t="str">
        <f t="shared" si="6"/>
        <v/>
      </c>
      <c r="AM434" s="85"/>
      <c r="AO434" s="85"/>
      <c r="AQ434" s="85"/>
      <c r="AS434" s="78"/>
    </row>
    <row r="435" spans="36:45">
      <c r="AJ435" s="26" t="str">
        <f t="shared" si="6"/>
        <v/>
      </c>
      <c r="AM435" s="85"/>
      <c r="AO435" s="85"/>
      <c r="AQ435" s="85"/>
      <c r="AS435" s="78"/>
    </row>
    <row r="436" spans="36:45">
      <c r="AJ436" s="26" t="str">
        <f t="shared" si="6"/>
        <v/>
      </c>
      <c r="AM436" s="85"/>
      <c r="AO436" s="85"/>
      <c r="AQ436" s="85"/>
      <c r="AS436" s="78"/>
    </row>
    <row r="437" spans="36:45">
      <c r="AJ437" s="26" t="str">
        <f t="shared" si="6"/>
        <v/>
      </c>
      <c r="AM437" s="85"/>
      <c r="AO437" s="85"/>
      <c r="AQ437" s="85"/>
      <c r="AS437" s="78"/>
    </row>
    <row r="438" spans="36:45">
      <c r="AJ438" s="26" t="str">
        <f t="shared" si="6"/>
        <v/>
      </c>
      <c r="AM438" s="85"/>
      <c r="AO438" s="85"/>
      <c r="AQ438" s="85"/>
      <c r="AS438" s="78"/>
    </row>
    <row r="439" spans="36:45">
      <c r="AJ439" s="26" t="str">
        <f t="shared" si="6"/>
        <v/>
      </c>
      <c r="AM439" s="85"/>
      <c r="AO439" s="85"/>
      <c r="AQ439" s="85"/>
      <c r="AS439" s="78"/>
    </row>
    <row r="440" spans="36:45">
      <c r="AJ440" s="26" t="str">
        <f t="shared" si="6"/>
        <v/>
      </c>
      <c r="AM440" s="85"/>
      <c r="AO440" s="85"/>
      <c r="AQ440" s="85"/>
      <c r="AS440" s="78"/>
    </row>
    <row r="441" spans="36:45">
      <c r="AJ441" s="26" t="str">
        <f t="shared" si="6"/>
        <v/>
      </c>
      <c r="AM441" s="85"/>
      <c r="AO441" s="85"/>
      <c r="AQ441" s="85"/>
      <c r="AS441" s="78"/>
    </row>
    <row r="442" spans="36:45">
      <c r="AJ442" s="26" t="str">
        <f t="shared" si="6"/>
        <v/>
      </c>
      <c r="AM442" s="85"/>
      <c r="AO442" s="85"/>
      <c r="AQ442" s="85"/>
      <c r="AS442" s="78"/>
    </row>
    <row r="443" spans="36:45">
      <c r="AJ443" s="26" t="str">
        <f t="shared" si="6"/>
        <v/>
      </c>
      <c r="AM443" s="85"/>
      <c r="AO443" s="85"/>
      <c r="AQ443" s="85"/>
      <c r="AS443" s="78"/>
    </row>
    <row r="444" spans="36:45">
      <c r="AJ444" s="26" t="str">
        <f t="shared" si="6"/>
        <v/>
      </c>
      <c r="AM444" s="85"/>
      <c r="AO444" s="85"/>
      <c r="AQ444" s="85"/>
      <c r="AS444" s="78"/>
    </row>
    <row r="445" spans="36:45">
      <c r="AJ445" s="26" t="str">
        <f t="shared" si="6"/>
        <v/>
      </c>
      <c r="AM445" s="85"/>
      <c r="AO445" s="85"/>
      <c r="AQ445" s="85"/>
      <c r="AS445" s="78"/>
    </row>
    <row r="446" spans="36:45">
      <c r="AJ446" s="26" t="str">
        <f t="shared" si="6"/>
        <v/>
      </c>
      <c r="AM446" s="85"/>
      <c r="AO446" s="85"/>
      <c r="AQ446" s="85"/>
      <c r="AS446" s="78"/>
    </row>
    <row r="447" spans="36:45">
      <c r="AJ447" s="26" t="str">
        <f t="shared" si="6"/>
        <v/>
      </c>
      <c r="AM447" s="85"/>
      <c r="AO447" s="85"/>
      <c r="AQ447" s="85"/>
      <c r="AS447" s="78"/>
    </row>
    <row r="448" spans="36:45">
      <c r="AJ448" s="26" t="str">
        <f t="shared" si="6"/>
        <v/>
      </c>
      <c r="AM448" s="85"/>
      <c r="AO448" s="85"/>
      <c r="AQ448" s="85"/>
      <c r="AS448" s="78"/>
    </row>
    <row r="449" spans="36:45">
      <c r="AJ449" s="26" t="str">
        <f t="shared" si="6"/>
        <v/>
      </c>
      <c r="AM449" s="85"/>
      <c r="AO449" s="85"/>
      <c r="AQ449" s="85"/>
      <c r="AS449" s="78"/>
    </row>
    <row r="450" spans="36:45">
      <c r="AJ450" s="26" t="str">
        <f t="shared" si="6"/>
        <v/>
      </c>
      <c r="AM450" s="85"/>
      <c r="AO450" s="85"/>
      <c r="AQ450" s="85"/>
      <c r="AS450" s="78"/>
    </row>
    <row r="451" spans="36:45">
      <c r="AJ451" s="26" t="str">
        <f t="shared" si="6"/>
        <v/>
      </c>
      <c r="AM451" s="85"/>
      <c r="AO451" s="85"/>
      <c r="AQ451" s="85"/>
      <c r="AS451" s="78"/>
    </row>
    <row r="452" spans="36:45">
      <c r="AJ452" s="26" t="str">
        <f t="shared" si="6"/>
        <v/>
      </c>
      <c r="AM452" s="85"/>
      <c r="AO452" s="85"/>
      <c r="AQ452" s="85"/>
      <c r="AS452" s="78"/>
    </row>
    <row r="453" spans="36:45">
      <c r="AJ453" s="26" t="str">
        <f t="shared" si="6"/>
        <v/>
      </c>
      <c r="AM453" s="85"/>
      <c r="AO453" s="85"/>
      <c r="AQ453" s="85"/>
      <c r="AS453" s="78"/>
    </row>
    <row r="454" spans="36:45">
      <c r="AJ454" s="26" t="str">
        <f t="shared" si="6"/>
        <v/>
      </c>
      <c r="AM454" s="85"/>
      <c r="AO454" s="85"/>
      <c r="AQ454" s="85"/>
      <c r="AS454" s="78"/>
    </row>
    <row r="455" spans="36:45">
      <c r="AJ455" s="26" t="str">
        <f t="shared" si="6"/>
        <v/>
      </c>
      <c r="AM455" s="85"/>
      <c r="AO455" s="85"/>
      <c r="AQ455" s="85"/>
      <c r="AS455" s="78"/>
    </row>
    <row r="456" spans="36:45">
      <c r="AJ456" s="26" t="str">
        <f t="shared" si="6"/>
        <v/>
      </c>
      <c r="AM456" s="85"/>
      <c r="AO456" s="85"/>
      <c r="AQ456" s="85"/>
      <c r="AS456" s="78"/>
    </row>
    <row r="457" spans="36:45">
      <c r="AJ457" s="26" t="str">
        <f t="shared" si="6"/>
        <v/>
      </c>
      <c r="AM457" s="85"/>
      <c r="AO457" s="85"/>
      <c r="AQ457" s="85"/>
      <c r="AS457" s="78"/>
    </row>
    <row r="458" spans="36:45">
      <c r="AJ458" s="26" t="str">
        <f t="shared" si="6"/>
        <v/>
      </c>
      <c r="AM458" s="85"/>
      <c r="AO458" s="85"/>
      <c r="AQ458" s="85"/>
      <c r="AS458" s="78"/>
    </row>
    <row r="459" spans="36:45">
      <c r="AJ459" s="26" t="str">
        <f t="shared" si="6"/>
        <v/>
      </c>
      <c r="AM459" s="85"/>
      <c r="AO459" s="85"/>
      <c r="AQ459" s="85"/>
      <c r="AS459" s="78"/>
    </row>
    <row r="460" spans="36:45">
      <c r="AJ460" s="26" t="str">
        <f t="shared" si="6"/>
        <v/>
      </c>
      <c r="AM460" s="85"/>
      <c r="AO460" s="85"/>
      <c r="AQ460" s="85"/>
      <c r="AS460" s="78"/>
    </row>
    <row r="461" spans="36:45">
      <c r="AJ461" s="26" t="str">
        <f t="shared" si="6"/>
        <v/>
      </c>
      <c r="AM461" s="85"/>
      <c r="AO461" s="85"/>
      <c r="AQ461" s="85"/>
      <c r="AS461" s="78"/>
    </row>
    <row r="462" spans="36:45">
      <c r="AJ462" s="26" t="str">
        <f t="shared" ref="AJ462:AJ500" si="7">IF(AI462="","",VLOOKUP(AI462,SEGUIMIENTOS,2,FALSE))</f>
        <v/>
      </c>
      <c r="AM462" s="85"/>
      <c r="AO462" s="85"/>
      <c r="AQ462" s="85"/>
      <c r="AS462" s="78"/>
    </row>
    <row r="463" spans="36:45">
      <c r="AJ463" s="26" t="str">
        <f t="shared" si="7"/>
        <v/>
      </c>
      <c r="AM463" s="85"/>
      <c r="AO463" s="85"/>
      <c r="AQ463" s="85"/>
      <c r="AS463" s="78"/>
    </row>
    <row r="464" spans="36:45">
      <c r="AJ464" s="26" t="str">
        <f t="shared" si="7"/>
        <v/>
      </c>
      <c r="AM464" s="85"/>
      <c r="AO464" s="85"/>
      <c r="AQ464" s="85"/>
      <c r="AS464" s="78"/>
    </row>
    <row r="465" spans="36:45">
      <c r="AJ465" s="26" t="str">
        <f t="shared" si="7"/>
        <v/>
      </c>
      <c r="AM465" s="85"/>
      <c r="AO465" s="85"/>
      <c r="AQ465" s="85"/>
      <c r="AS465" s="78"/>
    </row>
    <row r="466" spans="36:45">
      <c r="AJ466" s="26" t="str">
        <f t="shared" si="7"/>
        <v/>
      </c>
      <c r="AM466" s="85"/>
      <c r="AO466" s="85"/>
      <c r="AQ466" s="85"/>
      <c r="AS466" s="78"/>
    </row>
    <row r="467" spans="36:45">
      <c r="AJ467" s="26" t="str">
        <f t="shared" si="7"/>
        <v/>
      </c>
      <c r="AM467" s="85"/>
      <c r="AO467" s="85"/>
      <c r="AQ467" s="85"/>
      <c r="AS467" s="78"/>
    </row>
    <row r="468" spans="36:45">
      <c r="AJ468" s="26" t="str">
        <f t="shared" si="7"/>
        <v/>
      </c>
      <c r="AM468" s="85"/>
      <c r="AO468" s="85"/>
      <c r="AQ468" s="85"/>
      <c r="AS468" s="78"/>
    </row>
    <row r="469" spans="36:45">
      <c r="AJ469" s="26" t="str">
        <f t="shared" si="7"/>
        <v/>
      </c>
      <c r="AM469" s="85"/>
      <c r="AO469" s="85"/>
      <c r="AQ469" s="85"/>
      <c r="AS469" s="78"/>
    </row>
    <row r="470" spans="36:45">
      <c r="AJ470" s="26" t="str">
        <f t="shared" si="7"/>
        <v/>
      </c>
      <c r="AM470" s="85"/>
      <c r="AO470" s="85"/>
      <c r="AQ470" s="85"/>
      <c r="AS470" s="78"/>
    </row>
    <row r="471" spans="36:45">
      <c r="AJ471" s="26" t="str">
        <f t="shared" si="7"/>
        <v/>
      </c>
      <c r="AM471" s="85"/>
      <c r="AO471" s="85"/>
      <c r="AQ471" s="85"/>
      <c r="AS471" s="78"/>
    </row>
    <row r="472" spans="36:45">
      <c r="AJ472" s="26" t="str">
        <f t="shared" si="7"/>
        <v/>
      </c>
      <c r="AM472" s="85"/>
      <c r="AO472" s="85"/>
      <c r="AQ472" s="85"/>
      <c r="AS472" s="78"/>
    </row>
    <row r="473" spans="36:45">
      <c r="AJ473" s="26" t="str">
        <f t="shared" si="7"/>
        <v/>
      </c>
      <c r="AM473" s="85"/>
      <c r="AO473" s="85"/>
      <c r="AQ473" s="85"/>
      <c r="AS473" s="78"/>
    </row>
    <row r="474" spans="36:45">
      <c r="AJ474" s="26" t="str">
        <f t="shared" si="7"/>
        <v/>
      </c>
      <c r="AM474" s="85"/>
      <c r="AO474" s="85"/>
      <c r="AQ474" s="85"/>
      <c r="AS474" s="78"/>
    </row>
    <row r="475" spans="36:45">
      <c r="AJ475" s="26" t="str">
        <f t="shared" si="7"/>
        <v/>
      </c>
      <c r="AM475" s="85"/>
      <c r="AO475" s="85"/>
      <c r="AQ475" s="85"/>
      <c r="AS475" s="78"/>
    </row>
    <row r="476" spans="36:45">
      <c r="AJ476" s="26" t="str">
        <f t="shared" si="7"/>
        <v/>
      </c>
      <c r="AM476" s="85"/>
      <c r="AO476" s="85"/>
      <c r="AQ476" s="85"/>
      <c r="AS476" s="78"/>
    </row>
    <row r="477" spans="36:45">
      <c r="AJ477" s="26" t="str">
        <f t="shared" si="7"/>
        <v/>
      </c>
      <c r="AM477" s="85"/>
      <c r="AO477" s="85"/>
      <c r="AQ477" s="85"/>
      <c r="AS477" s="78"/>
    </row>
    <row r="478" spans="36:45">
      <c r="AJ478" s="26" t="str">
        <f t="shared" si="7"/>
        <v/>
      </c>
      <c r="AM478" s="85"/>
      <c r="AO478" s="85"/>
      <c r="AQ478" s="85"/>
      <c r="AS478" s="78"/>
    </row>
    <row r="479" spans="36:45">
      <c r="AJ479" s="26" t="str">
        <f t="shared" si="7"/>
        <v/>
      </c>
      <c r="AM479" s="85"/>
      <c r="AO479" s="85"/>
      <c r="AQ479" s="85"/>
      <c r="AS479" s="78"/>
    </row>
    <row r="480" spans="36:45">
      <c r="AJ480" s="26" t="str">
        <f t="shared" si="7"/>
        <v/>
      </c>
      <c r="AM480" s="85"/>
      <c r="AO480" s="85"/>
      <c r="AQ480" s="85"/>
      <c r="AS480" s="78"/>
    </row>
    <row r="481" spans="36:45">
      <c r="AJ481" s="26" t="str">
        <f t="shared" si="7"/>
        <v/>
      </c>
      <c r="AM481" s="85"/>
      <c r="AO481" s="85"/>
      <c r="AQ481" s="85"/>
      <c r="AS481" s="78"/>
    </row>
    <row r="482" spans="36:45">
      <c r="AJ482" s="26" t="str">
        <f t="shared" si="7"/>
        <v/>
      </c>
      <c r="AM482" s="85"/>
      <c r="AO482" s="85"/>
      <c r="AQ482" s="85"/>
      <c r="AS482" s="78"/>
    </row>
    <row r="483" spans="36:45">
      <c r="AJ483" s="26" t="str">
        <f t="shared" si="7"/>
        <v/>
      </c>
      <c r="AM483" s="85"/>
      <c r="AO483" s="85"/>
      <c r="AQ483" s="85"/>
      <c r="AS483" s="78"/>
    </row>
    <row r="484" spans="36:45">
      <c r="AJ484" s="26" t="str">
        <f t="shared" si="7"/>
        <v/>
      </c>
      <c r="AM484" s="85"/>
      <c r="AO484" s="85"/>
      <c r="AQ484" s="85"/>
      <c r="AS484" s="78"/>
    </row>
    <row r="485" spans="36:45">
      <c r="AJ485" s="26" t="str">
        <f t="shared" si="7"/>
        <v/>
      </c>
      <c r="AM485" s="85"/>
      <c r="AO485" s="85"/>
      <c r="AQ485" s="85"/>
      <c r="AS485" s="78"/>
    </row>
    <row r="486" spans="36:45">
      <c r="AJ486" s="26" t="str">
        <f t="shared" si="7"/>
        <v/>
      </c>
      <c r="AM486" s="85"/>
      <c r="AO486" s="85"/>
      <c r="AQ486" s="85"/>
      <c r="AS486" s="78"/>
    </row>
    <row r="487" spans="36:45">
      <c r="AJ487" s="26" t="str">
        <f t="shared" si="7"/>
        <v/>
      </c>
      <c r="AM487" s="85"/>
      <c r="AO487" s="85"/>
      <c r="AQ487" s="85"/>
      <c r="AS487" s="78"/>
    </row>
    <row r="488" spans="36:45">
      <c r="AJ488" s="26" t="str">
        <f t="shared" si="7"/>
        <v/>
      </c>
      <c r="AM488" s="85"/>
      <c r="AO488" s="85"/>
      <c r="AQ488" s="85"/>
      <c r="AS488" s="78"/>
    </row>
    <row r="489" spans="36:45">
      <c r="AJ489" s="26" t="str">
        <f t="shared" si="7"/>
        <v/>
      </c>
      <c r="AM489" s="85"/>
      <c r="AO489" s="85"/>
      <c r="AQ489" s="85"/>
      <c r="AS489" s="78"/>
    </row>
    <row r="490" spans="36:45">
      <c r="AJ490" s="26" t="str">
        <f t="shared" si="7"/>
        <v/>
      </c>
      <c r="AM490" s="85"/>
      <c r="AO490" s="85"/>
      <c r="AQ490" s="85"/>
      <c r="AS490" s="78"/>
    </row>
    <row r="491" spans="36:45">
      <c r="AJ491" s="26" t="str">
        <f t="shared" si="7"/>
        <v/>
      </c>
      <c r="AM491" s="85"/>
      <c r="AO491" s="85"/>
      <c r="AQ491" s="85"/>
      <c r="AS491" s="78"/>
    </row>
    <row r="492" spans="36:45">
      <c r="AJ492" s="26" t="str">
        <f t="shared" si="7"/>
        <v/>
      </c>
      <c r="AM492" s="85"/>
      <c r="AO492" s="85"/>
      <c r="AQ492" s="85"/>
      <c r="AS492" s="78"/>
    </row>
    <row r="493" spans="36:45">
      <c r="AJ493" s="26" t="str">
        <f t="shared" si="7"/>
        <v/>
      </c>
      <c r="AM493" s="85"/>
      <c r="AO493" s="85"/>
      <c r="AQ493" s="85"/>
      <c r="AS493" s="78"/>
    </row>
    <row r="494" spans="36:45">
      <c r="AJ494" s="26" t="str">
        <f t="shared" si="7"/>
        <v/>
      </c>
      <c r="AM494" s="85"/>
      <c r="AO494" s="85"/>
      <c r="AQ494" s="85"/>
      <c r="AS494" s="78"/>
    </row>
    <row r="495" spans="36:45">
      <c r="AJ495" s="26" t="str">
        <f t="shared" si="7"/>
        <v/>
      </c>
      <c r="AM495" s="85"/>
      <c r="AO495" s="85"/>
      <c r="AQ495" s="85"/>
      <c r="AS495" s="78"/>
    </row>
    <row r="496" spans="36:45">
      <c r="AJ496" s="26" t="str">
        <f t="shared" si="7"/>
        <v/>
      </c>
      <c r="AM496" s="85"/>
      <c r="AO496" s="85"/>
      <c r="AQ496" s="85"/>
      <c r="AS496" s="78"/>
    </row>
    <row r="497" spans="36:45">
      <c r="AJ497" s="26" t="str">
        <f t="shared" si="7"/>
        <v/>
      </c>
      <c r="AM497" s="85"/>
      <c r="AO497" s="85"/>
      <c r="AQ497" s="85"/>
      <c r="AS497" s="78"/>
    </row>
    <row r="498" spans="36:45">
      <c r="AJ498" s="26" t="str">
        <f t="shared" si="7"/>
        <v/>
      </c>
      <c r="AM498" s="85"/>
      <c r="AO498" s="85"/>
      <c r="AQ498" s="85"/>
      <c r="AS498" s="78"/>
    </row>
    <row r="499" spans="36:45">
      <c r="AJ499" s="26" t="str">
        <f t="shared" si="7"/>
        <v/>
      </c>
      <c r="AM499" s="85"/>
      <c r="AO499" s="85"/>
      <c r="AQ499" s="85"/>
      <c r="AS499" s="78"/>
    </row>
    <row r="500" spans="36:45">
      <c r="AJ500" s="26" t="str">
        <f t="shared" si="7"/>
        <v/>
      </c>
      <c r="AM500" s="85"/>
      <c r="AO500" s="85"/>
      <c r="AQ500" s="85"/>
      <c r="AS500" s="78"/>
    </row>
    <row r="501" spans="36:45">
      <c r="AM501" s="85"/>
      <c r="AO501" s="85"/>
      <c r="AQ501" s="85"/>
      <c r="AS501" s="78"/>
    </row>
    <row r="502" spans="36:45">
      <c r="AM502" s="85"/>
      <c r="AO502" s="85"/>
      <c r="AQ502" s="85"/>
      <c r="AS502" s="78"/>
    </row>
    <row r="503" spans="36:45">
      <c r="AM503" s="85"/>
      <c r="AO503" s="85"/>
      <c r="AQ503" s="85"/>
      <c r="AS503" s="78"/>
    </row>
    <row r="504" spans="36:45">
      <c r="AM504" s="85"/>
      <c r="AO504" s="85"/>
      <c r="AQ504" s="85"/>
      <c r="AS504" s="78"/>
    </row>
    <row r="505" spans="36:45">
      <c r="AM505" s="85"/>
      <c r="AO505" s="85"/>
      <c r="AQ505" s="85"/>
      <c r="AS505" s="78"/>
    </row>
    <row r="506" spans="36:45">
      <c r="AM506" s="85"/>
      <c r="AO506" s="85"/>
      <c r="AQ506" s="85"/>
      <c r="AS506" s="78"/>
    </row>
    <row r="507" spans="36:45">
      <c r="AM507" s="85"/>
      <c r="AO507" s="85"/>
      <c r="AQ507" s="85"/>
      <c r="AS507" s="78"/>
    </row>
    <row r="508" spans="36:45">
      <c r="AM508" s="85"/>
      <c r="AO508" s="85"/>
      <c r="AQ508" s="85"/>
      <c r="AS508" s="78"/>
    </row>
    <row r="509" spans="36:45">
      <c r="AM509" s="85"/>
      <c r="AO509" s="85"/>
      <c r="AQ509" s="85"/>
      <c r="AS509" s="78"/>
    </row>
    <row r="510" spans="36:45">
      <c r="AM510" s="85"/>
      <c r="AO510" s="85"/>
      <c r="AQ510" s="85"/>
      <c r="AS510" s="78"/>
    </row>
    <row r="511" spans="36:45">
      <c r="AM511" s="85"/>
      <c r="AO511" s="85"/>
      <c r="AQ511" s="85"/>
      <c r="AS511" s="78"/>
    </row>
    <row r="512" spans="36:45">
      <c r="AM512" s="85"/>
      <c r="AO512" s="85"/>
      <c r="AQ512" s="85"/>
      <c r="AS512" s="78"/>
    </row>
    <row r="513" spans="39:45">
      <c r="AM513" s="85"/>
      <c r="AO513" s="85"/>
      <c r="AQ513" s="85"/>
      <c r="AS513" s="78"/>
    </row>
    <row r="514" spans="39:45">
      <c r="AM514" s="85"/>
      <c r="AO514" s="85"/>
      <c r="AQ514" s="85"/>
      <c r="AS514" s="78"/>
    </row>
    <row r="515" spans="39:45">
      <c r="AM515" s="85"/>
      <c r="AO515" s="85"/>
      <c r="AQ515" s="85"/>
      <c r="AS515" s="78"/>
    </row>
    <row r="516" spans="39:45">
      <c r="AM516" s="85"/>
      <c r="AO516" s="85"/>
      <c r="AQ516" s="85"/>
      <c r="AS516" s="78"/>
    </row>
    <row r="517" spans="39:45">
      <c r="AM517" s="85"/>
      <c r="AO517" s="85"/>
      <c r="AQ517" s="85"/>
      <c r="AS517" s="78"/>
    </row>
    <row r="518" spans="39:45">
      <c r="AM518" s="85"/>
      <c r="AO518" s="85"/>
      <c r="AQ518" s="85"/>
      <c r="AS518" s="78"/>
    </row>
    <row r="519" spans="39:45">
      <c r="AM519" s="85"/>
      <c r="AO519" s="85"/>
      <c r="AQ519" s="85"/>
      <c r="AS519" s="78"/>
    </row>
    <row r="520" spans="39:45">
      <c r="AM520" s="85"/>
      <c r="AO520" s="85"/>
      <c r="AQ520" s="85"/>
      <c r="AS520" s="78"/>
    </row>
    <row r="521" spans="39:45">
      <c r="AM521" s="85"/>
      <c r="AO521" s="85"/>
      <c r="AQ521" s="85"/>
      <c r="AS521" s="78"/>
    </row>
    <row r="522" spans="39:45">
      <c r="AM522" s="85"/>
      <c r="AO522" s="85"/>
      <c r="AQ522" s="85"/>
      <c r="AS522" s="78"/>
    </row>
    <row r="523" spans="39:45">
      <c r="AM523" s="85"/>
      <c r="AO523" s="85"/>
      <c r="AQ523" s="85"/>
      <c r="AS523" s="78"/>
    </row>
    <row r="524" spans="39:45">
      <c r="AM524" s="85"/>
      <c r="AO524" s="85"/>
      <c r="AQ524" s="85"/>
      <c r="AS524" s="78"/>
    </row>
    <row r="525" spans="39:45">
      <c r="AM525" s="85"/>
      <c r="AO525" s="85"/>
      <c r="AQ525" s="85"/>
      <c r="AS525" s="78"/>
    </row>
    <row r="526" spans="39:45">
      <c r="AM526" s="85"/>
      <c r="AO526" s="85"/>
      <c r="AQ526" s="85"/>
      <c r="AS526" s="78"/>
    </row>
    <row r="527" spans="39:45">
      <c r="AM527" s="85"/>
      <c r="AO527" s="85"/>
      <c r="AQ527" s="85"/>
      <c r="AS527" s="78"/>
    </row>
    <row r="528" spans="39:45">
      <c r="AM528" s="85"/>
      <c r="AO528" s="85"/>
      <c r="AQ528" s="85"/>
      <c r="AS528" s="78"/>
    </row>
    <row r="529" spans="39:45">
      <c r="AM529" s="85"/>
      <c r="AO529" s="85"/>
      <c r="AQ529" s="85"/>
      <c r="AS529" s="78"/>
    </row>
    <row r="530" spans="39:45">
      <c r="AM530" s="85"/>
      <c r="AO530" s="85"/>
      <c r="AQ530" s="85"/>
      <c r="AS530" s="78"/>
    </row>
    <row r="531" spans="39:45">
      <c r="AM531" s="85"/>
      <c r="AO531" s="85"/>
      <c r="AQ531" s="85"/>
      <c r="AS531" s="78"/>
    </row>
    <row r="532" spans="39:45">
      <c r="AM532" s="85"/>
      <c r="AO532" s="85"/>
      <c r="AQ532" s="85"/>
      <c r="AS532" s="78"/>
    </row>
    <row r="533" spans="39:45">
      <c r="AM533" s="85"/>
      <c r="AO533" s="85"/>
      <c r="AQ533" s="85"/>
      <c r="AS533" s="78"/>
    </row>
    <row r="534" spans="39:45">
      <c r="AM534" s="85"/>
      <c r="AO534" s="85"/>
      <c r="AQ534" s="85"/>
      <c r="AS534" s="78"/>
    </row>
    <row r="535" spans="39:45">
      <c r="AM535" s="85"/>
      <c r="AO535" s="85"/>
      <c r="AQ535" s="85"/>
      <c r="AS535" s="78"/>
    </row>
    <row r="536" spans="39:45">
      <c r="AM536" s="85"/>
      <c r="AO536" s="85"/>
      <c r="AQ536" s="85"/>
      <c r="AS536" s="78"/>
    </row>
    <row r="537" spans="39:45">
      <c r="AM537" s="85"/>
      <c r="AO537" s="85"/>
      <c r="AQ537" s="85"/>
      <c r="AS537" s="78"/>
    </row>
    <row r="538" spans="39:45">
      <c r="AM538" s="85"/>
      <c r="AO538" s="85"/>
      <c r="AQ538" s="85"/>
      <c r="AS538" s="78"/>
    </row>
    <row r="539" spans="39:45">
      <c r="AM539" s="85"/>
      <c r="AO539" s="85"/>
      <c r="AQ539" s="85"/>
      <c r="AS539" s="78"/>
    </row>
    <row r="540" spans="39:45">
      <c r="AM540" s="85"/>
      <c r="AO540" s="85"/>
      <c r="AQ540" s="85"/>
      <c r="AS540" s="78"/>
    </row>
    <row r="541" spans="39:45">
      <c r="AM541" s="85"/>
      <c r="AO541" s="85"/>
      <c r="AQ541" s="85"/>
      <c r="AS541" s="78"/>
    </row>
    <row r="542" spans="39:45">
      <c r="AM542" s="85"/>
      <c r="AO542" s="85"/>
      <c r="AQ542" s="85"/>
      <c r="AS542" s="78"/>
    </row>
    <row r="543" spans="39:45">
      <c r="AM543" s="85"/>
      <c r="AO543" s="85"/>
      <c r="AQ543" s="85"/>
      <c r="AS543" s="78"/>
    </row>
    <row r="544" spans="39:45">
      <c r="AM544" s="85"/>
      <c r="AO544" s="85"/>
      <c r="AQ544" s="85"/>
      <c r="AS544" s="78"/>
    </row>
    <row r="545" spans="39:45">
      <c r="AM545" s="85"/>
      <c r="AO545" s="85"/>
      <c r="AQ545" s="85"/>
      <c r="AS545" s="78"/>
    </row>
    <row r="546" spans="39:45">
      <c r="AM546" s="85"/>
      <c r="AO546" s="85"/>
      <c r="AQ546" s="85"/>
      <c r="AS546" s="78"/>
    </row>
    <row r="547" spans="39:45">
      <c r="AM547" s="85"/>
      <c r="AO547" s="85"/>
      <c r="AQ547" s="85"/>
      <c r="AS547" s="78"/>
    </row>
    <row r="548" spans="39:45">
      <c r="AM548" s="85"/>
      <c r="AO548" s="85"/>
      <c r="AQ548" s="85"/>
      <c r="AS548" s="78"/>
    </row>
    <row r="549" spans="39:45">
      <c r="AM549" s="85"/>
      <c r="AO549" s="85"/>
      <c r="AQ549" s="85"/>
      <c r="AS549" s="78"/>
    </row>
    <row r="550" spans="39:45">
      <c r="AM550" s="85"/>
      <c r="AO550" s="85"/>
      <c r="AQ550" s="85"/>
      <c r="AS550" s="78"/>
    </row>
    <row r="551" spans="39:45">
      <c r="AM551" s="85"/>
      <c r="AO551" s="85"/>
      <c r="AQ551" s="85"/>
      <c r="AS551" s="78"/>
    </row>
    <row r="552" spans="39:45">
      <c r="AM552" s="85"/>
      <c r="AO552" s="85"/>
      <c r="AQ552" s="85"/>
      <c r="AS552" s="78"/>
    </row>
    <row r="553" spans="39:45">
      <c r="AM553" s="85"/>
      <c r="AO553" s="85"/>
      <c r="AQ553" s="85"/>
      <c r="AS553" s="78"/>
    </row>
    <row r="554" spans="39:45">
      <c r="AM554" s="85"/>
      <c r="AO554" s="85"/>
      <c r="AQ554" s="85"/>
      <c r="AS554" s="78"/>
    </row>
    <row r="555" spans="39:45">
      <c r="AM555" s="85"/>
      <c r="AO555" s="85"/>
      <c r="AQ555" s="85"/>
      <c r="AS555" s="78"/>
    </row>
    <row r="556" spans="39:45">
      <c r="AM556" s="85"/>
      <c r="AO556" s="85"/>
      <c r="AQ556" s="85"/>
      <c r="AS556" s="78"/>
    </row>
    <row r="557" spans="39:45">
      <c r="AM557" s="85"/>
      <c r="AO557" s="85"/>
      <c r="AQ557" s="85"/>
      <c r="AS557" s="78"/>
    </row>
    <row r="558" spans="39:45">
      <c r="AM558" s="85"/>
      <c r="AO558" s="85"/>
      <c r="AQ558" s="85"/>
      <c r="AS558" s="78"/>
    </row>
    <row r="559" spans="39:45">
      <c r="AM559" s="85"/>
      <c r="AO559" s="85"/>
      <c r="AQ559" s="85"/>
      <c r="AS559" s="78"/>
    </row>
    <row r="560" spans="39:45">
      <c r="AM560" s="85"/>
      <c r="AO560" s="85"/>
      <c r="AQ560" s="85"/>
      <c r="AS560" s="78"/>
    </row>
    <row r="561" spans="39:45">
      <c r="AM561" s="85"/>
      <c r="AO561" s="85"/>
      <c r="AQ561" s="85"/>
      <c r="AS561" s="78"/>
    </row>
    <row r="562" spans="39:45">
      <c r="AM562" s="85"/>
      <c r="AO562" s="85"/>
      <c r="AQ562" s="85"/>
      <c r="AS562" s="78"/>
    </row>
    <row r="563" spans="39:45">
      <c r="AM563" s="85"/>
      <c r="AO563" s="85"/>
      <c r="AQ563" s="85"/>
      <c r="AS563" s="78"/>
    </row>
    <row r="564" spans="39:45">
      <c r="AM564" s="85"/>
      <c r="AO564" s="85"/>
      <c r="AQ564" s="85"/>
      <c r="AS564" s="78"/>
    </row>
    <row r="565" spans="39:45">
      <c r="AM565" s="85"/>
      <c r="AO565" s="85"/>
      <c r="AQ565" s="85"/>
      <c r="AS565" s="78"/>
    </row>
    <row r="566" spans="39:45">
      <c r="AM566" s="85"/>
      <c r="AO566" s="85"/>
      <c r="AQ566" s="85"/>
      <c r="AS566" s="78"/>
    </row>
    <row r="567" spans="39:45">
      <c r="AM567" s="85"/>
      <c r="AO567" s="85"/>
      <c r="AQ567" s="85"/>
      <c r="AS567" s="78"/>
    </row>
    <row r="568" spans="39:45">
      <c r="AM568" s="85"/>
      <c r="AO568" s="85"/>
      <c r="AQ568" s="85"/>
      <c r="AS568" s="78"/>
    </row>
    <row r="569" spans="39:45">
      <c r="AM569" s="85"/>
      <c r="AO569" s="85"/>
      <c r="AQ569" s="85"/>
      <c r="AS569" s="78"/>
    </row>
    <row r="570" spans="39:45">
      <c r="AM570" s="85"/>
      <c r="AO570" s="85"/>
      <c r="AQ570" s="85"/>
      <c r="AS570" s="78"/>
    </row>
    <row r="571" spans="39:45">
      <c r="AM571" s="85"/>
      <c r="AO571" s="85"/>
      <c r="AQ571" s="85"/>
      <c r="AS571" s="78"/>
    </row>
    <row r="572" spans="39:45">
      <c r="AM572" s="85"/>
      <c r="AO572" s="85"/>
      <c r="AQ572" s="85"/>
      <c r="AS572" s="78"/>
    </row>
    <row r="573" spans="39:45">
      <c r="AM573" s="85"/>
      <c r="AO573" s="85"/>
      <c r="AQ573" s="85"/>
      <c r="AS573" s="78"/>
    </row>
    <row r="574" spans="39:45">
      <c r="AM574" s="85"/>
      <c r="AO574" s="85"/>
      <c r="AQ574" s="85"/>
      <c r="AS574" s="78"/>
    </row>
    <row r="575" spans="39:45">
      <c r="AM575" s="85"/>
      <c r="AO575" s="85"/>
      <c r="AQ575" s="85"/>
      <c r="AS575" s="78"/>
    </row>
    <row r="576" spans="39:45">
      <c r="AM576" s="85"/>
      <c r="AO576" s="85"/>
      <c r="AQ576" s="85"/>
      <c r="AS576" s="78"/>
    </row>
    <row r="577" spans="39:45">
      <c r="AM577" s="85"/>
      <c r="AO577" s="85"/>
      <c r="AQ577" s="85"/>
      <c r="AS577" s="78"/>
    </row>
    <row r="578" spans="39:45">
      <c r="AM578" s="85"/>
      <c r="AO578" s="85"/>
      <c r="AQ578" s="85"/>
      <c r="AS578" s="78"/>
    </row>
    <row r="579" spans="39:45">
      <c r="AM579" s="85"/>
      <c r="AO579" s="85"/>
      <c r="AQ579" s="85"/>
      <c r="AS579" s="78"/>
    </row>
    <row r="580" spans="39:45">
      <c r="AM580" s="85"/>
      <c r="AO580" s="85"/>
      <c r="AQ580" s="85"/>
      <c r="AS580" s="78"/>
    </row>
    <row r="581" spans="39:45">
      <c r="AM581" s="85"/>
      <c r="AO581" s="85"/>
      <c r="AQ581" s="85"/>
      <c r="AS581" s="78"/>
    </row>
    <row r="582" spans="39:45">
      <c r="AM582" s="85"/>
      <c r="AO582" s="85"/>
      <c r="AQ582" s="85"/>
      <c r="AS582" s="78"/>
    </row>
    <row r="583" spans="39:45">
      <c r="AM583" s="85"/>
      <c r="AO583" s="85"/>
      <c r="AQ583" s="85"/>
      <c r="AS583" s="78"/>
    </row>
    <row r="584" spans="39:45">
      <c r="AM584" s="85"/>
      <c r="AO584" s="85"/>
      <c r="AQ584" s="85"/>
      <c r="AS584" s="78"/>
    </row>
    <row r="585" spans="39:45">
      <c r="AM585" s="85"/>
      <c r="AO585" s="85"/>
      <c r="AQ585" s="85"/>
      <c r="AS585" s="78"/>
    </row>
    <row r="586" spans="39:45">
      <c r="AM586" s="85"/>
      <c r="AO586" s="85"/>
      <c r="AQ586" s="85"/>
      <c r="AS586" s="78"/>
    </row>
    <row r="587" spans="39:45">
      <c r="AM587" s="85"/>
      <c r="AO587" s="85"/>
      <c r="AQ587" s="85"/>
      <c r="AS587" s="78"/>
    </row>
    <row r="588" spans="39:45">
      <c r="AM588" s="85"/>
      <c r="AO588" s="85"/>
      <c r="AQ588" s="85"/>
      <c r="AS588" s="78"/>
    </row>
    <row r="589" spans="39:45">
      <c r="AM589" s="85"/>
      <c r="AO589" s="85"/>
      <c r="AQ589" s="85"/>
      <c r="AS589" s="78"/>
    </row>
    <row r="590" spans="39:45">
      <c r="AM590" s="85"/>
      <c r="AO590" s="85"/>
      <c r="AQ590" s="85"/>
      <c r="AS590" s="78"/>
    </row>
    <row r="591" spans="39:45">
      <c r="AM591" s="85"/>
      <c r="AO591" s="85"/>
      <c r="AQ591" s="85"/>
      <c r="AS591" s="78"/>
    </row>
    <row r="592" spans="39:45">
      <c r="AM592" s="85"/>
      <c r="AO592" s="85"/>
      <c r="AQ592" s="85"/>
      <c r="AS592" s="78"/>
    </row>
    <row r="593" spans="39:45">
      <c r="AM593" s="85"/>
      <c r="AO593" s="85"/>
      <c r="AQ593" s="85"/>
      <c r="AS593" s="78"/>
    </row>
    <row r="594" spans="39:45">
      <c r="AM594" s="85"/>
      <c r="AO594" s="85"/>
      <c r="AQ594" s="85"/>
      <c r="AS594" s="78"/>
    </row>
    <row r="595" spans="39:45">
      <c r="AM595" s="85"/>
      <c r="AO595" s="85"/>
      <c r="AQ595" s="85"/>
      <c r="AS595" s="78"/>
    </row>
    <row r="596" spans="39:45">
      <c r="AM596" s="85"/>
      <c r="AO596" s="85"/>
      <c r="AQ596" s="85"/>
      <c r="AS596" s="78"/>
    </row>
    <row r="597" spans="39:45">
      <c r="AM597" s="85"/>
      <c r="AO597" s="85"/>
      <c r="AQ597" s="85"/>
      <c r="AS597" s="78"/>
    </row>
    <row r="598" spans="39:45">
      <c r="AM598" s="85"/>
      <c r="AO598" s="85"/>
      <c r="AQ598" s="85"/>
      <c r="AS598" s="78"/>
    </row>
    <row r="599" spans="39:45">
      <c r="AM599" s="85"/>
      <c r="AO599" s="85"/>
      <c r="AQ599" s="85"/>
      <c r="AS599" s="78"/>
    </row>
    <row r="600" spans="39:45">
      <c r="AM600" s="85"/>
      <c r="AO600" s="85"/>
      <c r="AQ600" s="85"/>
      <c r="AS600" s="78"/>
    </row>
    <row r="601" spans="39:45">
      <c r="AM601" s="85"/>
      <c r="AO601" s="85"/>
      <c r="AQ601" s="85"/>
      <c r="AS601" s="78"/>
    </row>
    <row r="602" spans="39:45">
      <c r="AM602" s="85"/>
      <c r="AO602" s="85"/>
      <c r="AQ602" s="85"/>
      <c r="AS602" s="78"/>
    </row>
    <row r="603" spans="39:45">
      <c r="AM603" s="85"/>
      <c r="AO603" s="85"/>
      <c r="AQ603" s="85"/>
      <c r="AS603" s="78"/>
    </row>
    <row r="604" spans="39:45">
      <c r="AM604" s="85"/>
      <c r="AO604" s="85"/>
      <c r="AQ604" s="85"/>
      <c r="AS604" s="78"/>
    </row>
    <row r="605" spans="39:45">
      <c r="AM605" s="85"/>
      <c r="AO605" s="85"/>
      <c r="AQ605" s="85"/>
      <c r="AS605" s="78"/>
    </row>
    <row r="606" spans="39:45">
      <c r="AM606" s="85"/>
      <c r="AO606" s="85"/>
      <c r="AQ606" s="85"/>
      <c r="AS606" s="78"/>
    </row>
    <row r="607" spans="39:45">
      <c r="AM607" s="85"/>
      <c r="AO607" s="85"/>
      <c r="AQ607" s="85"/>
      <c r="AS607" s="78"/>
    </row>
    <row r="608" spans="39:45">
      <c r="AM608" s="85"/>
      <c r="AO608" s="85"/>
      <c r="AQ608" s="85"/>
      <c r="AS608" s="78"/>
    </row>
    <row r="609" spans="39:45">
      <c r="AM609" s="85"/>
      <c r="AO609" s="85"/>
      <c r="AQ609" s="85"/>
      <c r="AS609" s="78"/>
    </row>
    <row r="610" spans="39:45">
      <c r="AM610" s="85"/>
      <c r="AO610" s="85"/>
      <c r="AQ610" s="85"/>
      <c r="AS610" s="78"/>
    </row>
    <row r="611" spans="39:45">
      <c r="AM611" s="85"/>
      <c r="AO611" s="85"/>
      <c r="AQ611" s="85"/>
      <c r="AS611" s="78"/>
    </row>
    <row r="612" spans="39:45">
      <c r="AM612" s="85"/>
      <c r="AO612" s="85"/>
      <c r="AQ612" s="85"/>
      <c r="AS612" s="78"/>
    </row>
    <row r="613" spans="39:45">
      <c r="AM613" s="85"/>
      <c r="AO613" s="85"/>
      <c r="AQ613" s="85"/>
      <c r="AS613" s="78"/>
    </row>
    <row r="614" spans="39:45">
      <c r="AM614" s="85"/>
      <c r="AO614" s="85"/>
      <c r="AQ614" s="85"/>
      <c r="AS614" s="78"/>
    </row>
    <row r="615" spans="39:45">
      <c r="AM615" s="85"/>
      <c r="AO615" s="85"/>
      <c r="AQ615" s="85"/>
      <c r="AS615" s="78"/>
    </row>
    <row r="616" spans="39:45">
      <c r="AM616" s="85"/>
      <c r="AO616" s="85"/>
      <c r="AQ616" s="85"/>
      <c r="AS616" s="78"/>
    </row>
    <row r="617" spans="39:45">
      <c r="AM617" s="85"/>
      <c r="AO617" s="85"/>
      <c r="AQ617" s="85"/>
      <c r="AS617" s="78"/>
    </row>
    <row r="618" spans="39:45">
      <c r="AM618" s="85"/>
      <c r="AO618" s="85"/>
      <c r="AQ618" s="85"/>
      <c r="AS618" s="78"/>
    </row>
    <row r="619" spans="39:45">
      <c r="AM619" s="85"/>
      <c r="AO619" s="85"/>
      <c r="AQ619" s="85"/>
      <c r="AS619" s="78"/>
    </row>
    <row r="620" spans="39:45">
      <c r="AM620" s="85"/>
      <c r="AO620" s="85"/>
      <c r="AQ620" s="85"/>
      <c r="AS620" s="78"/>
    </row>
    <row r="621" spans="39:45">
      <c r="AM621" s="85"/>
      <c r="AO621" s="85"/>
      <c r="AQ621" s="85"/>
      <c r="AS621" s="78"/>
    </row>
    <row r="622" spans="39:45">
      <c r="AM622" s="85"/>
      <c r="AO622" s="85"/>
      <c r="AQ622" s="85"/>
      <c r="AS622" s="78"/>
    </row>
    <row r="623" spans="39:45">
      <c r="AM623" s="85"/>
      <c r="AO623" s="85"/>
      <c r="AQ623" s="85"/>
      <c r="AS623" s="78"/>
    </row>
    <row r="624" spans="39:45">
      <c r="AM624" s="85"/>
      <c r="AO624" s="85"/>
      <c r="AQ624" s="85"/>
      <c r="AS624" s="78"/>
    </row>
    <row r="625" spans="39:45">
      <c r="AM625" s="85"/>
      <c r="AO625" s="85"/>
      <c r="AQ625" s="85"/>
      <c r="AS625" s="78"/>
    </row>
    <row r="626" spans="39:45">
      <c r="AM626" s="85"/>
      <c r="AO626" s="85"/>
      <c r="AQ626" s="85"/>
      <c r="AS626" s="78"/>
    </row>
    <row r="627" spans="39:45">
      <c r="AM627" s="85"/>
      <c r="AO627" s="85"/>
      <c r="AQ627" s="85"/>
      <c r="AS627" s="78"/>
    </row>
    <row r="628" spans="39:45">
      <c r="AM628" s="85"/>
      <c r="AO628" s="85"/>
      <c r="AQ628" s="85"/>
      <c r="AS628" s="78"/>
    </row>
    <row r="629" spans="39:45">
      <c r="AM629" s="85"/>
      <c r="AO629" s="85"/>
      <c r="AQ629" s="85"/>
      <c r="AS629" s="78"/>
    </row>
    <row r="630" spans="39:45">
      <c r="AM630" s="85"/>
      <c r="AO630" s="85"/>
      <c r="AQ630" s="85"/>
      <c r="AS630" s="78"/>
    </row>
    <row r="631" spans="39:45">
      <c r="AM631" s="85"/>
      <c r="AO631" s="85"/>
      <c r="AQ631" s="85"/>
      <c r="AS631" s="78"/>
    </row>
    <row r="632" spans="39:45">
      <c r="AM632" s="85"/>
      <c r="AO632" s="85"/>
      <c r="AQ632" s="85"/>
      <c r="AS632" s="78"/>
    </row>
    <row r="633" spans="39:45">
      <c r="AM633" s="85"/>
      <c r="AO633" s="85"/>
      <c r="AQ633" s="85"/>
      <c r="AS633" s="78"/>
    </row>
    <row r="634" spans="39:45">
      <c r="AM634" s="85"/>
      <c r="AO634" s="85"/>
      <c r="AQ634" s="85"/>
      <c r="AS634" s="78"/>
    </row>
    <row r="635" spans="39:45">
      <c r="AM635" s="85"/>
      <c r="AO635" s="85"/>
      <c r="AQ635" s="85"/>
      <c r="AS635" s="78"/>
    </row>
    <row r="636" spans="39:45">
      <c r="AM636" s="85"/>
      <c r="AO636" s="85"/>
      <c r="AQ636" s="85"/>
      <c r="AS636" s="78"/>
    </row>
    <row r="637" spans="39:45">
      <c r="AM637" s="85"/>
      <c r="AO637" s="85"/>
      <c r="AQ637" s="85"/>
      <c r="AS637" s="78"/>
    </row>
    <row r="638" spans="39:45">
      <c r="AM638" s="85"/>
      <c r="AO638" s="85"/>
      <c r="AQ638" s="85"/>
      <c r="AS638" s="78"/>
    </row>
    <row r="639" spans="39:45">
      <c r="AM639" s="85"/>
      <c r="AO639" s="85"/>
      <c r="AQ639" s="85"/>
      <c r="AS639" s="78"/>
    </row>
    <row r="640" spans="39:45">
      <c r="AM640" s="85"/>
      <c r="AO640" s="85"/>
      <c r="AQ640" s="85"/>
      <c r="AS640" s="78"/>
    </row>
    <row r="641" spans="39:45">
      <c r="AM641" s="85"/>
      <c r="AO641" s="85"/>
      <c r="AQ641" s="85"/>
      <c r="AS641" s="78"/>
    </row>
    <row r="642" spans="39:45">
      <c r="AM642" s="85"/>
      <c r="AO642" s="85"/>
      <c r="AQ642" s="85"/>
      <c r="AS642" s="78"/>
    </row>
    <row r="643" spans="39:45">
      <c r="AM643" s="85"/>
      <c r="AO643" s="85"/>
      <c r="AQ643" s="85"/>
      <c r="AS643" s="78"/>
    </row>
    <row r="644" spans="39:45">
      <c r="AM644" s="85"/>
      <c r="AO644" s="85"/>
      <c r="AQ644" s="85"/>
      <c r="AS644" s="78"/>
    </row>
    <row r="645" spans="39:45">
      <c r="AM645" s="85"/>
      <c r="AO645" s="85"/>
      <c r="AQ645" s="85"/>
      <c r="AS645" s="78"/>
    </row>
    <row r="646" spans="39:45">
      <c r="AM646" s="85"/>
      <c r="AO646" s="85"/>
      <c r="AQ646" s="85"/>
      <c r="AS646" s="78"/>
    </row>
    <row r="647" spans="39:45">
      <c r="AM647" s="85"/>
      <c r="AO647" s="85"/>
      <c r="AQ647" s="85"/>
      <c r="AS647" s="78"/>
    </row>
    <row r="648" spans="39:45">
      <c r="AM648" s="85"/>
      <c r="AO648" s="85"/>
      <c r="AQ648" s="85"/>
      <c r="AS648" s="78"/>
    </row>
    <row r="649" spans="39:45">
      <c r="AM649" s="85"/>
      <c r="AO649" s="85"/>
      <c r="AQ649" s="85"/>
      <c r="AS649" s="78"/>
    </row>
    <row r="650" spans="39:45">
      <c r="AM650" s="85"/>
      <c r="AO650" s="85"/>
      <c r="AQ650" s="85"/>
      <c r="AS650" s="78"/>
    </row>
    <row r="651" spans="39:45">
      <c r="AM651" s="85"/>
      <c r="AO651" s="85"/>
      <c r="AQ651" s="85"/>
      <c r="AS651" s="78"/>
    </row>
    <row r="652" spans="39:45">
      <c r="AM652" s="85"/>
      <c r="AO652" s="85"/>
      <c r="AQ652" s="85"/>
      <c r="AS652" s="78"/>
    </row>
    <row r="653" spans="39:45">
      <c r="AM653" s="85"/>
      <c r="AO653" s="85"/>
      <c r="AQ653" s="85"/>
      <c r="AS653" s="78"/>
    </row>
    <row r="654" spans="39:45">
      <c r="AM654" s="85"/>
      <c r="AO654" s="85"/>
      <c r="AQ654" s="85"/>
      <c r="AS654" s="78"/>
    </row>
    <row r="655" spans="39:45">
      <c r="AM655" s="85"/>
      <c r="AO655" s="85"/>
      <c r="AQ655" s="85"/>
      <c r="AS655" s="78"/>
    </row>
    <row r="656" spans="39:45">
      <c r="AM656" s="85"/>
      <c r="AO656" s="85"/>
      <c r="AQ656" s="85"/>
      <c r="AS656" s="78"/>
    </row>
    <row r="657" spans="39:45">
      <c r="AM657" s="85"/>
      <c r="AO657" s="85"/>
      <c r="AQ657" s="85"/>
      <c r="AS657" s="78"/>
    </row>
    <row r="658" spans="39:45">
      <c r="AM658" s="85"/>
      <c r="AO658" s="85"/>
      <c r="AQ658" s="85"/>
      <c r="AS658" s="78"/>
    </row>
    <row r="659" spans="39:45">
      <c r="AM659" s="85"/>
      <c r="AO659" s="85"/>
      <c r="AQ659" s="85"/>
      <c r="AS659" s="78"/>
    </row>
    <row r="660" spans="39:45">
      <c r="AM660" s="85"/>
      <c r="AO660" s="85"/>
      <c r="AQ660" s="85"/>
      <c r="AS660" s="78"/>
    </row>
    <row r="661" spans="39:45">
      <c r="AM661" s="85"/>
      <c r="AO661" s="85"/>
      <c r="AQ661" s="85"/>
      <c r="AS661" s="78"/>
    </row>
    <row r="662" spans="39:45">
      <c r="AM662" s="85"/>
      <c r="AO662" s="85"/>
      <c r="AQ662" s="85"/>
      <c r="AS662" s="78"/>
    </row>
    <row r="663" spans="39:45">
      <c r="AM663" s="85"/>
      <c r="AO663" s="85"/>
      <c r="AQ663" s="85"/>
      <c r="AS663" s="78"/>
    </row>
    <row r="664" spans="39:45">
      <c r="AM664" s="85"/>
      <c r="AO664" s="85"/>
      <c r="AQ664" s="85"/>
      <c r="AS664" s="78"/>
    </row>
    <row r="665" spans="39:45">
      <c r="AM665" s="85"/>
      <c r="AO665" s="85"/>
      <c r="AQ665" s="85"/>
      <c r="AS665" s="78"/>
    </row>
    <row r="666" spans="39:45">
      <c r="AM666" s="85"/>
      <c r="AO666" s="85"/>
      <c r="AQ666" s="85"/>
      <c r="AS666" s="78"/>
    </row>
    <row r="667" spans="39:45">
      <c r="AM667" s="85"/>
      <c r="AO667" s="85"/>
      <c r="AQ667" s="85"/>
      <c r="AS667" s="78"/>
    </row>
    <row r="668" spans="39:45">
      <c r="AM668" s="85"/>
      <c r="AO668" s="85"/>
      <c r="AQ668" s="85"/>
      <c r="AS668" s="78"/>
    </row>
    <row r="669" spans="39:45">
      <c r="AM669" s="85"/>
      <c r="AO669" s="85"/>
      <c r="AQ669" s="85"/>
      <c r="AS669" s="78"/>
    </row>
    <row r="670" spans="39:45">
      <c r="AM670" s="85"/>
      <c r="AO670" s="85"/>
      <c r="AQ670" s="85"/>
      <c r="AS670" s="78"/>
    </row>
    <row r="671" spans="39:45">
      <c r="AM671" s="85"/>
      <c r="AO671" s="85"/>
      <c r="AQ671" s="85"/>
      <c r="AS671" s="78"/>
    </row>
    <row r="672" spans="39:45">
      <c r="AM672" s="85"/>
      <c r="AO672" s="85"/>
      <c r="AQ672" s="85"/>
      <c r="AS672" s="78"/>
    </row>
    <row r="673" spans="39:45">
      <c r="AM673" s="85"/>
      <c r="AO673" s="85"/>
      <c r="AQ673" s="85"/>
      <c r="AS673" s="78"/>
    </row>
    <row r="674" spans="39:45">
      <c r="AM674" s="85"/>
      <c r="AO674" s="85"/>
      <c r="AQ674" s="85"/>
      <c r="AS674" s="78"/>
    </row>
    <row r="675" spans="39:45">
      <c r="AM675" s="85"/>
      <c r="AO675" s="85"/>
      <c r="AQ675" s="85"/>
      <c r="AS675" s="78"/>
    </row>
    <row r="676" spans="39:45">
      <c r="AM676" s="85"/>
      <c r="AO676" s="85"/>
      <c r="AQ676" s="85"/>
      <c r="AS676" s="78"/>
    </row>
    <row r="677" spans="39:45">
      <c r="AM677" s="85"/>
      <c r="AO677" s="85"/>
      <c r="AQ677" s="85"/>
      <c r="AS677" s="78"/>
    </row>
    <row r="678" spans="39:45">
      <c r="AM678" s="85"/>
      <c r="AO678" s="85"/>
      <c r="AQ678" s="85"/>
      <c r="AS678" s="78"/>
    </row>
    <row r="679" spans="39:45">
      <c r="AM679" s="85"/>
      <c r="AO679" s="85"/>
      <c r="AQ679" s="85"/>
      <c r="AS679" s="78"/>
    </row>
    <row r="680" spans="39:45">
      <c r="AM680" s="85"/>
      <c r="AO680" s="85"/>
      <c r="AQ680" s="85"/>
      <c r="AS680" s="78"/>
    </row>
    <row r="681" spans="39:45">
      <c r="AM681" s="85"/>
      <c r="AO681" s="85"/>
      <c r="AQ681" s="85"/>
      <c r="AS681" s="78"/>
    </row>
    <row r="682" spans="39:45">
      <c r="AM682" s="85"/>
      <c r="AO682" s="85"/>
      <c r="AQ682" s="85"/>
      <c r="AS682" s="78"/>
    </row>
    <row r="683" spans="39:45">
      <c r="AM683" s="85"/>
      <c r="AO683" s="85"/>
      <c r="AQ683" s="85"/>
      <c r="AS683" s="78"/>
    </row>
    <row r="684" spans="39:45">
      <c r="AM684" s="85"/>
      <c r="AO684" s="85"/>
      <c r="AQ684" s="85"/>
      <c r="AS684" s="78"/>
    </row>
    <row r="685" spans="39:45">
      <c r="AM685" s="85"/>
      <c r="AO685" s="85"/>
      <c r="AQ685" s="85"/>
      <c r="AS685" s="78"/>
    </row>
    <row r="686" spans="39:45">
      <c r="AM686" s="85"/>
      <c r="AO686" s="85"/>
      <c r="AQ686" s="85"/>
      <c r="AS686" s="78"/>
    </row>
    <row r="687" spans="39:45">
      <c r="AM687" s="85"/>
      <c r="AO687" s="85"/>
      <c r="AQ687" s="85"/>
      <c r="AS687" s="78"/>
    </row>
    <row r="688" spans="39:45">
      <c r="AM688" s="85"/>
      <c r="AO688" s="85"/>
      <c r="AQ688" s="85"/>
      <c r="AS688" s="78"/>
    </row>
    <row r="689" spans="39:45">
      <c r="AM689" s="85"/>
      <c r="AO689" s="85"/>
      <c r="AQ689" s="85"/>
      <c r="AS689" s="78"/>
    </row>
    <row r="690" spans="39:45">
      <c r="AM690" s="85"/>
      <c r="AO690" s="85"/>
      <c r="AQ690" s="85"/>
      <c r="AS690" s="78"/>
    </row>
    <row r="691" spans="39:45">
      <c r="AM691" s="85"/>
      <c r="AO691" s="85"/>
      <c r="AQ691" s="85"/>
      <c r="AS691" s="78"/>
    </row>
    <row r="692" spans="39:45">
      <c r="AM692" s="85"/>
      <c r="AO692" s="85"/>
      <c r="AQ692" s="85"/>
      <c r="AS692" s="78"/>
    </row>
    <row r="693" spans="39:45">
      <c r="AM693" s="85"/>
      <c r="AO693" s="85"/>
      <c r="AQ693" s="85"/>
      <c r="AS693" s="78"/>
    </row>
    <row r="694" spans="39:45">
      <c r="AM694" s="85"/>
      <c r="AO694" s="85"/>
      <c r="AQ694" s="85"/>
      <c r="AS694" s="78"/>
    </row>
    <row r="695" spans="39:45">
      <c r="AM695" s="85"/>
      <c r="AO695" s="85"/>
      <c r="AQ695" s="85"/>
      <c r="AS695" s="78"/>
    </row>
    <row r="696" spans="39:45">
      <c r="AM696" s="85"/>
      <c r="AO696" s="85"/>
      <c r="AQ696" s="85"/>
      <c r="AS696" s="78"/>
    </row>
    <row r="697" spans="39:45">
      <c r="AM697" s="85"/>
      <c r="AO697" s="85"/>
      <c r="AQ697" s="85"/>
      <c r="AS697" s="78"/>
    </row>
    <row r="698" spans="39:45">
      <c r="AM698" s="85"/>
      <c r="AO698" s="85"/>
      <c r="AQ698" s="85"/>
      <c r="AS698" s="78"/>
    </row>
    <row r="699" spans="39:45">
      <c r="AM699" s="85"/>
      <c r="AO699" s="85"/>
      <c r="AQ699" s="85"/>
      <c r="AS699" s="78"/>
    </row>
    <row r="700" spans="39:45">
      <c r="AM700" s="85"/>
      <c r="AO700" s="85"/>
      <c r="AQ700" s="85"/>
      <c r="AS700" s="78"/>
    </row>
    <row r="701" spans="39:45">
      <c r="AM701" s="85"/>
      <c r="AO701" s="85"/>
      <c r="AQ701" s="85"/>
      <c r="AS701" s="78"/>
    </row>
    <row r="702" spans="39:45">
      <c r="AM702" s="85"/>
      <c r="AO702" s="85"/>
      <c r="AQ702" s="85"/>
      <c r="AS702" s="78"/>
    </row>
    <row r="703" spans="39:45">
      <c r="AM703" s="85"/>
      <c r="AO703" s="85"/>
      <c r="AQ703" s="85"/>
      <c r="AS703" s="78"/>
    </row>
    <row r="704" spans="39:45">
      <c r="AM704" s="85"/>
      <c r="AO704" s="85"/>
      <c r="AQ704" s="85"/>
      <c r="AS704" s="78"/>
    </row>
    <row r="705" spans="39:45">
      <c r="AM705" s="85"/>
      <c r="AO705" s="85"/>
      <c r="AQ705" s="85"/>
      <c r="AS705" s="78"/>
    </row>
    <row r="706" spans="39:45">
      <c r="AM706" s="85"/>
      <c r="AO706" s="85"/>
      <c r="AQ706" s="85"/>
      <c r="AS706" s="78"/>
    </row>
    <row r="707" spans="39:45">
      <c r="AM707" s="85"/>
      <c r="AO707" s="85"/>
      <c r="AQ707" s="85"/>
      <c r="AS707" s="78"/>
    </row>
    <row r="708" spans="39:45">
      <c r="AM708" s="85"/>
      <c r="AO708" s="85"/>
      <c r="AQ708" s="85"/>
      <c r="AS708" s="78"/>
    </row>
    <row r="709" spans="39:45">
      <c r="AM709" s="85"/>
      <c r="AO709" s="85"/>
      <c r="AQ709" s="85"/>
      <c r="AS709" s="78"/>
    </row>
    <row r="710" spans="39:45">
      <c r="AM710" s="85"/>
      <c r="AO710" s="85"/>
      <c r="AQ710" s="85"/>
      <c r="AS710" s="78"/>
    </row>
    <row r="711" spans="39:45">
      <c r="AM711" s="85"/>
      <c r="AO711" s="85"/>
      <c r="AQ711" s="85"/>
      <c r="AS711" s="78"/>
    </row>
    <row r="712" spans="39:45">
      <c r="AM712" s="85"/>
      <c r="AO712" s="85"/>
      <c r="AQ712" s="85"/>
      <c r="AS712" s="78"/>
    </row>
    <row r="713" spans="39:45">
      <c r="AM713" s="85"/>
      <c r="AO713" s="85"/>
      <c r="AQ713" s="85"/>
      <c r="AS713" s="78"/>
    </row>
    <row r="714" spans="39:45">
      <c r="AM714" s="85"/>
      <c r="AO714" s="85"/>
      <c r="AQ714" s="85"/>
      <c r="AS714" s="78"/>
    </row>
    <row r="715" spans="39:45">
      <c r="AM715" s="85"/>
      <c r="AO715" s="85"/>
      <c r="AQ715" s="85"/>
      <c r="AS715" s="78"/>
    </row>
    <row r="716" spans="39:45">
      <c r="AM716" s="85"/>
      <c r="AO716" s="85"/>
      <c r="AQ716" s="85"/>
      <c r="AS716" s="78"/>
    </row>
    <row r="717" spans="39:45">
      <c r="AM717" s="85"/>
      <c r="AO717" s="85"/>
      <c r="AQ717" s="85"/>
      <c r="AS717" s="78"/>
    </row>
    <row r="718" spans="39:45">
      <c r="AM718" s="85"/>
      <c r="AO718" s="85"/>
      <c r="AQ718" s="85"/>
      <c r="AS718" s="78"/>
    </row>
    <row r="719" spans="39:45">
      <c r="AM719" s="85"/>
      <c r="AO719" s="85"/>
      <c r="AQ719" s="85"/>
      <c r="AS719" s="78"/>
    </row>
    <row r="720" spans="39:45">
      <c r="AM720" s="85"/>
      <c r="AO720" s="85"/>
      <c r="AQ720" s="85"/>
      <c r="AS720" s="78"/>
    </row>
    <row r="721" spans="39:45">
      <c r="AM721" s="85"/>
      <c r="AO721" s="85"/>
      <c r="AQ721" s="85"/>
      <c r="AS721" s="78"/>
    </row>
    <row r="722" spans="39:45">
      <c r="AM722" s="85"/>
      <c r="AO722" s="85"/>
      <c r="AQ722" s="85"/>
      <c r="AS722" s="78"/>
    </row>
    <row r="723" spans="39:45">
      <c r="AM723" s="85"/>
      <c r="AO723" s="85"/>
      <c r="AQ723" s="85"/>
      <c r="AS723" s="78"/>
    </row>
    <row r="724" spans="39:45">
      <c r="AM724" s="85"/>
      <c r="AO724" s="85"/>
      <c r="AQ724" s="85"/>
      <c r="AS724" s="78"/>
    </row>
    <row r="725" spans="39:45">
      <c r="AM725" s="85"/>
      <c r="AO725" s="85"/>
      <c r="AQ725" s="85"/>
      <c r="AS725" s="78"/>
    </row>
    <row r="726" spans="39:45">
      <c r="AM726" s="85"/>
      <c r="AO726" s="85"/>
      <c r="AQ726" s="85"/>
      <c r="AS726" s="78"/>
    </row>
    <row r="727" spans="39:45">
      <c r="AM727" s="85"/>
      <c r="AO727" s="85"/>
      <c r="AQ727" s="85"/>
      <c r="AS727" s="78"/>
    </row>
    <row r="728" spans="39:45">
      <c r="AM728" s="85"/>
      <c r="AO728" s="85"/>
      <c r="AQ728" s="85"/>
      <c r="AS728" s="78"/>
    </row>
    <row r="729" spans="39:45">
      <c r="AM729" s="85"/>
      <c r="AO729" s="85"/>
      <c r="AQ729" s="85"/>
      <c r="AS729" s="78"/>
    </row>
    <row r="730" spans="39:45">
      <c r="AM730" s="85"/>
      <c r="AO730" s="85"/>
      <c r="AQ730" s="85"/>
      <c r="AS730" s="78"/>
    </row>
    <row r="731" spans="39:45">
      <c r="AM731" s="85"/>
      <c r="AO731" s="85"/>
      <c r="AQ731" s="85"/>
      <c r="AS731" s="78"/>
    </row>
    <row r="732" spans="39:45">
      <c r="AM732" s="85"/>
      <c r="AO732" s="85"/>
      <c r="AQ732" s="85"/>
      <c r="AS732" s="78"/>
    </row>
    <row r="733" spans="39:45">
      <c r="AM733" s="85"/>
      <c r="AO733" s="85"/>
      <c r="AQ733" s="85"/>
      <c r="AS733" s="78"/>
    </row>
    <row r="734" spans="39:45">
      <c r="AM734" s="85"/>
      <c r="AO734" s="85"/>
      <c r="AQ734" s="85"/>
      <c r="AS734" s="78"/>
    </row>
    <row r="735" spans="39:45">
      <c r="AM735" s="85"/>
      <c r="AO735" s="85"/>
      <c r="AQ735" s="85"/>
      <c r="AS735" s="78"/>
    </row>
    <row r="736" spans="39:45">
      <c r="AM736" s="85"/>
      <c r="AO736" s="85"/>
      <c r="AQ736" s="85"/>
      <c r="AS736" s="78"/>
    </row>
    <row r="737" spans="39:45">
      <c r="AM737" s="85"/>
      <c r="AO737" s="85"/>
      <c r="AQ737" s="85"/>
      <c r="AS737" s="78"/>
    </row>
    <row r="738" spans="39:45">
      <c r="AM738" s="85"/>
      <c r="AO738" s="85"/>
      <c r="AQ738" s="85"/>
      <c r="AS738" s="78"/>
    </row>
    <row r="739" spans="39:45">
      <c r="AM739" s="85"/>
      <c r="AO739" s="85"/>
      <c r="AQ739" s="85"/>
      <c r="AS739" s="78"/>
    </row>
    <row r="740" spans="39:45">
      <c r="AM740" s="85"/>
      <c r="AO740" s="85"/>
      <c r="AQ740" s="85"/>
      <c r="AS740" s="78"/>
    </row>
    <row r="741" spans="39:45">
      <c r="AM741" s="85"/>
      <c r="AO741" s="85"/>
      <c r="AQ741" s="85"/>
      <c r="AS741" s="78"/>
    </row>
    <row r="742" spans="39:45">
      <c r="AM742" s="85"/>
      <c r="AO742" s="85"/>
      <c r="AQ742" s="85"/>
      <c r="AS742" s="78"/>
    </row>
    <row r="743" spans="39:45">
      <c r="AM743" s="85"/>
      <c r="AO743" s="85"/>
      <c r="AQ743" s="85"/>
      <c r="AS743" s="78"/>
    </row>
    <row r="744" spans="39:45">
      <c r="AM744" s="85"/>
      <c r="AO744" s="85"/>
      <c r="AQ744" s="85"/>
      <c r="AS744" s="78"/>
    </row>
    <row r="745" spans="39:45">
      <c r="AM745" s="85"/>
      <c r="AO745" s="85"/>
      <c r="AQ745" s="85"/>
      <c r="AS745" s="78"/>
    </row>
    <row r="746" spans="39:45">
      <c r="AM746" s="85"/>
      <c r="AO746" s="85"/>
      <c r="AQ746" s="85"/>
      <c r="AS746" s="78"/>
    </row>
    <row r="747" spans="39:45">
      <c r="AM747" s="85"/>
      <c r="AO747" s="85"/>
      <c r="AQ747" s="85"/>
      <c r="AS747" s="78"/>
    </row>
    <row r="748" spans="39:45">
      <c r="AM748" s="85"/>
      <c r="AO748" s="85"/>
      <c r="AQ748" s="85"/>
      <c r="AS748" s="78"/>
    </row>
    <row r="749" spans="39:45">
      <c r="AM749" s="85"/>
      <c r="AO749" s="85"/>
      <c r="AQ749" s="85"/>
      <c r="AS749" s="78"/>
    </row>
    <row r="750" spans="39:45">
      <c r="AM750" s="85"/>
      <c r="AO750" s="85"/>
      <c r="AQ750" s="85"/>
      <c r="AS750" s="78"/>
    </row>
    <row r="751" spans="39:45">
      <c r="AM751" s="85"/>
      <c r="AO751" s="85"/>
      <c r="AQ751" s="85"/>
      <c r="AS751" s="78"/>
    </row>
    <row r="752" spans="39:45">
      <c r="AM752" s="85"/>
      <c r="AO752" s="85"/>
      <c r="AQ752" s="85"/>
      <c r="AS752" s="78"/>
    </row>
    <row r="753" spans="39:45">
      <c r="AM753" s="85"/>
      <c r="AO753" s="85"/>
      <c r="AQ753" s="85"/>
      <c r="AS753" s="78"/>
    </row>
    <row r="754" spans="39:45">
      <c r="AM754" s="85"/>
      <c r="AO754" s="85"/>
      <c r="AQ754" s="85"/>
      <c r="AS754" s="78"/>
    </row>
    <row r="755" spans="39:45">
      <c r="AM755" s="85"/>
      <c r="AO755" s="85"/>
      <c r="AQ755" s="85"/>
      <c r="AS755" s="78"/>
    </row>
    <row r="756" spans="39:45">
      <c r="AM756" s="85"/>
      <c r="AO756" s="85"/>
      <c r="AQ756" s="85"/>
      <c r="AS756" s="78"/>
    </row>
    <row r="757" spans="39:45">
      <c r="AM757" s="85"/>
      <c r="AO757" s="85"/>
      <c r="AQ757" s="85"/>
      <c r="AS757" s="78"/>
    </row>
    <row r="758" spans="39:45">
      <c r="AM758" s="85"/>
      <c r="AO758" s="85"/>
      <c r="AQ758" s="85"/>
      <c r="AS758" s="78"/>
    </row>
    <row r="759" spans="39:45">
      <c r="AM759" s="85"/>
      <c r="AO759" s="85"/>
      <c r="AQ759" s="85"/>
      <c r="AS759" s="78"/>
    </row>
    <row r="760" spans="39:45">
      <c r="AM760" s="85"/>
      <c r="AO760" s="85"/>
      <c r="AQ760" s="85"/>
      <c r="AS760" s="78"/>
    </row>
    <row r="761" spans="39:45">
      <c r="AM761" s="85"/>
      <c r="AO761" s="85"/>
      <c r="AQ761" s="85"/>
      <c r="AS761" s="78"/>
    </row>
    <row r="762" spans="39:45">
      <c r="AM762" s="85"/>
      <c r="AO762" s="85"/>
      <c r="AQ762" s="85"/>
      <c r="AS762" s="78"/>
    </row>
    <row r="763" spans="39:45">
      <c r="AM763" s="85"/>
      <c r="AO763" s="85"/>
      <c r="AQ763" s="85"/>
      <c r="AS763" s="78"/>
    </row>
    <row r="764" spans="39:45">
      <c r="AM764" s="85"/>
      <c r="AO764" s="85"/>
      <c r="AQ764" s="85"/>
      <c r="AS764" s="78"/>
    </row>
    <row r="765" spans="39:45">
      <c r="AM765" s="85"/>
      <c r="AO765" s="85"/>
      <c r="AQ765" s="85"/>
      <c r="AS765" s="78"/>
    </row>
    <row r="766" spans="39:45">
      <c r="AM766" s="85"/>
      <c r="AO766" s="85"/>
      <c r="AQ766" s="85"/>
      <c r="AS766" s="78"/>
    </row>
    <row r="767" spans="39:45">
      <c r="AM767" s="85"/>
      <c r="AO767" s="85"/>
      <c r="AQ767" s="85"/>
      <c r="AS767" s="78"/>
    </row>
    <row r="768" spans="39:45">
      <c r="AM768" s="85"/>
      <c r="AO768" s="85"/>
      <c r="AQ768" s="85"/>
      <c r="AS768" s="78"/>
    </row>
    <row r="769" spans="39:45">
      <c r="AM769" s="85"/>
      <c r="AO769" s="85"/>
      <c r="AQ769" s="85"/>
      <c r="AS769" s="78"/>
    </row>
    <row r="770" spans="39:45">
      <c r="AM770" s="85"/>
      <c r="AO770" s="85"/>
      <c r="AQ770" s="85"/>
      <c r="AS770" s="78"/>
    </row>
    <row r="771" spans="39:45">
      <c r="AM771" s="85"/>
      <c r="AO771" s="85"/>
      <c r="AQ771" s="85"/>
      <c r="AS771" s="78"/>
    </row>
    <row r="772" spans="39:45">
      <c r="AM772" s="85"/>
      <c r="AO772" s="85"/>
      <c r="AQ772" s="85"/>
      <c r="AS772" s="78"/>
    </row>
    <row r="773" spans="39:45">
      <c r="AM773" s="85"/>
      <c r="AO773" s="85"/>
      <c r="AQ773" s="85"/>
      <c r="AS773" s="78"/>
    </row>
    <row r="774" spans="39:45">
      <c r="AM774" s="85"/>
      <c r="AO774" s="85"/>
      <c r="AQ774" s="85"/>
      <c r="AS774" s="78"/>
    </row>
    <row r="775" spans="39:45">
      <c r="AM775" s="85"/>
      <c r="AO775" s="85"/>
      <c r="AQ775" s="85"/>
      <c r="AS775" s="78"/>
    </row>
    <row r="776" spans="39:45">
      <c r="AM776" s="85"/>
      <c r="AO776" s="85"/>
      <c r="AQ776" s="85"/>
      <c r="AS776" s="78"/>
    </row>
    <row r="777" spans="39:45">
      <c r="AM777" s="85"/>
      <c r="AO777" s="85"/>
      <c r="AQ777" s="85"/>
      <c r="AS777" s="78"/>
    </row>
    <row r="778" spans="39:45">
      <c r="AM778" s="85"/>
      <c r="AO778" s="85"/>
      <c r="AQ778" s="85"/>
      <c r="AS778" s="78"/>
    </row>
    <row r="779" spans="39:45">
      <c r="AM779" s="85"/>
      <c r="AO779" s="85"/>
      <c r="AQ779" s="85"/>
      <c r="AS779" s="78"/>
    </row>
    <row r="780" spans="39:45">
      <c r="AM780" s="85"/>
      <c r="AO780" s="85"/>
      <c r="AQ780" s="85"/>
      <c r="AS780" s="78"/>
    </row>
    <row r="781" spans="39:45">
      <c r="AM781" s="85"/>
      <c r="AO781" s="85"/>
      <c r="AQ781" s="85"/>
      <c r="AS781" s="78"/>
    </row>
    <row r="782" spans="39:45">
      <c r="AM782" s="85"/>
      <c r="AO782" s="85"/>
      <c r="AQ782" s="85"/>
      <c r="AS782" s="78"/>
    </row>
    <row r="783" spans="39:45">
      <c r="AM783" s="85"/>
      <c r="AO783" s="85"/>
      <c r="AQ783" s="85"/>
      <c r="AS783" s="78"/>
    </row>
    <row r="784" spans="39:45">
      <c r="AM784" s="85"/>
      <c r="AO784" s="85"/>
      <c r="AQ784" s="85"/>
      <c r="AS784" s="78"/>
    </row>
    <row r="785" spans="39:45">
      <c r="AM785" s="85"/>
      <c r="AO785" s="85"/>
      <c r="AQ785" s="85"/>
      <c r="AS785" s="78"/>
    </row>
    <row r="786" spans="39:45">
      <c r="AM786" s="85"/>
      <c r="AO786" s="85"/>
      <c r="AQ786" s="85"/>
      <c r="AS786" s="78"/>
    </row>
    <row r="787" spans="39:45">
      <c r="AM787" s="85"/>
      <c r="AO787" s="85"/>
      <c r="AQ787" s="85"/>
      <c r="AS787" s="78"/>
    </row>
    <row r="788" spans="39:45">
      <c r="AM788" s="85"/>
      <c r="AO788" s="85"/>
      <c r="AQ788" s="85"/>
      <c r="AS788" s="78"/>
    </row>
    <row r="789" spans="39:45">
      <c r="AM789" s="85"/>
      <c r="AO789" s="85"/>
      <c r="AQ789" s="85"/>
      <c r="AS789" s="78"/>
    </row>
    <row r="790" spans="39:45">
      <c r="AM790" s="85"/>
      <c r="AO790" s="85"/>
      <c r="AQ790" s="85"/>
      <c r="AS790" s="78"/>
    </row>
    <row r="791" spans="39:45">
      <c r="AM791" s="85"/>
      <c r="AO791" s="85"/>
      <c r="AQ791" s="85"/>
      <c r="AS791" s="78"/>
    </row>
    <row r="792" spans="39:45">
      <c r="AM792" s="85"/>
      <c r="AO792" s="85"/>
      <c r="AQ792" s="85"/>
      <c r="AS792" s="78"/>
    </row>
    <row r="793" spans="39:45">
      <c r="AM793" s="85"/>
      <c r="AO793" s="85"/>
      <c r="AQ793" s="85"/>
      <c r="AS793" s="78"/>
    </row>
    <row r="794" spans="39:45">
      <c r="AM794" s="85"/>
      <c r="AO794" s="85"/>
      <c r="AQ794" s="85"/>
      <c r="AS794" s="78"/>
    </row>
    <row r="795" spans="39:45">
      <c r="AM795" s="85"/>
      <c r="AO795" s="85"/>
      <c r="AQ795" s="85"/>
      <c r="AS795" s="78"/>
    </row>
    <row r="796" spans="39:45">
      <c r="AM796" s="85"/>
      <c r="AO796" s="85"/>
      <c r="AQ796" s="85"/>
      <c r="AS796" s="78"/>
    </row>
    <row r="797" spans="39:45">
      <c r="AM797" s="85"/>
      <c r="AO797" s="85"/>
      <c r="AQ797" s="85"/>
      <c r="AS797" s="78"/>
    </row>
    <row r="798" spans="39:45">
      <c r="AM798" s="85"/>
      <c r="AO798" s="85"/>
      <c r="AQ798" s="85"/>
      <c r="AS798" s="78"/>
    </row>
    <row r="799" spans="39:45">
      <c r="AM799" s="85"/>
      <c r="AO799" s="85"/>
      <c r="AQ799" s="85"/>
      <c r="AS799" s="78"/>
    </row>
    <row r="800" spans="39:45">
      <c r="AM800" s="85"/>
      <c r="AO800" s="85"/>
      <c r="AQ800" s="85"/>
      <c r="AS800" s="78"/>
    </row>
    <row r="801" spans="39:45">
      <c r="AM801" s="85"/>
      <c r="AO801" s="85"/>
      <c r="AQ801" s="85"/>
      <c r="AS801" s="78"/>
    </row>
    <row r="802" spans="39:45">
      <c r="AM802" s="85"/>
      <c r="AO802" s="85"/>
      <c r="AQ802" s="85"/>
      <c r="AS802" s="78"/>
    </row>
    <row r="803" spans="39:45">
      <c r="AM803" s="85"/>
      <c r="AO803" s="85"/>
      <c r="AQ803" s="85"/>
      <c r="AS803" s="78"/>
    </row>
    <row r="804" spans="39:45">
      <c r="AM804" s="85"/>
      <c r="AO804" s="85"/>
      <c r="AQ804" s="85"/>
      <c r="AS804" s="78"/>
    </row>
    <row r="805" spans="39:45">
      <c r="AM805" s="85"/>
      <c r="AO805" s="85"/>
      <c r="AQ805" s="85"/>
      <c r="AS805" s="78"/>
    </row>
    <row r="806" spans="39:45">
      <c r="AM806" s="85"/>
      <c r="AO806" s="85"/>
      <c r="AQ806" s="85"/>
      <c r="AS806" s="78"/>
    </row>
    <row r="807" spans="39:45">
      <c r="AM807" s="85"/>
      <c r="AO807" s="85"/>
      <c r="AQ807" s="85"/>
      <c r="AS807" s="78"/>
    </row>
    <row r="808" spans="39:45">
      <c r="AM808" s="85"/>
      <c r="AO808" s="85"/>
      <c r="AQ808" s="85"/>
      <c r="AS808" s="78"/>
    </row>
    <row r="809" spans="39:45">
      <c r="AM809" s="85"/>
      <c r="AO809" s="85"/>
      <c r="AQ809" s="85"/>
      <c r="AS809" s="78"/>
    </row>
    <row r="810" spans="39:45">
      <c r="AM810" s="85"/>
      <c r="AO810" s="85"/>
      <c r="AQ810" s="85"/>
      <c r="AS810" s="78"/>
    </row>
    <row r="811" spans="39:45">
      <c r="AM811" s="85"/>
      <c r="AO811" s="85"/>
      <c r="AQ811" s="85"/>
      <c r="AS811" s="78"/>
    </row>
    <row r="812" spans="39:45">
      <c r="AM812" s="85"/>
      <c r="AO812" s="85"/>
      <c r="AQ812" s="85"/>
      <c r="AS812" s="78"/>
    </row>
    <row r="813" spans="39:45">
      <c r="AM813" s="85"/>
      <c r="AO813" s="85"/>
      <c r="AQ813" s="85"/>
      <c r="AS813" s="78"/>
    </row>
    <row r="814" spans="39:45">
      <c r="AM814" s="85"/>
      <c r="AO814" s="85"/>
      <c r="AQ814" s="85"/>
      <c r="AS814" s="78"/>
    </row>
    <row r="815" spans="39:45">
      <c r="AM815" s="85"/>
      <c r="AO815" s="85"/>
      <c r="AQ815" s="85"/>
      <c r="AS815" s="78"/>
    </row>
    <row r="816" spans="39:45">
      <c r="AM816" s="85"/>
      <c r="AO816" s="85"/>
      <c r="AQ816" s="85"/>
      <c r="AS816" s="78"/>
    </row>
    <row r="817" spans="39:45">
      <c r="AM817" s="85"/>
      <c r="AO817" s="85"/>
      <c r="AQ817" s="85"/>
      <c r="AS817" s="78"/>
    </row>
    <row r="818" spans="39:45">
      <c r="AM818" s="85"/>
      <c r="AO818" s="85"/>
      <c r="AQ818" s="85"/>
      <c r="AS818" s="78"/>
    </row>
    <row r="819" spans="39:45">
      <c r="AM819" s="85"/>
      <c r="AO819" s="85"/>
      <c r="AQ819" s="85"/>
      <c r="AS819" s="78"/>
    </row>
    <row r="820" spans="39:45">
      <c r="AM820" s="85"/>
      <c r="AO820" s="85"/>
      <c r="AQ820" s="85"/>
      <c r="AS820" s="78"/>
    </row>
    <row r="821" spans="39:45">
      <c r="AM821" s="85"/>
      <c r="AO821" s="85"/>
      <c r="AQ821" s="85"/>
      <c r="AS821" s="78"/>
    </row>
    <row r="822" spans="39:45">
      <c r="AM822" s="85"/>
      <c r="AO822" s="85"/>
      <c r="AQ822" s="85"/>
      <c r="AS822" s="78"/>
    </row>
    <row r="823" spans="39:45">
      <c r="AM823" s="85"/>
      <c r="AO823" s="85"/>
      <c r="AQ823" s="85"/>
      <c r="AS823" s="78"/>
    </row>
    <row r="824" spans="39:45">
      <c r="AM824" s="85"/>
      <c r="AO824" s="85"/>
      <c r="AQ824" s="85"/>
      <c r="AS824" s="78"/>
    </row>
    <row r="825" spans="39:45">
      <c r="AM825" s="85"/>
      <c r="AO825" s="85"/>
      <c r="AQ825" s="85"/>
      <c r="AS825" s="78"/>
    </row>
    <row r="826" spans="39:45">
      <c r="AM826" s="85"/>
      <c r="AO826" s="85"/>
      <c r="AQ826" s="85"/>
      <c r="AS826" s="78"/>
    </row>
    <row r="827" spans="39:45">
      <c r="AM827" s="85"/>
      <c r="AO827" s="85"/>
      <c r="AQ827" s="85"/>
      <c r="AS827" s="78"/>
    </row>
    <row r="828" spans="39:45">
      <c r="AM828" s="85"/>
      <c r="AO828" s="85"/>
      <c r="AQ828" s="85"/>
      <c r="AS828" s="78"/>
    </row>
    <row r="829" spans="39:45">
      <c r="AM829" s="85"/>
      <c r="AO829" s="85"/>
      <c r="AQ829" s="85"/>
      <c r="AS829" s="78"/>
    </row>
    <row r="830" spans="39:45">
      <c r="AM830" s="85"/>
      <c r="AO830" s="85"/>
      <c r="AQ830" s="85"/>
      <c r="AS830" s="78"/>
    </row>
    <row r="831" spans="39:45">
      <c r="AM831" s="85"/>
      <c r="AO831" s="85"/>
      <c r="AQ831" s="85"/>
      <c r="AS831" s="78"/>
    </row>
    <row r="832" spans="39:45">
      <c r="AM832" s="85"/>
      <c r="AO832" s="85"/>
      <c r="AQ832" s="85"/>
      <c r="AS832" s="78"/>
    </row>
    <row r="833" spans="39:45">
      <c r="AM833" s="85"/>
      <c r="AO833" s="85"/>
      <c r="AQ833" s="85"/>
      <c r="AS833" s="78"/>
    </row>
    <row r="834" spans="39:45">
      <c r="AM834" s="85"/>
      <c r="AO834" s="85"/>
      <c r="AQ834" s="85"/>
      <c r="AS834" s="78"/>
    </row>
    <row r="835" spans="39:45">
      <c r="AM835" s="85"/>
      <c r="AO835" s="85"/>
      <c r="AQ835" s="85"/>
      <c r="AS835" s="78"/>
    </row>
    <row r="836" spans="39:45">
      <c r="AM836" s="85"/>
      <c r="AO836" s="85"/>
      <c r="AQ836" s="85"/>
      <c r="AS836" s="78"/>
    </row>
    <row r="837" spans="39:45">
      <c r="AM837" s="85"/>
      <c r="AO837" s="85"/>
      <c r="AQ837" s="85"/>
      <c r="AS837" s="78"/>
    </row>
    <row r="838" spans="39:45">
      <c r="AM838" s="85"/>
      <c r="AO838" s="85"/>
      <c r="AQ838" s="85"/>
      <c r="AS838" s="78"/>
    </row>
    <row r="839" spans="39:45">
      <c r="AM839" s="85"/>
      <c r="AO839" s="85"/>
      <c r="AQ839" s="85"/>
      <c r="AS839" s="78"/>
    </row>
    <row r="840" spans="39:45">
      <c r="AM840" s="85"/>
      <c r="AO840" s="85"/>
      <c r="AQ840" s="85"/>
      <c r="AS840" s="78"/>
    </row>
    <row r="841" spans="39:45">
      <c r="AM841" s="85"/>
      <c r="AO841" s="85"/>
      <c r="AQ841" s="85"/>
      <c r="AS841" s="78"/>
    </row>
    <row r="842" spans="39:45">
      <c r="AM842" s="85"/>
      <c r="AO842" s="85"/>
      <c r="AQ842" s="85"/>
      <c r="AS842" s="78"/>
    </row>
    <row r="843" spans="39:45">
      <c r="AM843" s="85"/>
      <c r="AO843" s="85"/>
      <c r="AQ843" s="85"/>
      <c r="AS843" s="78"/>
    </row>
    <row r="844" spans="39:45">
      <c r="AM844" s="85"/>
      <c r="AO844" s="85"/>
      <c r="AQ844" s="85"/>
      <c r="AS844" s="78"/>
    </row>
    <row r="845" spans="39:45">
      <c r="AM845" s="85"/>
      <c r="AO845" s="85"/>
      <c r="AQ845" s="85"/>
      <c r="AS845" s="78"/>
    </row>
    <row r="846" spans="39:45">
      <c r="AM846" s="85"/>
      <c r="AO846" s="85"/>
      <c r="AQ846" s="85"/>
      <c r="AS846" s="78"/>
    </row>
    <row r="847" spans="39:45">
      <c r="AM847" s="85"/>
      <c r="AO847" s="85"/>
      <c r="AQ847" s="85"/>
      <c r="AS847" s="78"/>
    </row>
    <row r="848" spans="39:45">
      <c r="AM848" s="85"/>
      <c r="AO848" s="85"/>
      <c r="AQ848" s="85"/>
      <c r="AS848" s="78"/>
    </row>
    <row r="849" spans="39:45">
      <c r="AM849" s="85"/>
      <c r="AO849" s="85"/>
      <c r="AQ849" s="85"/>
      <c r="AS849" s="78"/>
    </row>
    <row r="850" spans="39:45">
      <c r="AM850" s="85"/>
      <c r="AO850" s="85"/>
      <c r="AQ850" s="85"/>
      <c r="AS850" s="78"/>
    </row>
    <row r="851" spans="39:45">
      <c r="AM851" s="85"/>
      <c r="AO851" s="85"/>
      <c r="AQ851" s="85"/>
      <c r="AS851" s="78"/>
    </row>
    <row r="852" spans="39:45">
      <c r="AM852" s="85"/>
      <c r="AO852" s="85"/>
      <c r="AQ852" s="85"/>
      <c r="AS852" s="78"/>
    </row>
    <row r="853" spans="39:45">
      <c r="AM853" s="85"/>
      <c r="AO853" s="85"/>
      <c r="AQ853" s="85"/>
      <c r="AS853" s="78"/>
    </row>
    <row r="854" spans="39:45">
      <c r="AM854" s="85"/>
      <c r="AO854" s="85"/>
      <c r="AQ854" s="85"/>
      <c r="AS854" s="78"/>
    </row>
    <row r="855" spans="39:45">
      <c r="AM855" s="85"/>
      <c r="AO855" s="85"/>
      <c r="AQ855" s="85"/>
      <c r="AS855" s="78"/>
    </row>
    <row r="856" spans="39:45">
      <c r="AM856" s="85"/>
      <c r="AO856" s="85"/>
      <c r="AQ856" s="85"/>
      <c r="AS856" s="78"/>
    </row>
    <row r="857" spans="39:45">
      <c r="AM857" s="85"/>
      <c r="AO857" s="85"/>
      <c r="AQ857" s="85"/>
      <c r="AS857" s="78"/>
    </row>
    <row r="858" spans="39:45">
      <c r="AM858" s="85"/>
      <c r="AO858" s="85"/>
      <c r="AQ858" s="85"/>
      <c r="AS858" s="78"/>
    </row>
    <row r="859" spans="39:45">
      <c r="AM859" s="85"/>
      <c r="AO859" s="85"/>
      <c r="AQ859" s="85"/>
      <c r="AS859" s="78"/>
    </row>
    <row r="860" spans="39:45">
      <c r="AM860" s="85"/>
      <c r="AO860" s="85"/>
      <c r="AQ860" s="85"/>
      <c r="AS860" s="78"/>
    </row>
    <row r="861" spans="39:45">
      <c r="AM861" s="85"/>
      <c r="AO861" s="85"/>
      <c r="AQ861" s="85"/>
      <c r="AS861" s="78"/>
    </row>
    <row r="862" spans="39:45">
      <c r="AM862" s="85"/>
      <c r="AO862" s="85"/>
      <c r="AQ862" s="85"/>
      <c r="AS862" s="78"/>
    </row>
    <row r="863" spans="39:45">
      <c r="AM863" s="85"/>
      <c r="AO863" s="85"/>
      <c r="AQ863" s="85"/>
      <c r="AS863" s="78"/>
    </row>
    <row r="864" spans="39:45">
      <c r="AM864" s="85"/>
      <c r="AO864" s="85"/>
      <c r="AQ864" s="85"/>
      <c r="AS864" s="78"/>
    </row>
    <row r="865" spans="39:45">
      <c r="AM865" s="85"/>
      <c r="AO865" s="85"/>
      <c r="AQ865" s="85"/>
      <c r="AS865" s="78"/>
    </row>
    <row r="866" spans="39:45">
      <c r="AM866" s="85"/>
      <c r="AO866" s="85"/>
      <c r="AQ866" s="85"/>
      <c r="AS866" s="78"/>
    </row>
    <row r="867" spans="39:45">
      <c r="AM867" s="85"/>
      <c r="AO867" s="85"/>
      <c r="AQ867" s="85"/>
      <c r="AS867" s="78"/>
    </row>
    <row r="868" spans="39:45">
      <c r="AM868" s="85"/>
      <c r="AO868" s="85"/>
      <c r="AQ868" s="85"/>
      <c r="AS868" s="78"/>
    </row>
    <row r="869" spans="39:45">
      <c r="AM869" s="85"/>
      <c r="AO869" s="85"/>
      <c r="AQ869" s="85"/>
      <c r="AS869" s="78"/>
    </row>
    <row r="870" spans="39:45">
      <c r="AM870" s="85"/>
      <c r="AO870" s="85"/>
      <c r="AQ870" s="85"/>
      <c r="AS870" s="78"/>
    </row>
    <row r="871" spans="39:45">
      <c r="AM871" s="85"/>
      <c r="AO871" s="85"/>
      <c r="AQ871" s="85"/>
      <c r="AS871" s="78"/>
    </row>
    <row r="872" spans="39:45">
      <c r="AM872" s="85"/>
      <c r="AO872" s="85"/>
      <c r="AQ872" s="85"/>
      <c r="AS872" s="78"/>
    </row>
    <row r="873" spans="39:45">
      <c r="AM873" s="85"/>
      <c r="AO873" s="85"/>
      <c r="AQ873" s="85"/>
      <c r="AS873" s="78"/>
    </row>
    <row r="874" spans="39:45">
      <c r="AM874" s="85"/>
      <c r="AO874" s="85"/>
      <c r="AQ874" s="85"/>
      <c r="AS874" s="78"/>
    </row>
    <row r="875" spans="39:45">
      <c r="AM875" s="85"/>
      <c r="AO875" s="85"/>
      <c r="AQ875" s="85"/>
      <c r="AS875" s="78"/>
    </row>
    <row r="876" spans="39:45">
      <c r="AM876" s="85"/>
      <c r="AO876" s="85"/>
      <c r="AQ876" s="85"/>
      <c r="AS876" s="78"/>
    </row>
    <row r="877" spans="39:45">
      <c r="AM877" s="85"/>
      <c r="AO877" s="85"/>
      <c r="AQ877" s="85"/>
      <c r="AS877" s="78"/>
    </row>
    <row r="878" spans="39:45">
      <c r="AM878" s="85"/>
      <c r="AO878" s="85"/>
      <c r="AQ878" s="85"/>
      <c r="AS878" s="78"/>
    </row>
    <row r="879" spans="39:45">
      <c r="AM879" s="85"/>
      <c r="AO879" s="85"/>
      <c r="AQ879" s="85"/>
      <c r="AS879" s="78"/>
    </row>
    <row r="880" spans="39:45">
      <c r="AM880" s="85"/>
      <c r="AO880" s="85"/>
      <c r="AQ880" s="85"/>
      <c r="AS880" s="78"/>
    </row>
    <row r="881" spans="39:45">
      <c r="AM881" s="85"/>
      <c r="AO881" s="85"/>
      <c r="AQ881" s="85"/>
      <c r="AS881" s="78"/>
    </row>
    <row r="882" spans="39:45">
      <c r="AM882" s="85"/>
      <c r="AO882" s="85"/>
      <c r="AQ882" s="85"/>
      <c r="AS882" s="78"/>
    </row>
    <row r="883" spans="39:45">
      <c r="AM883" s="85"/>
      <c r="AO883" s="85"/>
      <c r="AQ883" s="85"/>
      <c r="AS883" s="78"/>
    </row>
    <row r="884" spans="39:45">
      <c r="AM884" s="85"/>
      <c r="AO884" s="85"/>
      <c r="AQ884" s="85"/>
      <c r="AS884" s="78"/>
    </row>
    <row r="885" spans="39:45">
      <c r="AM885" s="85"/>
      <c r="AO885" s="85"/>
      <c r="AQ885" s="85"/>
      <c r="AS885" s="78"/>
    </row>
    <row r="886" spans="39:45">
      <c r="AM886" s="85"/>
      <c r="AO886" s="85"/>
      <c r="AQ886" s="85"/>
      <c r="AS886" s="78"/>
    </row>
    <row r="887" spans="39:45">
      <c r="AM887" s="85"/>
      <c r="AO887" s="85"/>
      <c r="AQ887" s="85"/>
      <c r="AS887" s="78"/>
    </row>
    <row r="888" spans="39:45">
      <c r="AM888" s="85"/>
      <c r="AO888" s="85"/>
      <c r="AQ888" s="85"/>
      <c r="AS888" s="78"/>
    </row>
    <row r="889" spans="39:45">
      <c r="AM889" s="85"/>
      <c r="AO889" s="85"/>
      <c r="AQ889" s="85"/>
      <c r="AS889" s="78"/>
    </row>
    <row r="890" spans="39:45">
      <c r="AM890" s="85"/>
      <c r="AO890" s="85"/>
      <c r="AQ890" s="85"/>
      <c r="AS890" s="78"/>
    </row>
    <row r="891" spans="39:45">
      <c r="AM891" s="85"/>
      <c r="AO891" s="85"/>
      <c r="AQ891" s="85"/>
      <c r="AS891" s="78"/>
    </row>
    <row r="892" spans="39:45">
      <c r="AM892" s="85"/>
      <c r="AO892" s="85"/>
      <c r="AQ892" s="85"/>
      <c r="AS892" s="78"/>
    </row>
    <row r="893" spans="39:45">
      <c r="AM893" s="85"/>
      <c r="AO893" s="85"/>
      <c r="AQ893" s="85"/>
      <c r="AS893" s="78"/>
    </row>
    <row r="894" spans="39:45">
      <c r="AM894" s="85"/>
      <c r="AO894" s="85"/>
      <c r="AQ894" s="85"/>
      <c r="AS894" s="78"/>
    </row>
    <row r="895" spans="39:45">
      <c r="AM895" s="85"/>
      <c r="AO895" s="85"/>
      <c r="AQ895" s="85"/>
      <c r="AS895" s="78"/>
    </row>
    <row r="896" spans="39:45">
      <c r="AM896" s="85"/>
      <c r="AO896" s="85"/>
      <c r="AQ896" s="85"/>
      <c r="AS896" s="78"/>
    </row>
    <row r="897" spans="39:45">
      <c r="AM897" s="85"/>
      <c r="AO897" s="85"/>
      <c r="AQ897" s="85"/>
      <c r="AS897" s="78"/>
    </row>
    <row r="898" spans="39:45">
      <c r="AM898" s="85"/>
      <c r="AO898" s="85"/>
      <c r="AQ898" s="85"/>
      <c r="AS898" s="78"/>
    </row>
    <row r="899" spans="39:45">
      <c r="AM899" s="85"/>
      <c r="AO899" s="85"/>
      <c r="AQ899" s="85"/>
      <c r="AS899" s="78"/>
    </row>
    <row r="900" spans="39:45">
      <c r="AM900" s="85"/>
      <c r="AO900" s="85"/>
      <c r="AQ900" s="85"/>
      <c r="AS900" s="78"/>
    </row>
    <row r="901" spans="39:45">
      <c r="AM901" s="85"/>
      <c r="AO901" s="85"/>
      <c r="AQ901" s="85"/>
      <c r="AS901" s="78"/>
    </row>
    <row r="902" spans="39:45">
      <c r="AM902" s="85"/>
      <c r="AO902" s="85"/>
      <c r="AQ902" s="85"/>
      <c r="AS902" s="78"/>
    </row>
    <row r="903" spans="39:45">
      <c r="AM903" s="85"/>
      <c r="AO903" s="85"/>
      <c r="AQ903" s="85"/>
      <c r="AS903" s="78"/>
    </row>
    <row r="904" spans="39:45">
      <c r="AM904" s="85"/>
      <c r="AO904" s="85"/>
      <c r="AQ904" s="85"/>
      <c r="AS904" s="78"/>
    </row>
    <row r="905" spans="39:45">
      <c r="AM905" s="85"/>
      <c r="AO905" s="85"/>
      <c r="AQ905" s="85"/>
      <c r="AS905" s="78"/>
    </row>
    <row r="906" spans="39:45">
      <c r="AM906" s="85"/>
      <c r="AO906" s="85"/>
      <c r="AQ906" s="85"/>
      <c r="AS906" s="78"/>
    </row>
    <row r="907" spans="39:45">
      <c r="AM907" s="85"/>
      <c r="AO907" s="85"/>
      <c r="AQ907" s="85"/>
      <c r="AS907" s="78"/>
    </row>
    <row r="908" spans="39:45">
      <c r="AM908" s="85"/>
      <c r="AO908" s="85"/>
      <c r="AQ908" s="85"/>
      <c r="AS908" s="78"/>
    </row>
    <row r="909" spans="39:45">
      <c r="AM909" s="85"/>
      <c r="AO909" s="85"/>
      <c r="AQ909" s="85"/>
      <c r="AS909" s="78"/>
    </row>
    <row r="910" spans="39:45">
      <c r="AM910" s="85"/>
      <c r="AO910" s="85"/>
      <c r="AQ910" s="85"/>
      <c r="AS910" s="78"/>
    </row>
    <row r="911" spans="39:45">
      <c r="AM911" s="85"/>
      <c r="AO911" s="85"/>
      <c r="AQ911" s="85"/>
      <c r="AS911" s="78"/>
    </row>
    <row r="912" spans="39:45">
      <c r="AM912" s="85"/>
      <c r="AO912" s="85"/>
      <c r="AQ912" s="85"/>
      <c r="AS912" s="78"/>
    </row>
    <row r="913" spans="39:45">
      <c r="AM913" s="85"/>
      <c r="AO913" s="85"/>
      <c r="AQ913" s="85"/>
      <c r="AS913" s="78"/>
    </row>
    <row r="914" spans="39:45">
      <c r="AM914" s="85"/>
      <c r="AO914" s="85"/>
      <c r="AQ914" s="85"/>
      <c r="AS914" s="78"/>
    </row>
    <row r="915" spans="39:45">
      <c r="AM915" s="85"/>
      <c r="AO915" s="85"/>
      <c r="AQ915" s="85"/>
      <c r="AS915" s="78"/>
    </row>
    <row r="916" spans="39:45">
      <c r="AM916" s="85"/>
      <c r="AO916" s="85"/>
      <c r="AQ916" s="85"/>
      <c r="AS916" s="78"/>
    </row>
    <row r="917" spans="39:45">
      <c r="AM917" s="85"/>
      <c r="AO917" s="85"/>
      <c r="AQ917" s="85"/>
      <c r="AS917" s="78"/>
    </row>
    <row r="918" spans="39:45">
      <c r="AM918" s="85"/>
      <c r="AO918" s="85"/>
      <c r="AQ918" s="85"/>
      <c r="AS918" s="78"/>
    </row>
    <row r="919" spans="39:45">
      <c r="AM919" s="85"/>
      <c r="AO919" s="85"/>
      <c r="AQ919" s="85"/>
      <c r="AS919" s="78"/>
    </row>
    <row r="920" spans="39:45">
      <c r="AM920" s="85"/>
      <c r="AO920" s="85"/>
      <c r="AQ920" s="85"/>
      <c r="AS920" s="78"/>
    </row>
    <row r="921" spans="39:45">
      <c r="AM921" s="85"/>
      <c r="AO921" s="85"/>
      <c r="AQ921" s="85"/>
      <c r="AS921" s="78"/>
    </row>
    <row r="922" spans="39:45">
      <c r="AM922" s="85"/>
      <c r="AO922" s="85"/>
      <c r="AQ922" s="85"/>
      <c r="AS922" s="78"/>
    </row>
    <row r="923" spans="39:45">
      <c r="AM923" s="85"/>
      <c r="AO923" s="85"/>
      <c r="AQ923" s="85"/>
      <c r="AS923" s="78"/>
    </row>
    <row r="924" spans="39:45">
      <c r="AM924" s="85"/>
      <c r="AO924" s="85"/>
      <c r="AQ924" s="85"/>
      <c r="AS924" s="78"/>
    </row>
    <row r="925" spans="39:45">
      <c r="AM925" s="85"/>
      <c r="AO925" s="85"/>
      <c r="AQ925" s="85"/>
      <c r="AS925" s="78"/>
    </row>
    <row r="926" spans="39:45">
      <c r="AM926" s="85"/>
      <c r="AO926" s="85"/>
      <c r="AQ926" s="85"/>
      <c r="AS926" s="78"/>
    </row>
    <row r="927" spans="39:45">
      <c r="AM927" s="85"/>
      <c r="AO927" s="85"/>
      <c r="AQ927" s="85"/>
      <c r="AS927" s="78"/>
    </row>
    <row r="928" spans="39:45">
      <c r="AM928" s="85"/>
      <c r="AO928" s="85"/>
      <c r="AQ928" s="85"/>
      <c r="AS928" s="78"/>
    </row>
    <row r="929" spans="39:45">
      <c r="AM929" s="85"/>
      <c r="AO929" s="85"/>
      <c r="AQ929" s="85"/>
      <c r="AS929" s="78"/>
    </row>
    <row r="930" spans="39:45">
      <c r="AM930" s="85"/>
      <c r="AO930" s="85"/>
      <c r="AQ930" s="85"/>
      <c r="AS930" s="78"/>
    </row>
    <row r="931" spans="39:45">
      <c r="AM931" s="85"/>
      <c r="AO931" s="85"/>
      <c r="AQ931" s="85"/>
      <c r="AS931" s="78"/>
    </row>
    <row r="932" spans="39:45">
      <c r="AM932" s="85"/>
      <c r="AO932" s="85"/>
      <c r="AQ932" s="85"/>
      <c r="AS932" s="78"/>
    </row>
    <row r="933" spans="39:45">
      <c r="AM933" s="85"/>
      <c r="AO933" s="85"/>
      <c r="AQ933" s="85"/>
      <c r="AS933" s="78"/>
    </row>
    <row r="934" spans="39:45">
      <c r="AM934" s="85"/>
      <c r="AO934" s="85"/>
      <c r="AQ934" s="85"/>
      <c r="AS934" s="78"/>
    </row>
    <row r="935" spans="39:45">
      <c r="AM935" s="85"/>
      <c r="AO935" s="85"/>
      <c r="AQ935" s="85"/>
      <c r="AS935" s="78"/>
    </row>
    <row r="936" spans="39:45">
      <c r="AM936" s="85"/>
      <c r="AO936" s="85"/>
      <c r="AQ936" s="85"/>
      <c r="AS936" s="78"/>
    </row>
    <row r="937" spans="39:45">
      <c r="AM937" s="85"/>
      <c r="AO937" s="85"/>
      <c r="AQ937" s="85"/>
      <c r="AS937" s="78"/>
    </row>
    <row r="938" spans="39:45">
      <c r="AM938" s="85"/>
      <c r="AO938" s="85"/>
      <c r="AQ938" s="85"/>
      <c r="AS938" s="78"/>
    </row>
    <row r="939" spans="39:45">
      <c r="AM939" s="85"/>
      <c r="AO939" s="85"/>
      <c r="AQ939" s="85"/>
      <c r="AS939" s="78"/>
    </row>
    <row r="940" spans="39:45">
      <c r="AM940" s="85"/>
      <c r="AO940" s="85"/>
      <c r="AQ940" s="85"/>
      <c r="AS940" s="78"/>
    </row>
    <row r="941" spans="39:45">
      <c r="AM941" s="85"/>
      <c r="AO941" s="85"/>
      <c r="AQ941" s="85"/>
      <c r="AS941" s="78"/>
    </row>
    <row r="942" spans="39:45">
      <c r="AM942" s="85"/>
      <c r="AO942" s="85"/>
      <c r="AQ942" s="85"/>
      <c r="AS942" s="78"/>
    </row>
    <row r="943" spans="39:45">
      <c r="AM943" s="85"/>
      <c r="AO943" s="85"/>
      <c r="AQ943" s="85"/>
      <c r="AS943" s="78"/>
    </row>
    <row r="944" spans="39:45">
      <c r="AM944" s="85"/>
      <c r="AO944" s="85"/>
      <c r="AQ944" s="85"/>
      <c r="AS944" s="78"/>
    </row>
    <row r="945" spans="39:45">
      <c r="AM945" s="85"/>
      <c r="AO945" s="85"/>
      <c r="AQ945" s="85"/>
      <c r="AS945" s="78"/>
    </row>
    <row r="946" spans="39:45">
      <c r="AM946" s="85"/>
      <c r="AO946" s="85"/>
      <c r="AQ946" s="85"/>
      <c r="AS946" s="78"/>
    </row>
    <row r="947" spans="39:45">
      <c r="AM947" s="85"/>
      <c r="AO947" s="85"/>
      <c r="AQ947" s="85"/>
      <c r="AS947" s="78"/>
    </row>
    <row r="948" spans="39:45">
      <c r="AM948" s="85"/>
      <c r="AO948" s="85"/>
      <c r="AQ948" s="85"/>
      <c r="AS948" s="78"/>
    </row>
    <row r="949" spans="39:45">
      <c r="AM949" s="85"/>
      <c r="AO949" s="85"/>
      <c r="AQ949" s="85"/>
      <c r="AS949" s="78"/>
    </row>
    <row r="950" spans="39:45">
      <c r="AM950" s="85"/>
      <c r="AO950" s="85"/>
      <c r="AQ950" s="85"/>
      <c r="AS950" s="78"/>
    </row>
    <row r="951" spans="39:45">
      <c r="AM951" s="85"/>
      <c r="AO951" s="85"/>
      <c r="AQ951" s="85"/>
      <c r="AS951" s="78"/>
    </row>
    <row r="952" spans="39:45">
      <c r="AM952" s="85"/>
      <c r="AO952" s="85"/>
      <c r="AQ952" s="85"/>
      <c r="AS952" s="78"/>
    </row>
    <row r="953" spans="39:45">
      <c r="AM953" s="85"/>
      <c r="AO953" s="85"/>
      <c r="AQ953" s="85"/>
      <c r="AS953" s="78"/>
    </row>
    <row r="954" spans="39:45">
      <c r="AM954" s="85"/>
      <c r="AO954" s="85"/>
      <c r="AQ954" s="85"/>
      <c r="AS954" s="78"/>
    </row>
    <row r="955" spans="39:45">
      <c r="AM955" s="85"/>
      <c r="AO955" s="85"/>
      <c r="AQ955" s="85"/>
      <c r="AS955" s="78"/>
    </row>
    <row r="956" spans="39:45">
      <c r="AM956" s="85"/>
      <c r="AO956" s="85"/>
      <c r="AQ956" s="85"/>
      <c r="AS956" s="78"/>
    </row>
    <row r="957" spans="39:45">
      <c r="AM957" s="85"/>
      <c r="AO957" s="85"/>
      <c r="AQ957" s="85"/>
      <c r="AS957" s="78"/>
    </row>
    <row r="958" spans="39:45">
      <c r="AM958" s="85"/>
      <c r="AO958" s="85"/>
      <c r="AQ958" s="85"/>
      <c r="AS958" s="78"/>
    </row>
    <row r="959" spans="39:45">
      <c r="AM959" s="85"/>
      <c r="AO959" s="85"/>
      <c r="AQ959" s="85"/>
      <c r="AS959" s="78"/>
    </row>
    <row r="960" spans="39:45">
      <c r="AM960" s="85"/>
      <c r="AO960" s="85"/>
      <c r="AQ960" s="85"/>
      <c r="AS960" s="78"/>
    </row>
    <row r="961" spans="39:45">
      <c r="AM961" s="85"/>
      <c r="AO961" s="85"/>
      <c r="AQ961" s="85"/>
      <c r="AS961" s="78"/>
    </row>
    <row r="962" spans="39:45">
      <c r="AM962" s="85"/>
      <c r="AO962" s="85"/>
      <c r="AQ962" s="85"/>
      <c r="AS962" s="78"/>
    </row>
    <row r="963" spans="39:45">
      <c r="AM963" s="85"/>
      <c r="AO963" s="85"/>
      <c r="AQ963" s="85"/>
      <c r="AS963" s="78"/>
    </row>
    <row r="964" spans="39:45">
      <c r="AM964" s="85"/>
      <c r="AO964" s="85"/>
      <c r="AQ964" s="85"/>
      <c r="AS964" s="78"/>
    </row>
    <row r="965" spans="39:45">
      <c r="AM965" s="85"/>
      <c r="AO965" s="85"/>
      <c r="AQ965" s="85"/>
      <c r="AS965" s="78"/>
    </row>
    <row r="966" spans="39:45">
      <c r="AM966" s="85"/>
      <c r="AO966" s="85"/>
      <c r="AQ966" s="85"/>
      <c r="AS966" s="78"/>
    </row>
    <row r="967" spans="39:45">
      <c r="AM967" s="85"/>
      <c r="AO967" s="85"/>
      <c r="AQ967" s="85"/>
      <c r="AS967" s="78"/>
    </row>
    <row r="968" spans="39:45">
      <c r="AM968" s="85"/>
      <c r="AO968" s="85"/>
      <c r="AQ968" s="85"/>
      <c r="AS968" s="78"/>
    </row>
    <row r="969" spans="39:45">
      <c r="AM969" s="85"/>
      <c r="AO969" s="85"/>
      <c r="AQ969" s="85"/>
      <c r="AS969" s="78"/>
    </row>
    <row r="970" spans="39:45">
      <c r="AM970" s="85"/>
      <c r="AO970" s="85"/>
      <c r="AQ970" s="85"/>
      <c r="AS970" s="78"/>
    </row>
    <row r="971" spans="39:45">
      <c r="AM971" s="85"/>
      <c r="AO971" s="85"/>
      <c r="AQ971" s="85"/>
      <c r="AS971" s="78"/>
    </row>
    <row r="972" spans="39:45">
      <c r="AM972" s="85"/>
      <c r="AO972" s="85"/>
      <c r="AQ972" s="85"/>
      <c r="AS972" s="78"/>
    </row>
    <row r="973" spans="39:45">
      <c r="AM973" s="85"/>
      <c r="AO973" s="85"/>
      <c r="AQ973" s="85"/>
      <c r="AS973" s="78"/>
    </row>
    <row r="974" spans="39:45">
      <c r="AM974" s="85"/>
      <c r="AO974" s="85"/>
      <c r="AQ974" s="85"/>
      <c r="AS974" s="78"/>
    </row>
    <row r="975" spans="39:45">
      <c r="AM975" s="85"/>
      <c r="AO975" s="85"/>
      <c r="AQ975" s="85"/>
      <c r="AS975" s="78"/>
    </row>
    <row r="976" spans="39:45">
      <c r="AM976" s="85"/>
      <c r="AO976" s="85"/>
      <c r="AQ976" s="85"/>
      <c r="AS976" s="78"/>
    </row>
    <row r="977" spans="39:45">
      <c r="AM977" s="85"/>
      <c r="AO977" s="85"/>
      <c r="AQ977" s="85"/>
      <c r="AS977" s="78"/>
    </row>
    <row r="978" spans="39:45">
      <c r="AM978" s="85"/>
      <c r="AO978" s="85"/>
      <c r="AQ978" s="85"/>
      <c r="AS978" s="78"/>
    </row>
    <row r="979" spans="39:45">
      <c r="AM979" s="85"/>
      <c r="AO979" s="85"/>
      <c r="AQ979" s="85"/>
      <c r="AS979" s="78"/>
    </row>
    <row r="980" spans="39:45">
      <c r="AM980" s="85"/>
      <c r="AO980" s="85"/>
      <c r="AQ980" s="85"/>
      <c r="AS980" s="78"/>
    </row>
    <row r="981" spans="39:45">
      <c r="AM981" s="85"/>
      <c r="AO981" s="85"/>
      <c r="AQ981" s="85"/>
      <c r="AS981" s="78"/>
    </row>
    <row r="982" spans="39:45">
      <c r="AM982" s="85"/>
      <c r="AO982" s="85"/>
      <c r="AQ982" s="85"/>
      <c r="AS982" s="78"/>
    </row>
    <row r="983" spans="39:45">
      <c r="AM983" s="85"/>
      <c r="AO983" s="85"/>
      <c r="AQ983" s="85"/>
      <c r="AS983" s="78"/>
    </row>
    <row r="984" spans="39:45">
      <c r="AM984" s="85"/>
      <c r="AO984" s="85"/>
      <c r="AQ984" s="85"/>
      <c r="AS984" s="78"/>
    </row>
    <row r="985" spans="39:45">
      <c r="AM985" s="85"/>
      <c r="AO985" s="85"/>
      <c r="AQ985" s="85"/>
      <c r="AS985" s="78"/>
    </row>
    <row r="986" spans="39:45">
      <c r="AM986" s="85"/>
      <c r="AO986" s="85"/>
      <c r="AQ986" s="85"/>
      <c r="AS986" s="78"/>
    </row>
    <row r="987" spans="39:45">
      <c r="AM987" s="85"/>
      <c r="AO987" s="85"/>
      <c r="AQ987" s="85"/>
      <c r="AS987" s="78"/>
    </row>
    <row r="988" spans="39:45">
      <c r="AM988" s="85"/>
      <c r="AO988" s="85"/>
      <c r="AQ988" s="85"/>
      <c r="AS988" s="78"/>
    </row>
    <row r="989" spans="39:45">
      <c r="AM989" s="85"/>
      <c r="AO989" s="85"/>
      <c r="AQ989" s="85"/>
      <c r="AS989" s="78"/>
    </row>
    <row r="990" spans="39:45">
      <c r="AM990" s="85"/>
      <c r="AO990" s="85"/>
      <c r="AQ990" s="85"/>
      <c r="AS990" s="78"/>
    </row>
    <row r="991" spans="39:45">
      <c r="AM991" s="85"/>
      <c r="AO991" s="85"/>
      <c r="AQ991" s="85"/>
      <c r="AS991" s="78"/>
    </row>
    <row r="992" spans="39:45">
      <c r="AM992" s="85"/>
      <c r="AO992" s="85"/>
      <c r="AQ992" s="85"/>
      <c r="AS992" s="78"/>
    </row>
    <row r="993" spans="39:45">
      <c r="AM993" s="85"/>
      <c r="AO993" s="85"/>
      <c r="AQ993" s="85"/>
      <c r="AS993" s="78"/>
    </row>
    <row r="994" spans="39:45">
      <c r="AM994" s="85"/>
      <c r="AO994" s="85"/>
      <c r="AQ994" s="85"/>
      <c r="AS994" s="78"/>
    </row>
    <row r="995" spans="39:45">
      <c r="AM995" s="85"/>
      <c r="AO995" s="85"/>
      <c r="AQ995" s="85"/>
      <c r="AS995" s="78"/>
    </row>
    <row r="996" spans="39:45">
      <c r="AM996" s="85"/>
      <c r="AO996" s="85"/>
      <c r="AQ996" s="85"/>
      <c r="AS996" s="78"/>
    </row>
    <row r="997" spans="39:45">
      <c r="AM997" s="85"/>
      <c r="AO997" s="85"/>
      <c r="AQ997" s="85"/>
      <c r="AS997" s="78"/>
    </row>
    <row r="998" spans="39:45">
      <c r="AM998" s="85"/>
      <c r="AO998" s="85"/>
      <c r="AQ998" s="85"/>
      <c r="AS998" s="78"/>
    </row>
    <row r="999" spans="39:45">
      <c r="AM999" s="85"/>
      <c r="AO999" s="85"/>
      <c r="AQ999" s="85"/>
      <c r="AS999" s="78"/>
    </row>
    <row r="1000" spans="39:45">
      <c r="AM1000" s="85"/>
      <c r="AO1000" s="85"/>
      <c r="AQ1000" s="85"/>
      <c r="AS1000" s="78"/>
    </row>
    <row r="1001" spans="39:45">
      <c r="AM1001" s="85"/>
      <c r="AO1001" s="85"/>
      <c r="AQ1001" s="85"/>
    </row>
    <row r="1002" spans="39:45">
      <c r="AM1002" s="85"/>
    </row>
    <row r="1003" spans="39:45">
      <c r="AM1003" s="85"/>
    </row>
    <row r="1004" spans="39:45">
      <c r="AM1004" s="85"/>
    </row>
    <row r="1005" spans="39:45">
      <c r="AM1005" s="85"/>
    </row>
    <row r="1006" spans="39:45">
      <c r="AM1006" s="85"/>
    </row>
    <row r="1007" spans="39:45">
      <c r="AM1007" s="85"/>
    </row>
    <row r="1008" spans="39:45">
      <c r="AM1008" s="85"/>
    </row>
    <row r="1009" spans="39:39">
      <c r="AM1009" s="85"/>
    </row>
    <row r="1010" spans="39:39">
      <c r="AM1010" s="85"/>
    </row>
    <row r="1011" spans="39:39">
      <c r="AM1011" s="85"/>
    </row>
    <row r="1012" spans="39:39">
      <c r="AM1012" s="85"/>
    </row>
    <row r="1013" spans="39:39">
      <c r="AM1013" s="85"/>
    </row>
    <row r="1014" spans="39:39">
      <c r="AM1014" s="85"/>
    </row>
    <row r="1015" spans="39:39">
      <c r="AM1015" s="85"/>
    </row>
    <row r="1016" spans="39:39">
      <c r="AM1016" s="85"/>
    </row>
    <row r="1017" spans="39:39">
      <c r="AM1017" s="85"/>
    </row>
    <row r="1018" spans="39:39">
      <c r="AM1018" s="85"/>
    </row>
    <row r="1019" spans="39:39">
      <c r="AM1019" s="85"/>
    </row>
    <row r="1020" spans="39:39">
      <c r="AM1020" s="85"/>
    </row>
    <row r="1021" spans="39:39">
      <c r="AM1021" s="85"/>
    </row>
    <row r="1022" spans="39:39">
      <c r="AM1022" s="85"/>
    </row>
    <row r="1023" spans="39:39">
      <c r="AM1023" s="85"/>
    </row>
    <row r="1024" spans="39:39">
      <c r="AM1024" s="85"/>
    </row>
    <row r="1025" spans="39:39">
      <c r="AM1025" s="85"/>
    </row>
    <row r="1026" spans="39:39">
      <c r="AM1026" s="85"/>
    </row>
    <row r="1027" spans="39:39">
      <c r="AM1027" s="85"/>
    </row>
    <row r="1028" spans="39:39">
      <c r="AM1028" s="85"/>
    </row>
    <row r="1029" spans="39:39">
      <c r="AM1029" s="85"/>
    </row>
    <row r="1030" spans="39:39">
      <c r="AM1030" s="85"/>
    </row>
    <row r="1031" spans="39:39">
      <c r="AM1031" s="85"/>
    </row>
    <row r="1032" spans="39:39">
      <c r="AM1032" s="85"/>
    </row>
    <row r="1033" spans="39:39">
      <c r="AM1033" s="85"/>
    </row>
    <row r="1034" spans="39:39">
      <c r="AM1034" s="85"/>
    </row>
    <row r="1035" spans="39:39">
      <c r="AM1035" s="85"/>
    </row>
    <row r="1036" spans="39:39">
      <c r="AM1036" s="85"/>
    </row>
    <row r="1037" spans="39:39">
      <c r="AM1037" s="85"/>
    </row>
    <row r="1038" spans="39:39">
      <c r="AM1038" s="85"/>
    </row>
    <row r="1039" spans="39:39">
      <c r="AM1039" s="85"/>
    </row>
    <row r="1040" spans="39:39">
      <c r="AM1040" s="85"/>
    </row>
    <row r="1041" spans="39:39">
      <c r="AM1041" s="85"/>
    </row>
    <row r="1042" spans="39:39">
      <c r="AM1042" s="85"/>
    </row>
    <row r="1043" spans="39:39">
      <c r="AM1043" s="85"/>
    </row>
    <row r="1044" spans="39:39">
      <c r="AM1044" s="85"/>
    </row>
    <row r="1045" spans="39:39">
      <c r="AM1045" s="85"/>
    </row>
    <row r="1046" spans="39:39">
      <c r="AM1046" s="85"/>
    </row>
    <row r="1047" spans="39:39">
      <c r="AM1047" s="85"/>
    </row>
    <row r="1048" spans="39:39">
      <c r="AM1048" s="85"/>
    </row>
    <row r="1049" spans="39:39">
      <c r="AM1049" s="85"/>
    </row>
    <row r="1050" spans="39:39">
      <c r="AM1050" s="85"/>
    </row>
    <row r="1051" spans="39:39">
      <c r="AM1051" s="85"/>
    </row>
    <row r="1052" spans="39:39">
      <c r="AM1052" s="85"/>
    </row>
    <row r="1053" spans="39:39">
      <c r="AM1053" s="85"/>
    </row>
    <row r="1054" spans="39:39">
      <c r="AM1054" s="85"/>
    </row>
    <row r="1055" spans="39:39">
      <c r="AM1055" s="85"/>
    </row>
    <row r="1056" spans="39:39">
      <c r="AM1056" s="85"/>
    </row>
    <row r="1057" spans="39:39">
      <c r="AM1057" s="85"/>
    </row>
    <row r="1058" spans="39:39">
      <c r="AM1058" s="85"/>
    </row>
    <row r="1059" spans="39:39">
      <c r="AM1059" s="85"/>
    </row>
    <row r="1060" spans="39:39">
      <c r="AM1060" s="85"/>
    </row>
    <row r="1061" spans="39:39">
      <c r="AM1061" s="85"/>
    </row>
    <row r="1062" spans="39:39">
      <c r="AM1062" s="85"/>
    </row>
    <row r="1063" spans="39:39">
      <c r="AM1063" s="85"/>
    </row>
    <row r="1064" spans="39:39">
      <c r="AM1064" s="85"/>
    </row>
    <row r="1065" spans="39:39">
      <c r="AM1065" s="85"/>
    </row>
    <row r="1066" spans="39:39">
      <c r="AM1066" s="85"/>
    </row>
    <row r="1067" spans="39:39">
      <c r="AM1067" s="85"/>
    </row>
    <row r="1068" spans="39:39">
      <c r="AM1068" s="85"/>
    </row>
    <row r="1069" spans="39:39">
      <c r="AM1069" s="85"/>
    </row>
    <row r="1070" spans="39:39">
      <c r="AM1070" s="85"/>
    </row>
    <row r="1071" spans="39:39">
      <c r="AM1071" s="85"/>
    </row>
    <row r="1072" spans="39:39">
      <c r="AM1072" s="85"/>
    </row>
    <row r="1073" spans="39:39">
      <c r="AM1073" s="85"/>
    </row>
    <row r="1074" spans="39:39">
      <c r="AM1074" s="85"/>
    </row>
    <row r="1075" spans="39:39">
      <c r="AM1075" s="85"/>
    </row>
    <row r="1076" spans="39:39">
      <c r="AM1076" s="85"/>
    </row>
    <row r="1077" spans="39:39">
      <c r="AM1077" s="85"/>
    </row>
    <row r="1078" spans="39:39">
      <c r="AM1078" s="85"/>
    </row>
    <row r="1079" spans="39:39">
      <c r="AM1079" s="85"/>
    </row>
    <row r="1080" spans="39:39">
      <c r="AM1080" s="85"/>
    </row>
    <row r="1081" spans="39:39">
      <c r="AM1081" s="85"/>
    </row>
    <row r="1082" spans="39:39">
      <c r="AM1082" s="85"/>
    </row>
    <row r="1083" spans="39:39">
      <c r="AM1083" s="85"/>
    </row>
    <row r="1084" spans="39:39">
      <c r="AM1084" s="85"/>
    </row>
    <row r="1085" spans="39:39">
      <c r="AM1085" s="85"/>
    </row>
    <row r="1086" spans="39:39">
      <c r="AM1086" s="85"/>
    </row>
    <row r="1087" spans="39:39">
      <c r="AM1087" s="85"/>
    </row>
    <row r="1088" spans="39:39">
      <c r="AM1088" s="85"/>
    </row>
    <row r="1089" spans="39:39">
      <c r="AM1089" s="85"/>
    </row>
    <row r="1090" spans="39:39">
      <c r="AM1090" s="85"/>
    </row>
    <row r="1091" spans="39:39">
      <c r="AM1091" s="85"/>
    </row>
    <row r="1092" spans="39:39">
      <c r="AM1092" s="85"/>
    </row>
    <row r="1093" spans="39:39">
      <c r="AM1093" s="85"/>
    </row>
    <row r="1094" spans="39:39">
      <c r="AM1094" s="85"/>
    </row>
    <row r="1095" spans="39:39">
      <c r="AM1095" s="85"/>
    </row>
    <row r="1096" spans="39:39">
      <c r="AM1096" s="85"/>
    </row>
    <row r="1097" spans="39:39">
      <c r="AM1097" s="85"/>
    </row>
    <row r="1098" spans="39:39">
      <c r="AM1098" s="85"/>
    </row>
    <row r="1099" spans="39:39">
      <c r="AM1099" s="85"/>
    </row>
    <row r="1100" spans="39:39">
      <c r="AM1100" s="85"/>
    </row>
    <row r="1101" spans="39:39">
      <c r="AM1101" s="85"/>
    </row>
    <row r="1102" spans="39:39">
      <c r="AM1102" s="85"/>
    </row>
    <row r="1103" spans="39:39">
      <c r="AM1103" s="85"/>
    </row>
    <row r="1104" spans="39:39">
      <c r="AM1104" s="85"/>
    </row>
    <row r="1105" spans="39:39">
      <c r="AM1105" s="85"/>
    </row>
    <row r="1106" spans="39:39">
      <c r="AM1106" s="85"/>
    </row>
    <row r="1107" spans="39:39">
      <c r="AM1107" s="85"/>
    </row>
    <row r="1108" spans="39:39">
      <c r="AM1108" s="85"/>
    </row>
    <row r="1109" spans="39:39">
      <c r="AM1109" s="85"/>
    </row>
    <row r="1110" spans="39:39">
      <c r="AM1110" s="85"/>
    </row>
    <row r="1111" spans="39:39">
      <c r="AM1111" s="85"/>
    </row>
    <row r="1112" spans="39:39">
      <c r="AM1112" s="85"/>
    </row>
    <row r="1113" spans="39:39">
      <c r="AM1113" s="85"/>
    </row>
    <row r="1114" spans="39:39">
      <c r="AM1114" s="85"/>
    </row>
    <row r="1115" spans="39:39">
      <c r="AM1115" s="85"/>
    </row>
    <row r="1116" spans="39:39">
      <c r="AM1116" s="85"/>
    </row>
    <row r="1117" spans="39:39">
      <c r="AM1117" s="85"/>
    </row>
    <row r="1118" spans="39:39">
      <c r="AM1118" s="85"/>
    </row>
    <row r="1119" spans="39:39">
      <c r="AM1119" s="85"/>
    </row>
    <row r="1120" spans="39:39">
      <c r="AM1120" s="85"/>
    </row>
    <row r="1121" spans="39:39">
      <c r="AM1121" s="85"/>
    </row>
    <row r="1122" spans="39:39">
      <c r="AM1122" s="85"/>
    </row>
    <row r="1123" spans="39:39">
      <c r="AM1123" s="85"/>
    </row>
    <row r="1124" spans="39:39">
      <c r="AM1124" s="85"/>
    </row>
    <row r="1125" spans="39:39">
      <c r="AM1125" s="85"/>
    </row>
    <row r="1126" spans="39:39">
      <c r="AM1126" s="85"/>
    </row>
    <row r="1127" spans="39:39">
      <c r="AM1127" s="85"/>
    </row>
    <row r="1128" spans="39:39">
      <c r="AM1128" s="85"/>
    </row>
    <row r="1129" spans="39:39">
      <c r="AM1129" s="85"/>
    </row>
    <row r="1130" spans="39:39">
      <c r="AM1130" s="85"/>
    </row>
    <row r="1131" spans="39:39">
      <c r="AM1131" s="85"/>
    </row>
    <row r="1132" spans="39:39">
      <c r="AM1132" s="85"/>
    </row>
    <row r="1133" spans="39:39">
      <c r="AM1133" s="85"/>
    </row>
    <row r="1134" spans="39:39">
      <c r="AM1134" s="85"/>
    </row>
    <row r="1135" spans="39:39">
      <c r="AM1135" s="85"/>
    </row>
    <row r="1136" spans="39:39">
      <c r="AM1136" s="85"/>
    </row>
    <row r="1137" spans="39:39">
      <c r="AM1137" s="85"/>
    </row>
    <row r="1138" spans="39:39">
      <c r="AM1138" s="85"/>
    </row>
    <row r="1139" spans="39:39">
      <c r="AM1139" s="85"/>
    </row>
    <row r="1140" spans="39:39">
      <c r="AM1140" s="85"/>
    </row>
    <row r="1141" spans="39:39">
      <c r="AM1141" s="85"/>
    </row>
    <row r="1142" spans="39:39">
      <c r="AM1142" s="85"/>
    </row>
    <row r="1143" spans="39:39">
      <c r="AM1143" s="85"/>
    </row>
    <row r="1144" spans="39:39">
      <c r="AM1144" s="85"/>
    </row>
    <row r="1145" spans="39:39">
      <c r="AM1145" s="85"/>
    </row>
    <row r="1146" spans="39:39">
      <c r="AM1146" s="85"/>
    </row>
    <row r="1147" spans="39:39">
      <c r="AM1147" s="85"/>
    </row>
    <row r="1148" spans="39:39">
      <c r="AM1148" s="85"/>
    </row>
    <row r="1149" spans="39:39">
      <c r="AM1149" s="85"/>
    </row>
    <row r="1150" spans="39:39">
      <c r="AM1150" s="85"/>
    </row>
    <row r="1151" spans="39:39">
      <c r="AM1151" s="85"/>
    </row>
    <row r="1152" spans="39:39">
      <c r="AM1152" s="85"/>
    </row>
    <row r="1153" spans="39:39">
      <c r="AM1153" s="85"/>
    </row>
    <row r="1154" spans="39:39">
      <c r="AM1154" s="85"/>
    </row>
    <row r="1155" spans="39:39">
      <c r="AM1155" s="85"/>
    </row>
    <row r="1156" spans="39:39">
      <c r="AM1156" s="85"/>
    </row>
    <row r="1157" spans="39:39">
      <c r="AM1157" s="85"/>
    </row>
    <row r="1158" spans="39:39">
      <c r="AM1158" s="85"/>
    </row>
    <row r="1159" spans="39:39">
      <c r="AM1159" s="85"/>
    </row>
    <row r="1160" spans="39:39">
      <c r="AM1160" s="85"/>
    </row>
    <row r="1161" spans="39:39">
      <c r="AM1161" s="85"/>
    </row>
    <row r="1162" spans="39:39">
      <c r="AM1162" s="85"/>
    </row>
    <row r="1163" spans="39:39">
      <c r="AM1163" s="85"/>
    </row>
    <row r="1164" spans="39:39">
      <c r="AM1164" s="85"/>
    </row>
    <row r="1165" spans="39:39">
      <c r="AM1165" s="85"/>
    </row>
    <row r="1166" spans="39:39">
      <c r="AM1166" s="85"/>
    </row>
    <row r="1167" spans="39:39">
      <c r="AM1167" s="85"/>
    </row>
    <row r="1168" spans="39:39">
      <c r="AM1168" s="85"/>
    </row>
    <row r="1169" spans="39:39">
      <c r="AM1169" s="85"/>
    </row>
    <row r="1170" spans="39:39">
      <c r="AM1170" s="85"/>
    </row>
    <row r="1171" spans="39:39">
      <c r="AM1171" s="85"/>
    </row>
    <row r="1172" spans="39:39">
      <c r="AM1172" s="85"/>
    </row>
    <row r="1173" spans="39:39">
      <c r="AM1173" s="85"/>
    </row>
    <row r="1174" spans="39:39">
      <c r="AM1174" s="85"/>
    </row>
    <row r="1175" spans="39:39">
      <c r="AM1175" s="85"/>
    </row>
    <row r="1176" spans="39:39">
      <c r="AM1176" s="85"/>
    </row>
    <row r="1177" spans="39:39">
      <c r="AM1177" s="85"/>
    </row>
    <row r="1178" spans="39:39">
      <c r="AM1178" s="85"/>
    </row>
    <row r="1179" spans="39:39">
      <c r="AM1179" s="85"/>
    </row>
    <row r="1180" spans="39:39">
      <c r="AM1180" s="85"/>
    </row>
    <row r="1181" spans="39:39">
      <c r="AM1181" s="85"/>
    </row>
    <row r="1182" spans="39:39">
      <c r="AM1182" s="85"/>
    </row>
    <row r="1183" spans="39:39">
      <c r="AM1183" s="85"/>
    </row>
    <row r="1184" spans="39:39">
      <c r="AM1184" s="85"/>
    </row>
    <row r="1185" spans="39:39">
      <c r="AM1185" s="85"/>
    </row>
    <row r="1186" spans="39:39">
      <c r="AM1186" s="85"/>
    </row>
    <row r="1187" spans="39:39">
      <c r="AM1187" s="85"/>
    </row>
    <row r="1188" spans="39:39">
      <c r="AM1188" s="85"/>
    </row>
    <row r="1189" spans="39:39">
      <c r="AM1189" s="85"/>
    </row>
    <row r="1190" spans="39:39">
      <c r="AM1190" s="85"/>
    </row>
    <row r="1191" spans="39:39">
      <c r="AM1191" s="85"/>
    </row>
    <row r="1192" spans="39:39">
      <c r="AM1192" s="85"/>
    </row>
    <row r="1193" spans="39:39">
      <c r="AM1193" s="85"/>
    </row>
    <row r="1194" spans="39:39">
      <c r="AM1194" s="85"/>
    </row>
    <row r="1195" spans="39:39">
      <c r="AM1195" s="85"/>
    </row>
    <row r="1196" spans="39:39">
      <c r="AM1196" s="85"/>
    </row>
    <row r="1197" spans="39:39">
      <c r="AM1197" s="85"/>
    </row>
    <row r="1198" spans="39:39">
      <c r="AM1198" s="85"/>
    </row>
    <row r="1199" spans="39:39">
      <c r="AM1199" s="85"/>
    </row>
    <row r="1200" spans="39:39">
      <c r="AM1200" s="85"/>
    </row>
    <row r="1201" spans="39:39">
      <c r="AM1201" s="85"/>
    </row>
    <row r="1202" spans="39:39">
      <c r="AM1202" s="85"/>
    </row>
    <row r="1203" spans="39:39">
      <c r="AM1203" s="85"/>
    </row>
    <row r="1204" spans="39:39">
      <c r="AM1204" s="85"/>
    </row>
    <row r="1205" spans="39:39">
      <c r="AM1205" s="85"/>
    </row>
    <row r="1206" spans="39:39">
      <c r="AM1206" s="85"/>
    </row>
    <row r="1207" spans="39:39">
      <c r="AM1207" s="85"/>
    </row>
    <row r="1208" spans="39:39">
      <c r="AM1208" s="85"/>
    </row>
    <row r="1209" spans="39:39">
      <c r="AM1209" s="85"/>
    </row>
    <row r="1210" spans="39:39">
      <c r="AM1210" s="85"/>
    </row>
    <row r="1211" spans="39:39">
      <c r="AM1211" s="85"/>
    </row>
    <row r="1212" spans="39:39">
      <c r="AM1212" s="85"/>
    </row>
    <row r="1213" spans="39:39">
      <c r="AM1213" s="85"/>
    </row>
    <row r="1214" spans="39:39">
      <c r="AM1214" s="85"/>
    </row>
    <row r="1215" spans="39:39">
      <c r="AM1215" s="85"/>
    </row>
    <row r="1216" spans="39:39">
      <c r="AM1216" s="85"/>
    </row>
    <row r="1217" spans="39:39">
      <c r="AM1217" s="85"/>
    </row>
    <row r="1218" spans="39:39">
      <c r="AM1218" s="85"/>
    </row>
    <row r="1219" spans="39:39">
      <c r="AM1219" s="85"/>
    </row>
    <row r="1220" spans="39:39">
      <c r="AM1220" s="85"/>
    </row>
    <row r="1221" spans="39:39">
      <c r="AM1221" s="85"/>
    </row>
    <row r="1222" spans="39:39">
      <c r="AM1222" s="85"/>
    </row>
    <row r="1223" spans="39:39">
      <c r="AM1223" s="85"/>
    </row>
    <row r="1224" spans="39:39">
      <c r="AM1224" s="85"/>
    </row>
    <row r="1225" spans="39:39">
      <c r="AM1225" s="85"/>
    </row>
    <row r="1226" spans="39:39">
      <c r="AM1226" s="85"/>
    </row>
    <row r="1227" spans="39:39">
      <c r="AM1227" s="85"/>
    </row>
    <row r="1228" spans="39:39">
      <c r="AM1228" s="85"/>
    </row>
    <row r="1229" spans="39:39">
      <c r="AM1229" s="85"/>
    </row>
    <row r="1230" spans="39:39">
      <c r="AM1230" s="85"/>
    </row>
    <row r="1231" spans="39:39">
      <c r="AM1231" s="85"/>
    </row>
    <row r="1232" spans="39:39">
      <c r="AM1232" s="85"/>
    </row>
    <row r="1233" spans="39:39">
      <c r="AM1233" s="85"/>
    </row>
    <row r="1234" spans="39:39">
      <c r="AM1234" s="85"/>
    </row>
    <row r="1235" spans="39:39">
      <c r="AM1235" s="85"/>
    </row>
    <row r="1236" spans="39:39">
      <c r="AM1236" s="85"/>
    </row>
    <row r="1237" spans="39:39">
      <c r="AM1237" s="85"/>
    </row>
    <row r="1238" spans="39:39">
      <c r="AM1238" s="85"/>
    </row>
    <row r="1239" spans="39:39">
      <c r="AM1239" s="85"/>
    </row>
    <row r="1240" spans="39:39">
      <c r="AM1240" s="85"/>
    </row>
    <row r="1241" spans="39:39">
      <c r="AM1241" s="85"/>
    </row>
    <row r="1242" spans="39:39">
      <c r="AM1242" s="85"/>
    </row>
    <row r="1243" spans="39:39">
      <c r="AM1243" s="85"/>
    </row>
    <row r="1244" spans="39:39">
      <c r="AM1244" s="85"/>
    </row>
    <row r="1245" spans="39:39">
      <c r="AM1245" s="85"/>
    </row>
    <row r="1246" spans="39:39">
      <c r="AM1246" s="85"/>
    </row>
    <row r="1247" spans="39:39">
      <c r="AM1247" s="85"/>
    </row>
    <row r="1248" spans="39:39">
      <c r="AM1248" s="85"/>
    </row>
    <row r="1249" spans="39:39">
      <c r="AM1249" s="85"/>
    </row>
    <row r="1250" spans="39:39">
      <c r="AM1250" s="85"/>
    </row>
    <row r="1251" spans="39:39">
      <c r="AM1251" s="85"/>
    </row>
    <row r="1252" spans="39:39">
      <c r="AM1252" s="85"/>
    </row>
    <row r="1253" spans="39:39">
      <c r="AM1253" s="85"/>
    </row>
    <row r="1254" spans="39:39">
      <c r="AM1254" s="85"/>
    </row>
    <row r="1255" spans="39:39">
      <c r="AM1255" s="85"/>
    </row>
    <row r="1256" spans="39:39">
      <c r="AM1256" s="85"/>
    </row>
    <row r="1257" spans="39:39">
      <c r="AM1257" s="85"/>
    </row>
    <row r="1258" spans="39:39">
      <c r="AM1258" s="85"/>
    </row>
    <row r="1259" spans="39:39">
      <c r="AM1259" s="85"/>
    </row>
    <row r="1260" spans="39:39">
      <c r="AM1260" s="85"/>
    </row>
    <row r="1261" spans="39:39">
      <c r="AM1261" s="85"/>
    </row>
    <row r="1262" spans="39:39">
      <c r="AM1262" s="85"/>
    </row>
    <row r="1263" spans="39:39">
      <c r="AM1263" s="85"/>
    </row>
    <row r="1264" spans="39:39">
      <c r="AM1264" s="85"/>
    </row>
    <row r="1265" spans="39:39">
      <c r="AM1265" s="85"/>
    </row>
    <row r="1266" spans="39:39">
      <c r="AM1266" s="85"/>
    </row>
    <row r="1267" spans="39:39">
      <c r="AM1267" s="85"/>
    </row>
    <row r="1268" spans="39:39">
      <c r="AM1268" s="85"/>
    </row>
    <row r="1269" spans="39:39">
      <c r="AM1269" s="85"/>
    </row>
    <row r="1270" spans="39:39">
      <c r="AM1270" s="85"/>
    </row>
    <row r="1271" spans="39:39">
      <c r="AM1271" s="85"/>
    </row>
    <row r="1272" spans="39:39">
      <c r="AM1272" s="85"/>
    </row>
    <row r="1273" spans="39:39">
      <c r="AM1273" s="85"/>
    </row>
    <row r="1274" spans="39:39">
      <c r="AM1274" s="85"/>
    </row>
    <row r="1275" spans="39:39">
      <c r="AM1275" s="85"/>
    </row>
    <row r="1276" spans="39:39">
      <c r="AM1276" s="85"/>
    </row>
    <row r="1277" spans="39:39">
      <c r="AM1277" s="85"/>
    </row>
    <row r="1278" spans="39:39">
      <c r="AM1278" s="85"/>
    </row>
    <row r="1279" spans="39:39">
      <c r="AM1279" s="85"/>
    </row>
    <row r="1280" spans="39:39">
      <c r="AM1280" s="85"/>
    </row>
    <row r="1281" spans="39:39">
      <c r="AM1281" s="85"/>
    </row>
    <row r="1282" spans="39:39">
      <c r="AM1282" s="85"/>
    </row>
    <row r="1283" spans="39:39">
      <c r="AM1283" s="85"/>
    </row>
    <row r="1284" spans="39:39">
      <c r="AM1284" s="85"/>
    </row>
    <row r="1285" spans="39:39">
      <c r="AM1285" s="85"/>
    </row>
    <row r="1286" spans="39:39">
      <c r="AM1286" s="85"/>
    </row>
    <row r="1287" spans="39:39">
      <c r="AM1287" s="85"/>
    </row>
    <row r="1288" spans="39:39">
      <c r="AM1288" s="85"/>
    </row>
    <row r="1289" spans="39:39">
      <c r="AM1289" s="85"/>
    </row>
    <row r="1290" spans="39:39">
      <c r="AM1290" s="85"/>
    </row>
    <row r="1291" spans="39:39">
      <c r="AM1291" s="85"/>
    </row>
    <row r="1292" spans="39:39">
      <c r="AM1292" s="85"/>
    </row>
    <row r="1293" spans="39:39">
      <c r="AM1293" s="85"/>
    </row>
    <row r="1294" spans="39:39">
      <c r="AM1294" s="85"/>
    </row>
    <row r="1295" spans="39:39">
      <c r="AM1295" s="85"/>
    </row>
    <row r="1296" spans="39:39">
      <c r="AM1296" s="85"/>
    </row>
    <row r="1297" spans="39:39">
      <c r="AM1297" s="85"/>
    </row>
    <row r="1298" spans="39:39">
      <c r="AM1298" s="85"/>
    </row>
    <row r="1299" spans="39:39">
      <c r="AM1299" s="85"/>
    </row>
    <row r="1300" spans="39:39">
      <c r="AM1300" s="85"/>
    </row>
    <row r="1301" spans="39:39">
      <c r="AM1301" s="85"/>
    </row>
    <row r="1302" spans="39:39">
      <c r="AM1302" s="85"/>
    </row>
    <row r="1303" spans="39:39">
      <c r="AM1303" s="85"/>
    </row>
    <row r="1304" spans="39:39">
      <c r="AM1304" s="85"/>
    </row>
    <row r="1305" spans="39:39">
      <c r="AM1305" s="85"/>
    </row>
    <row r="1306" spans="39:39">
      <c r="AM1306" s="85"/>
    </row>
    <row r="1307" spans="39:39">
      <c r="AM1307" s="85"/>
    </row>
    <row r="1308" spans="39:39">
      <c r="AM1308" s="85"/>
    </row>
    <row r="1309" spans="39:39">
      <c r="AM1309" s="85"/>
    </row>
    <row r="1310" spans="39:39">
      <c r="AM1310" s="85"/>
    </row>
    <row r="1311" spans="39:39">
      <c r="AM1311" s="85"/>
    </row>
    <row r="1312" spans="39:39">
      <c r="AM1312" s="85"/>
    </row>
    <row r="1313" spans="39:39">
      <c r="AM1313" s="85"/>
    </row>
    <row r="1314" spans="39:39">
      <c r="AM1314" s="85"/>
    </row>
    <row r="1315" spans="39:39">
      <c r="AM1315" s="85"/>
    </row>
    <row r="1316" spans="39:39">
      <c r="AM1316" s="85"/>
    </row>
    <row r="1317" spans="39:39">
      <c r="AM1317" s="85"/>
    </row>
    <row r="1318" spans="39:39">
      <c r="AM1318" s="85"/>
    </row>
    <row r="1319" spans="39:39">
      <c r="AM1319" s="85"/>
    </row>
    <row r="1320" spans="39:39">
      <c r="AM1320" s="85"/>
    </row>
    <row r="1321" spans="39:39">
      <c r="AM1321" s="85"/>
    </row>
    <row r="1322" spans="39:39">
      <c r="AM1322" s="85"/>
    </row>
    <row r="1323" spans="39:39">
      <c r="AM1323" s="85"/>
    </row>
    <row r="1324" spans="39:39">
      <c r="AM1324" s="85"/>
    </row>
    <row r="1325" spans="39:39">
      <c r="AM1325" s="85"/>
    </row>
    <row r="1326" spans="39:39">
      <c r="AM1326" s="85"/>
    </row>
    <row r="1327" spans="39:39">
      <c r="AM1327" s="85"/>
    </row>
    <row r="1328" spans="39:39">
      <c r="AM1328" s="85"/>
    </row>
    <row r="1329" spans="39:39">
      <c r="AM1329" s="85"/>
    </row>
    <row r="1330" spans="39:39">
      <c r="AM1330" s="85"/>
    </row>
    <row r="1331" spans="39:39">
      <c r="AM1331" s="85"/>
    </row>
    <row r="1332" spans="39:39">
      <c r="AM1332" s="85"/>
    </row>
    <row r="1333" spans="39:39">
      <c r="AM1333" s="85"/>
    </row>
    <row r="1334" spans="39:39">
      <c r="AM1334" s="85"/>
    </row>
    <row r="1335" spans="39:39">
      <c r="AM1335" s="85"/>
    </row>
    <row r="1336" spans="39:39">
      <c r="AM1336" s="85"/>
    </row>
    <row r="1337" spans="39:39">
      <c r="AM1337" s="85"/>
    </row>
    <row r="1338" spans="39:39">
      <c r="AM1338" s="85"/>
    </row>
    <row r="1339" spans="39:39">
      <c r="AM1339" s="85"/>
    </row>
    <row r="1340" spans="39:39">
      <c r="AM1340" s="85"/>
    </row>
    <row r="1341" spans="39:39">
      <c r="AM1341" s="85"/>
    </row>
    <row r="1342" spans="39:39">
      <c r="AM1342" s="85"/>
    </row>
    <row r="1343" spans="39:39">
      <c r="AM1343" s="85"/>
    </row>
    <row r="1344" spans="39:39">
      <c r="AM1344" s="85"/>
    </row>
    <row r="1345" spans="39:39">
      <c r="AM1345" s="85"/>
    </row>
    <row r="1346" spans="39:39">
      <c r="AM1346" s="85"/>
    </row>
    <row r="1347" spans="39:39">
      <c r="AM1347" s="85"/>
    </row>
    <row r="1348" spans="39:39">
      <c r="AM1348" s="85"/>
    </row>
    <row r="1349" spans="39:39">
      <c r="AM1349" s="85"/>
    </row>
    <row r="1350" spans="39:39">
      <c r="AM1350" s="85"/>
    </row>
    <row r="1351" spans="39:39">
      <c r="AM1351" s="85"/>
    </row>
    <row r="1352" spans="39:39">
      <c r="AM1352" s="85"/>
    </row>
    <row r="1353" spans="39:39">
      <c r="AM1353" s="85"/>
    </row>
    <row r="1354" spans="39:39">
      <c r="AM1354" s="85"/>
    </row>
    <row r="1355" spans="39:39">
      <c r="AM1355" s="85"/>
    </row>
    <row r="1356" spans="39:39">
      <c r="AM1356" s="85"/>
    </row>
    <row r="1357" spans="39:39">
      <c r="AM1357" s="85"/>
    </row>
    <row r="1358" spans="39:39">
      <c r="AM1358" s="85"/>
    </row>
    <row r="1359" spans="39:39">
      <c r="AM1359" s="85"/>
    </row>
    <row r="1360" spans="39:39">
      <c r="AM1360" s="85"/>
    </row>
    <row r="1361" spans="39:39">
      <c r="AM1361" s="85"/>
    </row>
    <row r="1362" spans="39:39">
      <c r="AM1362" s="85"/>
    </row>
    <row r="1363" spans="39:39">
      <c r="AM1363" s="85"/>
    </row>
    <row r="1364" spans="39:39">
      <c r="AM1364" s="85"/>
    </row>
    <row r="1365" spans="39:39">
      <c r="AM1365" s="85"/>
    </row>
    <row r="1366" spans="39:39">
      <c r="AM1366" s="85"/>
    </row>
    <row r="1367" spans="39:39">
      <c r="AM1367" s="85"/>
    </row>
    <row r="1368" spans="39:39">
      <c r="AM1368" s="85"/>
    </row>
    <row r="1369" spans="39:39">
      <c r="AM1369" s="85"/>
    </row>
    <row r="1370" spans="39:39">
      <c r="AM1370" s="85"/>
    </row>
    <row r="1371" spans="39:39">
      <c r="AM1371" s="85"/>
    </row>
    <row r="1372" spans="39:39">
      <c r="AM1372" s="85"/>
    </row>
    <row r="1373" spans="39:39">
      <c r="AM1373" s="85"/>
    </row>
    <row r="1374" spans="39:39">
      <c r="AM1374" s="85"/>
    </row>
    <row r="1375" spans="39:39">
      <c r="AM1375" s="85"/>
    </row>
    <row r="1376" spans="39:39">
      <c r="AM1376" s="85"/>
    </row>
    <row r="1377" spans="39:39">
      <c r="AM1377" s="85"/>
    </row>
    <row r="1378" spans="39:39">
      <c r="AM1378" s="85"/>
    </row>
    <row r="1379" spans="39:39">
      <c r="AM1379" s="85"/>
    </row>
    <row r="1380" spans="39:39">
      <c r="AM1380" s="85"/>
    </row>
    <row r="1381" spans="39:39">
      <c r="AM1381" s="85"/>
    </row>
    <row r="1382" spans="39:39">
      <c r="AM1382" s="85"/>
    </row>
    <row r="1383" spans="39:39">
      <c r="AM1383" s="85"/>
    </row>
    <row r="1384" spans="39:39">
      <c r="AM1384" s="85"/>
    </row>
    <row r="1385" spans="39:39">
      <c r="AM1385" s="85"/>
    </row>
    <row r="1386" spans="39:39">
      <c r="AM1386" s="85"/>
    </row>
    <row r="1387" spans="39:39">
      <c r="AM1387" s="85"/>
    </row>
    <row r="1388" spans="39:39">
      <c r="AM1388" s="85"/>
    </row>
    <row r="1389" spans="39:39">
      <c r="AM1389" s="85"/>
    </row>
    <row r="1390" spans="39:39">
      <c r="AM1390" s="85"/>
    </row>
    <row r="1391" spans="39:39">
      <c r="AM1391" s="85"/>
    </row>
    <row r="1392" spans="39:39">
      <c r="AM1392" s="85"/>
    </row>
    <row r="1393" spans="39:39">
      <c r="AM1393" s="85"/>
    </row>
    <row r="1394" spans="39:39">
      <c r="AM1394" s="85"/>
    </row>
    <row r="1395" spans="39:39">
      <c r="AM1395" s="85"/>
    </row>
    <row r="1396" spans="39:39">
      <c r="AM1396" s="85"/>
    </row>
    <row r="1397" spans="39:39">
      <c r="AM1397" s="85"/>
    </row>
    <row r="1398" spans="39:39">
      <c r="AM1398" s="85"/>
    </row>
    <row r="1399" spans="39:39">
      <c r="AM1399" s="85"/>
    </row>
    <row r="1400" spans="39:39">
      <c r="AM1400" s="85"/>
    </row>
    <row r="1401" spans="39:39">
      <c r="AM1401" s="85"/>
    </row>
    <row r="1402" spans="39:39">
      <c r="AM1402" s="85"/>
    </row>
    <row r="1403" spans="39:39">
      <c r="AM1403" s="85"/>
    </row>
    <row r="1404" spans="39:39">
      <c r="AM1404" s="85"/>
    </row>
    <row r="1405" spans="39:39">
      <c r="AM1405" s="85"/>
    </row>
    <row r="1406" spans="39:39">
      <c r="AM1406" s="85"/>
    </row>
    <row r="1407" spans="39:39">
      <c r="AM1407" s="85"/>
    </row>
    <row r="1408" spans="39:39">
      <c r="AM1408" s="85"/>
    </row>
    <row r="1409" spans="39:39">
      <c r="AM1409" s="85"/>
    </row>
    <row r="1410" spans="39:39">
      <c r="AM1410" s="85"/>
    </row>
    <row r="1411" spans="39:39">
      <c r="AM1411" s="85"/>
    </row>
    <row r="1412" spans="39:39">
      <c r="AM1412" s="85"/>
    </row>
    <row r="1413" spans="39:39">
      <c r="AM1413" s="85"/>
    </row>
    <row r="1414" spans="39:39">
      <c r="AM1414" s="85"/>
    </row>
    <row r="1415" spans="39:39">
      <c r="AM1415" s="85"/>
    </row>
    <row r="1416" spans="39:39">
      <c r="AM1416" s="85"/>
    </row>
    <row r="1417" spans="39:39">
      <c r="AM1417" s="85"/>
    </row>
    <row r="1418" spans="39:39">
      <c r="AM1418" s="85"/>
    </row>
    <row r="1419" spans="39:39">
      <c r="AM1419" s="85"/>
    </row>
    <row r="1420" spans="39:39">
      <c r="AM1420" s="85"/>
    </row>
    <row r="1421" spans="39:39">
      <c r="AM1421" s="85"/>
    </row>
    <row r="1422" spans="39:39">
      <c r="AM1422" s="85"/>
    </row>
    <row r="1423" spans="39:39">
      <c r="AM1423" s="85"/>
    </row>
    <row r="1424" spans="39:39">
      <c r="AM1424" s="85"/>
    </row>
    <row r="1425" spans="39:39">
      <c r="AM1425" s="85"/>
    </row>
    <row r="1426" spans="39:39">
      <c r="AM1426" s="85"/>
    </row>
    <row r="1427" spans="39:39">
      <c r="AM1427" s="85"/>
    </row>
    <row r="1428" spans="39:39">
      <c r="AM1428" s="85"/>
    </row>
    <row r="1429" spans="39:39">
      <c r="AM1429" s="85"/>
    </row>
    <row r="1430" spans="39:39">
      <c r="AM1430" s="85"/>
    </row>
    <row r="1431" spans="39:39">
      <c r="AM1431" s="85"/>
    </row>
    <row r="1432" spans="39:39">
      <c r="AM1432" s="85"/>
    </row>
    <row r="1433" spans="39:39">
      <c r="AM1433" s="85"/>
    </row>
    <row r="1434" spans="39:39">
      <c r="AM1434" s="85"/>
    </row>
    <row r="1435" spans="39:39">
      <c r="AM1435" s="85"/>
    </row>
    <row r="1436" spans="39:39">
      <c r="AM1436" s="85"/>
    </row>
    <row r="1437" spans="39:39">
      <c r="AM1437" s="85"/>
    </row>
    <row r="1438" spans="39:39">
      <c r="AM1438" s="85"/>
    </row>
    <row r="1439" spans="39:39">
      <c r="AM1439" s="85"/>
    </row>
    <row r="1440" spans="39:39">
      <c r="AM1440" s="85"/>
    </row>
    <row r="1441" spans="39:39">
      <c r="AM1441" s="85"/>
    </row>
    <row r="1442" spans="39:39">
      <c r="AM1442" s="85"/>
    </row>
    <row r="1443" spans="39:39">
      <c r="AM1443" s="85"/>
    </row>
    <row r="1444" spans="39:39">
      <c r="AM1444" s="85"/>
    </row>
    <row r="1445" spans="39:39">
      <c r="AM1445" s="85"/>
    </row>
    <row r="1446" spans="39:39">
      <c r="AM1446" s="85"/>
    </row>
    <row r="1447" spans="39:39">
      <c r="AM1447" s="85"/>
    </row>
    <row r="1448" spans="39:39">
      <c r="AM1448" s="85"/>
    </row>
    <row r="1449" spans="39:39">
      <c r="AM1449" s="85"/>
    </row>
    <row r="1450" spans="39:39">
      <c r="AM1450" s="85"/>
    </row>
    <row r="1451" spans="39:39">
      <c r="AM1451" s="85"/>
    </row>
    <row r="1452" spans="39:39">
      <c r="AM1452" s="85"/>
    </row>
    <row r="1453" spans="39:39">
      <c r="AM1453" s="85"/>
    </row>
    <row r="1454" spans="39:39">
      <c r="AM1454" s="85"/>
    </row>
    <row r="1455" spans="39:39">
      <c r="AM1455" s="85"/>
    </row>
    <row r="1456" spans="39:39">
      <c r="AM1456" s="85"/>
    </row>
    <row r="1457" spans="39:39">
      <c r="AM1457" s="85"/>
    </row>
    <row r="1458" spans="39:39">
      <c r="AM1458" s="85"/>
    </row>
    <row r="1459" spans="39:39">
      <c r="AM1459" s="85"/>
    </row>
    <row r="1460" spans="39:39">
      <c r="AM1460" s="85"/>
    </row>
    <row r="1461" spans="39:39">
      <c r="AM1461" s="85"/>
    </row>
    <row r="1462" spans="39:39">
      <c r="AM1462" s="85"/>
    </row>
    <row r="1463" spans="39:39">
      <c r="AM1463" s="85"/>
    </row>
    <row r="1464" spans="39:39">
      <c r="AM1464" s="85"/>
    </row>
    <row r="1465" spans="39:39">
      <c r="AM1465" s="85"/>
    </row>
    <row r="1466" spans="39:39">
      <c r="AM1466" s="85"/>
    </row>
    <row r="1467" spans="39:39">
      <c r="AM1467" s="85"/>
    </row>
    <row r="1468" spans="39:39">
      <c r="AM1468" s="85"/>
    </row>
    <row r="1469" spans="39:39">
      <c r="AM1469" s="85"/>
    </row>
    <row r="1470" spans="39:39">
      <c r="AM1470" s="85"/>
    </row>
    <row r="1471" spans="39:39">
      <c r="AM1471" s="85"/>
    </row>
    <row r="1472" spans="39:39">
      <c r="AM1472" s="85"/>
    </row>
    <row r="1473" spans="39:39">
      <c r="AM1473" s="85"/>
    </row>
    <row r="1474" spans="39:39">
      <c r="AM1474" s="85"/>
    </row>
    <row r="1475" spans="39:39">
      <c r="AM1475" s="85"/>
    </row>
    <row r="1476" spans="39:39">
      <c r="AM1476" s="85"/>
    </row>
    <row r="1477" spans="39:39">
      <c r="AM1477" s="85"/>
    </row>
    <row r="1478" spans="39:39">
      <c r="AM1478" s="85"/>
    </row>
    <row r="1479" spans="39:39">
      <c r="AM1479" s="85"/>
    </row>
    <row r="1480" spans="39:39">
      <c r="AM1480" s="85"/>
    </row>
    <row r="1481" spans="39:39">
      <c r="AM1481" s="85"/>
    </row>
    <row r="1482" spans="39:39">
      <c r="AM1482" s="85"/>
    </row>
    <row r="1483" spans="39:39">
      <c r="AM1483" s="85"/>
    </row>
    <row r="1484" spans="39:39">
      <c r="AM1484" s="85"/>
    </row>
    <row r="1485" spans="39:39">
      <c r="AM1485" s="85"/>
    </row>
    <row r="1486" spans="39:39">
      <c r="AM1486" s="85"/>
    </row>
    <row r="1487" spans="39:39">
      <c r="AM1487" s="85"/>
    </row>
    <row r="1488" spans="39:39">
      <c r="AM1488" s="85"/>
    </row>
    <row r="1489" spans="39:39">
      <c r="AM1489" s="85"/>
    </row>
    <row r="1490" spans="39:39">
      <c r="AM1490" s="85"/>
    </row>
    <row r="1491" spans="39:39">
      <c r="AM1491" s="85"/>
    </row>
    <row r="1492" spans="39:39">
      <c r="AM1492" s="85"/>
    </row>
    <row r="1493" spans="39:39">
      <c r="AM1493" s="85"/>
    </row>
    <row r="1494" spans="39:39">
      <c r="AM1494" s="85"/>
    </row>
    <row r="1495" spans="39:39">
      <c r="AM1495" s="85"/>
    </row>
    <row r="1496" spans="39:39">
      <c r="AM1496" s="85"/>
    </row>
    <row r="1497" spans="39:39">
      <c r="AM1497" s="85"/>
    </row>
    <row r="1498" spans="39:39">
      <c r="AM1498" s="85"/>
    </row>
    <row r="1499" spans="39:39">
      <c r="AM1499" s="85"/>
    </row>
    <row r="1500" spans="39:39">
      <c r="AM1500" s="85"/>
    </row>
    <row r="1501" spans="39:39">
      <c r="AM1501" s="85"/>
    </row>
    <row r="1502" spans="39:39">
      <c r="AM1502" s="85"/>
    </row>
    <row r="1503" spans="39:39">
      <c r="AM1503" s="85"/>
    </row>
    <row r="1504" spans="39:39">
      <c r="AM1504" s="85"/>
    </row>
    <row r="1505" spans="39:39">
      <c r="AM1505" s="85"/>
    </row>
    <row r="1506" spans="39:39">
      <c r="AM1506" s="85"/>
    </row>
    <row r="1507" spans="39:39">
      <c r="AM1507" s="85"/>
    </row>
    <row r="1508" spans="39:39">
      <c r="AM1508" s="85"/>
    </row>
    <row r="1509" spans="39:39">
      <c r="AM1509" s="85"/>
    </row>
    <row r="1510" spans="39:39">
      <c r="AM1510" s="85"/>
    </row>
    <row r="1511" spans="39:39">
      <c r="AM1511" s="85"/>
    </row>
    <row r="1512" spans="39:39">
      <c r="AM1512" s="85"/>
    </row>
    <row r="1513" spans="39:39">
      <c r="AM1513" s="85"/>
    </row>
    <row r="1514" spans="39:39">
      <c r="AM1514" s="85"/>
    </row>
    <row r="1515" spans="39:39">
      <c r="AM1515" s="85"/>
    </row>
    <row r="1516" spans="39:39">
      <c r="AM1516" s="85"/>
    </row>
    <row r="1517" spans="39:39">
      <c r="AM1517" s="85"/>
    </row>
    <row r="1518" spans="39:39">
      <c r="AM1518" s="85"/>
    </row>
    <row r="1519" spans="39:39">
      <c r="AM1519" s="85"/>
    </row>
    <row r="1520" spans="39:39">
      <c r="AM1520" s="85"/>
    </row>
    <row r="1521" spans="39:39">
      <c r="AM1521" s="85"/>
    </row>
    <row r="1522" spans="39:39">
      <c r="AM1522" s="85"/>
    </row>
    <row r="1523" spans="39:39">
      <c r="AM1523" s="85"/>
    </row>
    <row r="1524" spans="39:39">
      <c r="AM1524" s="85"/>
    </row>
    <row r="1525" spans="39:39">
      <c r="AM1525" s="85"/>
    </row>
    <row r="1526" spans="39:39">
      <c r="AM1526" s="85"/>
    </row>
    <row r="1527" spans="39:39">
      <c r="AM1527" s="85"/>
    </row>
    <row r="1528" spans="39:39">
      <c r="AM1528" s="85"/>
    </row>
    <row r="1529" spans="39:39">
      <c r="AM1529" s="85"/>
    </row>
    <row r="1530" spans="39:39">
      <c r="AM1530" s="85"/>
    </row>
    <row r="1531" spans="39:39">
      <c r="AM1531" s="85"/>
    </row>
    <row r="1532" spans="39:39">
      <c r="AM1532" s="85"/>
    </row>
    <row r="1533" spans="39:39">
      <c r="AM1533" s="85"/>
    </row>
    <row r="1534" spans="39:39">
      <c r="AM1534" s="85"/>
    </row>
    <row r="1535" spans="39:39">
      <c r="AM1535" s="85"/>
    </row>
    <row r="1536" spans="39:39">
      <c r="AM1536" s="85"/>
    </row>
    <row r="1537" spans="39:39">
      <c r="AM1537" s="85"/>
    </row>
    <row r="1538" spans="39:39">
      <c r="AM1538" s="85"/>
    </row>
    <row r="1539" spans="39:39">
      <c r="AM1539" s="85"/>
    </row>
    <row r="1540" spans="39:39">
      <c r="AM1540" s="85"/>
    </row>
    <row r="1541" spans="39:39">
      <c r="AM1541" s="85"/>
    </row>
    <row r="1542" spans="39:39">
      <c r="AM1542" s="85"/>
    </row>
    <row r="1543" spans="39:39">
      <c r="AM1543" s="85"/>
    </row>
    <row r="1544" spans="39:39">
      <c r="AM1544" s="85"/>
    </row>
    <row r="1545" spans="39:39">
      <c r="AM1545" s="85"/>
    </row>
    <row r="1546" spans="39:39">
      <c r="AM1546" s="85"/>
    </row>
    <row r="1547" spans="39:39">
      <c r="AM1547" s="85"/>
    </row>
    <row r="1548" spans="39:39">
      <c r="AM1548" s="85"/>
    </row>
    <row r="1549" spans="39:39">
      <c r="AM1549" s="85"/>
    </row>
    <row r="1550" spans="39:39">
      <c r="AM1550" s="85"/>
    </row>
    <row r="1551" spans="39:39">
      <c r="AM1551" s="85"/>
    </row>
    <row r="1552" spans="39:39">
      <c r="AM1552" s="85"/>
    </row>
    <row r="1553" spans="39:39">
      <c r="AM1553" s="85"/>
    </row>
    <row r="1554" spans="39:39">
      <c r="AM1554" s="85"/>
    </row>
    <row r="1555" spans="39:39">
      <c r="AM1555" s="85"/>
    </row>
    <row r="1556" spans="39:39">
      <c r="AM1556" s="85"/>
    </row>
    <row r="1557" spans="39:39">
      <c r="AM1557" s="85"/>
    </row>
    <row r="1558" spans="39:39">
      <c r="AM1558" s="85"/>
    </row>
    <row r="1559" spans="39:39">
      <c r="AM1559" s="85"/>
    </row>
    <row r="1560" spans="39:39">
      <c r="AM1560" s="85"/>
    </row>
    <row r="1561" spans="39:39">
      <c r="AM1561" s="85"/>
    </row>
    <row r="1562" spans="39:39">
      <c r="AM1562" s="85"/>
    </row>
    <row r="1563" spans="39:39">
      <c r="AM1563" s="85"/>
    </row>
    <row r="1564" spans="39:39">
      <c r="AM1564" s="85"/>
    </row>
    <row r="1565" spans="39:39">
      <c r="AM1565" s="85"/>
    </row>
    <row r="1566" spans="39:39">
      <c r="AM1566" s="85"/>
    </row>
    <row r="1567" spans="39:39">
      <c r="AM1567" s="85"/>
    </row>
    <row r="1568" spans="39:39">
      <c r="AM1568" s="85"/>
    </row>
    <row r="1569" spans="39:39">
      <c r="AM1569" s="85"/>
    </row>
    <row r="1570" spans="39:39">
      <c r="AM1570" s="85"/>
    </row>
    <row r="1571" spans="39:39">
      <c r="AM1571" s="85"/>
    </row>
    <row r="1572" spans="39:39">
      <c r="AM1572" s="85"/>
    </row>
    <row r="1573" spans="39:39">
      <c r="AM1573" s="85"/>
    </row>
    <row r="1574" spans="39:39">
      <c r="AM1574" s="85"/>
    </row>
    <row r="1575" spans="39:39">
      <c r="AM1575" s="85"/>
    </row>
    <row r="1576" spans="39:39">
      <c r="AM1576" s="85"/>
    </row>
    <row r="1577" spans="39:39">
      <c r="AM1577" s="85"/>
    </row>
    <row r="1578" spans="39:39">
      <c r="AM1578" s="85"/>
    </row>
    <row r="1579" spans="39:39">
      <c r="AM1579" s="85"/>
    </row>
    <row r="1580" spans="39:39">
      <c r="AM1580" s="85"/>
    </row>
    <row r="1581" spans="39:39">
      <c r="AM1581" s="85"/>
    </row>
    <row r="1582" spans="39:39">
      <c r="AM1582" s="85"/>
    </row>
    <row r="1583" spans="39:39">
      <c r="AM1583" s="85"/>
    </row>
    <row r="1584" spans="39:39">
      <c r="AM1584" s="85"/>
    </row>
    <row r="1585" spans="39:39">
      <c r="AM1585" s="85"/>
    </row>
    <row r="1586" spans="39:39">
      <c r="AM1586" s="85"/>
    </row>
    <row r="1587" spans="39:39">
      <c r="AM1587" s="85"/>
    </row>
    <row r="1588" spans="39:39">
      <c r="AM1588" s="85"/>
    </row>
    <row r="1589" spans="39:39">
      <c r="AM1589" s="85"/>
    </row>
    <row r="1590" spans="39:39">
      <c r="AM1590" s="85"/>
    </row>
    <row r="1591" spans="39:39">
      <c r="AM1591" s="85"/>
    </row>
    <row r="1592" spans="39:39">
      <c r="AM1592" s="85"/>
    </row>
    <row r="1593" spans="39:39">
      <c r="AM1593" s="85"/>
    </row>
    <row r="1594" spans="39:39">
      <c r="AM1594" s="85"/>
    </row>
    <row r="1595" spans="39:39">
      <c r="AM1595" s="85"/>
    </row>
    <row r="1596" spans="39:39">
      <c r="AM1596" s="85"/>
    </row>
    <row r="1597" spans="39:39">
      <c r="AM1597" s="85"/>
    </row>
    <row r="1598" spans="39:39">
      <c r="AM1598" s="85"/>
    </row>
    <row r="1599" spans="39:39">
      <c r="AM1599" s="85"/>
    </row>
    <row r="1600" spans="39:39">
      <c r="AM1600" s="85"/>
    </row>
    <row r="1601" spans="39:39">
      <c r="AM1601" s="85"/>
    </row>
    <row r="1602" spans="39:39">
      <c r="AM1602" s="85"/>
    </row>
    <row r="1603" spans="39:39">
      <c r="AM1603" s="85"/>
    </row>
    <row r="1604" spans="39:39">
      <c r="AM1604" s="85"/>
    </row>
    <row r="1605" spans="39:39">
      <c r="AM1605" s="85"/>
    </row>
    <row r="1606" spans="39:39">
      <c r="AM1606" s="85"/>
    </row>
    <row r="1607" spans="39:39">
      <c r="AM1607" s="85"/>
    </row>
    <row r="1608" spans="39:39">
      <c r="AM1608" s="85"/>
    </row>
    <row r="1609" spans="39:39">
      <c r="AM1609" s="85"/>
    </row>
    <row r="1610" spans="39:39">
      <c r="AM1610" s="85"/>
    </row>
    <row r="1611" spans="39:39">
      <c r="AM1611" s="85"/>
    </row>
    <row r="1612" spans="39:39">
      <c r="AM1612" s="85"/>
    </row>
    <row r="1613" spans="39:39">
      <c r="AM1613" s="85"/>
    </row>
    <row r="1614" spans="39:39">
      <c r="AM1614" s="85"/>
    </row>
    <row r="1615" spans="39:39">
      <c r="AM1615" s="85"/>
    </row>
    <row r="1616" spans="39:39">
      <c r="AM1616" s="85"/>
    </row>
    <row r="1617" spans="39:39">
      <c r="AM1617" s="85"/>
    </row>
    <row r="1618" spans="39:39">
      <c r="AM1618" s="85"/>
    </row>
    <row r="1619" spans="39:39">
      <c r="AM1619" s="85"/>
    </row>
    <row r="1620" spans="39:39">
      <c r="AM1620" s="85"/>
    </row>
    <row r="1621" spans="39:39">
      <c r="AM1621" s="85"/>
    </row>
    <row r="1622" spans="39:39">
      <c r="AM1622" s="85"/>
    </row>
    <row r="1623" spans="39:39">
      <c r="AM1623" s="85"/>
    </row>
    <row r="1624" spans="39:39">
      <c r="AM1624" s="85"/>
    </row>
    <row r="1625" spans="39:39">
      <c r="AM1625" s="85"/>
    </row>
    <row r="1626" spans="39:39">
      <c r="AM1626" s="85"/>
    </row>
    <row r="1627" spans="39:39">
      <c r="AM1627" s="85"/>
    </row>
    <row r="1628" spans="39:39">
      <c r="AM1628" s="85"/>
    </row>
    <row r="1629" spans="39:39">
      <c r="AM1629" s="85"/>
    </row>
    <row r="1630" spans="39:39">
      <c r="AM1630" s="85"/>
    </row>
    <row r="1631" spans="39:39">
      <c r="AM1631" s="85"/>
    </row>
    <row r="1632" spans="39:39">
      <c r="AM1632" s="85"/>
    </row>
    <row r="1633" spans="39:39">
      <c r="AM1633" s="85"/>
    </row>
    <row r="1634" spans="39:39">
      <c r="AM1634" s="85"/>
    </row>
    <row r="1635" spans="39:39">
      <c r="AM1635" s="85"/>
    </row>
    <row r="1636" spans="39:39">
      <c r="AM1636" s="85"/>
    </row>
    <row r="1637" spans="39:39">
      <c r="AM1637" s="85"/>
    </row>
    <row r="1638" spans="39:39">
      <c r="AM1638" s="85"/>
    </row>
    <row r="1639" spans="39:39">
      <c r="AM1639" s="85"/>
    </row>
    <row r="1640" spans="39:39">
      <c r="AM1640" s="85"/>
    </row>
    <row r="1641" spans="39:39">
      <c r="AM1641" s="85"/>
    </row>
    <row r="1642" spans="39:39">
      <c r="AM1642" s="85"/>
    </row>
    <row r="1643" spans="39:39">
      <c r="AM1643" s="85"/>
    </row>
    <row r="1644" spans="39:39">
      <c r="AM1644" s="85"/>
    </row>
    <row r="1645" spans="39:39">
      <c r="AM1645" s="85"/>
    </row>
    <row r="1646" spans="39:39">
      <c r="AM1646" s="85"/>
    </row>
    <row r="1647" spans="39:39">
      <c r="AM1647" s="85"/>
    </row>
    <row r="1648" spans="39:39">
      <c r="AM1648" s="85"/>
    </row>
    <row r="1649" spans="39:39">
      <c r="AM1649" s="85"/>
    </row>
    <row r="1650" spans="39:39">
      <c r="AM1650" s="85"/>
    </row>
    <row r="1651" spans="39:39">
      <c r="AM1651" s="85"/>
    </row>
    <row r="1652" spans="39:39">
      <c r="AM1652" s="85"/>
    </row>
    <row r="1653" spans="39:39">
      <c r="AM1653" s="85"/>
    </row>
    <row r="1654" spans="39:39">
      <c r="AM1654" s="85"/>
    </row>
    <row r="1655" spans="39:39">
      <c r="AM1655" s="85"/>
    </row>
    <row r="1656" spans="39:39">
      <c r="AM1656" s="85"/>
    </row>
    <row r="1657" spans="39:39">
      <c r="AM1657" s="85"/>
    </row>
    <row r="1658" spans="39:39">
      <c r="AM1658" s="85"/>
    </row>
    <row r="1659" spans="39:39">
      <c r="AM1659" s="85"/>
    </row>
    <row r="1660" spans="39:39">
      <c r="AM1660" s="85"/>
    </row>
    <row r="1661" spans="39:39">
      <c r="AM1661" s="85"/>
    </row>
    <row r="1662" spans="39:39">
      <c r="AM1662" s="85"/>
    </row>
    <row r="1663" spans="39:39">
      <c r="AM1663" s="85"/>
    </row>
    <row r="1664" spans="39:39">
      <c r="AM1664" s="85"/>
    </row>
    <row r="1665" spans="39:39">
      <c r="AM1665" s="85"/>
    </row>
    <row r="1666" spans="39:39">
      <c r="AM1666" s="85"/>
    </row>
    <row r="1667" spans="39:39">
      <c r="AM1667" s="85"/>
    </row>
    <row r="1668" spans="39:39">
      <c r="AM1668" s="85"/>
    </row>
    <row r="1669" spans="39:39">
      <c r="AM1669" s="85"/>
    </row>
    <row r="1670" spans="39:39">
      <c r="AM1670" s="85"/>
    </row>
    <row r="1671" spans="39:39">
      <c r="AM1671" s="85"/>
    </row>
    <row r="1672" spans="39:39">
      <c r="AM1672" s="85"/>
    </row>
    <row r="1673" spans="39:39">
      <c r="AM1673" s="85"/>
    </row>
    <row r="1674" spans="39:39">
      <c r="AM1674" s="85"/>
    </row>
    <row r="1675" spans="39:39">
      <c r="AM1675" s="85"/>
    </row>
    <row r="1676" spans="39:39">
      <c r="AM1676" s="85"/>
    </row>
    <row r="1677" spans="39:39">
      <c r="AM1677" s="85"/>
    </row>
    <row r="1678" spans="39:39">
      <c r="AM1678" s="85"/>
    </row>
    <row r="1679" spans="39:39">
      <c r="AM1679" s="85"/>
    </row>
    <row r="1680" spans="39:39">
      <c r="AM1680" s="85"/>
    </row>
    <row r="1681" spans="39:39">
      <c r="AM1681" s="85"/>
    </row>
    <row r="1682" spans="39:39">
      <c r="AM1682" s="85"/>
    </row>
    <row r="1683" spans="39:39">
      <c r="AM1683" s="85"/>
    </row>
    <row r="1684" spans="39:39">
      <c r="AM1684" s="85"/>
    </row>
    <row r="1685" spans="39:39">
      <c r="AM1685" s="85"/>
    </row>
    <row r="1686" spans="39:39">
      <c r="AM1686" s="85"/>
    </row>
    <row r="1687" spans="39:39">
      <c r="AM1687" s="85"/>
    </row>
    <row r="1688" spans="39:39">
      <c r="AM1688" s="85"/>
    </row>
    <row r="1689" spans="39:39">
      <c r="AM1689" s="85"/>
    </row>
    <row r="1690" spans="39:39">
      <c r="AM1690" s="85"/>
    </row>
    <row r="1691" spans="39:39">
      <c r="AM1691" s="85"/>
    </row>
    <row r="1692" spans="39:39">
      <c r="AM1692" s="85"/>
    </row>
    <row r="1693" spans="39:39">
      <c r="AM1693" s="85"/>
    </row>
    <row r="1694" spans="39:39">
      <c r="AM1694" s="85"/>
    </row>
    <row r="1695" spans="39:39">
      <c r="AM1695" s="85"/>
    </row>
    <row r="1696" spans="39:39">
      <c r="AM1696" s="85"/>
    </row>
    <row r="1697" spans="39:39">
      <c r="AM1697" s="85"/>
    </row>
    <row r="1698" spans="39:39">
      <c r="AM1698" s="85"/>
    </row>
    <row r="1699" spans="39:39">
      <c r="AM1699" s="85"/>
    </row>
    <row r="1700" spans="39:39">
      <c r="AM1700" s="85"/>
    </row>
    <row r="1701" spans="39:39">
      <c r="AM1701" s="85"/>
    </row>
    <row r="1702" spans="39:39">
      <c r="AM1702" s="85"/>
    </row>
    <row r="1703" spans="39:39">
      <c r="AM1703" s="85"/>
    </row>
    <row r="1704" spans="39:39">
      <c r="AM1704" s="85"/>
    </row>
    <row r="1705" spans="39:39">
      <c r="AM1705" s="85"/>
    </row>
    <row r="1706" spans="39:39">
      <c r="AM1706" s="85"/>
    </row>
    <row r="1707" spans="39:39">
      <c r="AM1707" s="85"/>
    </row>
    <row r="1708" spans="39:39">
      <c r="AM1708" s="85"/>
    </row>
    <row r="1709" spans="39:39">
      <c r="AM1709" s="85"/>
    </row>
    <row r="1710" spans="39:39">
      <c r="AM1710" s="85"/>
    </row>
    <row r="1711" spans="39:39">
      <c r="AM1711" s="85"/>
    </row>
    <row r="1712" spans="39:39">
      <c r="AM1712" s="85"/>
    </row>
    <row r="1713" spans="39:39">
      <c r="AM1713" s="85"/>
    </row>
    <row r="1714" spans="39:39">
      <c r="AM1714" s="85"/>
    </row>
    <row r="1715" spans="39:39">
      <c r="AM1715" s="85"/>
    </row>
    <row r="1716" spans="39:39">
      <c r="AM1716" s="85"/>
    </row>
    <row r="1717" spans="39:39">
      <c r="AM1717" s="85"/>
    </row>
    <row r="1718" spans="39:39">
      <c r="AM1718" s="85"/>
    </row>
    <row r="1719" spans="39:39">
      <c r="AM1719" s="85"/>
    </row>
    <row r="1720" spans="39:39">
      <c r="AM1720" s="85"/>
    </row>
    <row r="1721" spans="39:39">
      <c r="AM1721" s="85"/>
    </row>
    <row r="1722" spans="39:39">
      <c r="AM1722" s="85"/>
    </row>
    <row r="1723" spans="39:39">
      <c r="AM1723" s="85"/>
    </row>
    <row r="1724" spans="39:39">
      <c r="AM1724" s="85"/>
    </row>
    <row r="1725" spans="39:39">
      <c r="AM1725" s="85"/>
    </row>
    <row r="1726" spans="39:39">
      <c r="AM1726" s="85"/>
    </row>
    <row r="1727" spans="39:39">
      <c r="AM1727" s="85"/>
    </row>
    <row r="1728" spans="39:39">
      <c r="AM1728" s="85"/>
    </row>
    <row r="1729" spans="39:39">
      <c r="AM1729" s="85"/>
    </row>
    <row r="1730" spans="39:39">
      <c r="AM1730" s="85"/>
    </row>
    <row r="1731" spans="39:39">
      <c r="AM1731" s="85"/>
    </row>
    <row r="1732" spans="39:39">
      <c r="AM1732" s="85"/>
    </row>
    <row r="1733" spans="39:39">
      <c r="AM1733" s="85"/>
    </row>
    <row r="1734" spans="39:39">
      <c r="AM1734" s="85"/>
    </row>
    <row r="1735" spans="39:39">
      <c r="AM1735" s="85"/>
    </row>
    <row r="1736" spans="39:39">
      <c r="AM1736" s="85"/>
    </row>
    <row r="1737" spans="39:39">
      <c r="AM1737" s="85"/>
    </row>
    <row r="1738" spans="39:39">
      <c r="AM1738" s="85"/>
    </row>
    <row r="1739" spans="39:39">
      <c r="AM1739" s="85"/>
    </row>
    <row r="1740" spans="39:39">
      <c r="AM1740" s="85"/>
    </row>
    <row r="1741" spans="39:39">
      <c r="AM1741" s="85"/>
    </row>
    <row r="1742" spans="39:39">
      <c r="AM1742" s="85"/>
    </row>
    <row r="1743" spans="39:39">
      <c r="AM1743" s="85"/>
    </row>
    <row r="1744" spans="39:39">
      <c r="AM1744" s="85"/>
    </row>
    <row r="1745" spans="39:39">
      <c r="AM1745" s="85"/>
    </row>
    <row r="1746" spans="39:39">
      <c r="AM1746" s="85"/>
    </row>
    <row r="1747" spans="39:39">
      <c r="AM1747" s="85"/>
    </row>
    <row r="1748" spans="39:39">
      <c r="AM1748" s="85"/>
    </row>
    <row r="1749" spans="39:39">
      <c r="AM1749" s="85"/>
    </row>
    <row r="1750" spans="39:39">
      <c r="AM1750" s="85"/>
    </row>
    <row r="1751" spans="39:39">
      <c r="AM1751" s="85"/>
    </row>
    <row r="1752" spans="39:39">
      <c r="AM1752" s="85"/>
    </row>
    <row r="1753" spans="39:39">
      <c r="AM1753" s="85"/>
    </row>
    <row r="1754" spans="39:39">
      <c r="AM1754" s="85"/>
    </row>
    <row r="1755" spans="39:39">
      <c r="AM1755" s="85"/>
    </row>
    <row r="1756" spans="39:39">
      <c r="AM1756" s="85"/>
    </row>
    <row r="1757" spans="39:39">
      <c r="AM1757" s="85"/>
    </row>
    <row r="1758" spans="39:39">
      <c r="AM1758" s="85"/>
    </row>
    <row r="1759" spans="39:39">
      <c r="AM1759" s="85"/>
    </row>
    <row r="1760" spans="39:39">
      <c r="AM1760" s="85"/>
    </row>
    <row r="1761" spans="39:39">
      <c r="AM1761" s="85"/>
    </row>
    <row r="1762" spans="39:39">
      <c r="AM1762" s="85"/>
    </row>
    <row r="1763" spans="39:39">
      <c r="AM1763" s="85"/>
    </row>
    <row r="1764" spans="39:39">
      <c r="AM1764" s="85"/>
    </row>
    <row r="1765" spans="39:39">
      <c r="AM1765" s="85"/>
    </row>
    <row r="1766" spans="39:39">
      <c r="AM1766" s="85"/>
    </row>
    <row r="1767" spans="39:39">
      <c r="AM1767" s="85"/>
    </row>
    <row r="1768" spans="39:39">
      <c r="AM1768" s="85"/>
    </row>
    <row r="1769" spans="39:39">
      <c r="AM1769" s="85"/>
    </row>
    <row r="1770" spans="39:39">
      <c r="AM1770" s="85"/>
    </row>
    <row r="1771" spans="39:39">
      <c r="AM1771" s="85"/>
    </row>
    <row r="1772" spans="39:39">
      <c r="AM1772" s="85"/>
    </row>
    <row r="1773" spans="39:39">
      <c r="AM1773" s="85"/>
    </row>
    <row r="1774" spans="39:39">
      <c r="AM1774" s="85"/>
    </row>
    <row r="1775" spans="39:39">
      <c r="AM1775" s="85"/>
    </row>
    <row r="1776" spans="39:39">
      <c r="AM1776" s="85"/>
    </row>
    <row r="1777" spans="39:39">
      <c r="AM1777" s="85"/>
    </row>
    <row r="1778" spans="39:39">
      <c r="AM1778" s="85"/>
    </row>
    <row r="1779" spans="39:39">
      <c r="AM1779" s="85"/>
    </row>
    <row r="1780" spans="39:39">
      <c r="AM1780" s="85"/>
    </row>
    <row r="1781" spans="39:39">
      <c r="AM1781" s="85"/>
    </row>
    <row r="1782" spans="39:39">
      <c r="AM1782" s="85"/>
    </row>
    <row r="1783" spans="39:39">
      <c r="AM1783" s="85"/>
    </row>
    <row r="1784" spans="39:39">
      <c r="AM1784" s="85"/>
    </row>
    <row r="1785" spans="39:39">
      <c r="AM1785" s="85"/>
    </row>
    <row r="1786" spans="39:39">
      <c r="AM1786" s="85"/>
    </row>
    <row r="1787" spans="39:39">
      <c r="AM1787" s="85"/>
    </row>
    <row r="1788" spans="39:39">
      <c r="AM1788" s="85"/>
    </row>
    <row r="1789" spans="39:39">
      <c r="AM1789" s="85"/>
    </row>
    <row r="1790" spans="39:39">
      <c r="AM1790" s="85"/>
    </row>
    <row r="1791" spans="39:39">
      <c r="AM1791" s="85"/>
    </row>
    <row r="1792" spans="39:39">
      <c r="AM1792" s="85"/>
    </row>
    <row r="1793" spans="39:39">
      <c r="AM1793" s="85"/>
    </row>
    <row r="1794" spans="39:39">
      <c r="AM1794" s="85"/>
    </row>
    <row r="1795" spans="39:39">
      <c r="AM1795" s="85"/>
    </row>
    <row r="1796" spans="39:39">
      <c r="AM1796" s="85"/>
    </row>
    <row r="1797" spans="39:39">
      <c r="AM1797" s="85"/>
    </row>
    <row r="1798" spans="39:39">
      <c r="AM1798" s="85"/>
    </row>
    <row r="1799" spans="39:39">
      <c r="AM1799" s="85"/>
    </row>
    <row r="1800" spans="39:39">
      <c r="AM1800" s="85"/>
    </row>
    <row r="1801" spans="39:39">
      <c r="AM1801" s="85"/>
    </row>
    <row r="1802" spans="39:39">
      <c r="AM1802" s="85"/>
    </row>
    <row r="1803" spans="39:39">
      <c r="AM1803" s="85"/>
    </row>
    <row r="1804" spans="39:39">
      <c r="AM1804" s="85"/>
    </row>
    <row r="1805" spans="39:39">
      <c r="AM1805" s="85"/>
    </row>
    <row r="1806" spans="39:39">
      <c r="AM1806" s="85"/>
    </row>
    <row r="1807" spans="39:39">
      <c r="AM1807" s="85"/>
    </row>
    <row r="1808" spans="39:39">
      <c r="AM1808" s="85"/>
    </row>
    <row r="1809" spans="39:39">
      <c r="AM1809" s="85"/>
    </row>
    <row r="1810" spans="39:39">
      <c r="AM1810" s="85"/>
    </row>
    <row r="1811" spans="39:39">
      <c r="AM1811" s="85"/>
    </row>
    <row r="1812" spans="39:39">
      <c r="AM1812" s="85"/>
    </row>
    <row r="1813" spans="39:39">
      <c r="AM1813" s="85"/>
    </row>
    <row r="1814" spans="39:39">
      <c r="AM1814" s="85"/>
    </row>
    <row r="1815" spans="39:39">
      <c r="AM1815" s="85"/>
    </row>
    <row r="1816" spans="39:39">
      <c r="AM1816" s="85"/>
    </row>
    <row r="1817" spans="39:39">
      <c r="AM1817" s="85"/>
    </row>
    <row r="1818" spans="39:39">
      <c r="AM1818" s="85"/>
    </row>
    <row r="1819" spans="39:39">
      <c r="AM1819" s="85"/>
    </row>
    <row r="1820" spans="39:39">
      <c r="AM1820" s="85"/>
    </row>
    <row r="1821" spans="39:39">
      <c r="AM1821" s="85"/>
    </row>
    <row r="1822" spans="39:39">
      <c r="AM1822" s="85"/>
    </row>
    <row r="1823" spans="39:39">
      <c r="AM1823" s="85"/>
    </row>
    <row r="1824" spans="39:39">
      <c r="AM1824" s="85"/>
    </row>
    <row r="1825" spans="39:39">
      <c r="AM1825" s="85"/>
    </row>
    <row r="1826" spans="39:39">
      <c r="AM1826" s="85"/>
    </row>
    <row r="1827" spans="39:39">
      <c r="AM1827" s="85"/>
    </row>
    <row r="1828" spans="39:39">
      <c r="AM1828" s="85"/>
    </row>
    <row r="1829" spans="39:39">
      <c r="AM1829" s="85"/>
    </row>
    <row r="1830" spans="39:39">
      <c r="AM1830" s="85"/>
    </row>
    <row r="1831" spans="39:39">
      <c r="AM1831" s="85"/>
    </row>
    <row r="1832" spans="39:39">
      <c r="AM1832" s="85"/>
    </row>
    <row r="1833" spans="39:39">
      <c r="AM1833" s="85"/>
    </row>
    <row r="1834" spans="39:39">
      <c r="AM1834" s="85"/>
    </row>
    <row r="1835" spans="39:39">
      <c r="AM1835" s="85"/>
    </row>
    <row r="1836" spans="39:39">
      <c r="AM1836" s="85"/>
    </row>
    <row r="1837" spans="39:39">
      <c r="AM1837" s="85"/>
    </row>
    <row r="1838" spans="39:39">
      <c r="AM1838" s="85"/>
    </row>
    <row r="1839" spans="39:39">
      <c r="AM1839" s="85"/>
    </row>
    <row r="1840" spans="39:39">
      <c r="AM1840" s="85"/>
    </row>
    <row r="1841" spans="39:39">
      <c r="AM1841" s="85"/>
    </row>
    <row r="1842" spans="39:39">
      <c r="AM1842" s="85"/>
    </row>
    <row r="1843" spans="39:39">
      <c r="AM1843" s="85"/>
    </row>
    <row r="1844" spans="39:39">
      <c r="AM1844" s="85"/>
    </row>
    <row r="1845" spans="39:39">
      <c r="AM1845" s="85"/>
    </row>
    <row r="1846" spans="39:39">
      <c r="AM1846" s="85"/>
    </row>
    <row r="1847" spans="39:39">
      <c r="AM1847" s="85"/>
    </row>
    <row r="1848" spans="39:39">
      <c r="AM1848" s="85"/>
    </row>
    <row r="1849" spans="39:39">
      <c r="AM1849" s="85"/>
    </row>
    <row r="1850" spans="39:39">
      <c r="AM1850" s="85"/>
    </row>
    <row r="1851" spans="39:39">
      <c r="AM1851" s="85"/>
    </row>
    <row r="1852" spans="39:39">
      <c r="AM1852" s="85"/>
    </row>
    <row r="1853" spans="39:39">
      <c r="AM1853" s="85"/>
    </row>
    <row r="1854" spans="39:39">
      <c r="AM1854" s="85"/>
    </row>
    <row r="1855" spans="39:39">
      <c r="AM1855" s="85"/>
    </row>
    <row r="1856" spans="39:39">
      <c r="AM1856" s="85"/>
    </row>
    <row r="1857" spans="39:39">
      <c r="AM1857" s="85"/>
    </row>
    <row r="1858" spans="39:39">
      <c r="AM1858" s="85"/>
    </row>
    <row r="1859" spans="39:39">
      <c r="AM1859" s="85"/>
    </row>
    <row r="1860" spans="39:39">
      <c r="AM1860" s="85"/>
    </row>
    <row r="1861" spans="39:39">
      <c r="AM1861" s="85"/>
    </row>
    <row r="1862" spans="39:39">
      <c r="AM1862" s="85"/>
    </row>
    <row r="1863" spans="39:39">
      <c r="AM1863" s="85"/>
    </row>
    <row r="1864" spans="39:39">
      <c r="AM1864" s="85"/>
    </row>
    <row r="1865" spans="39:39">
      <c r="AM1865" s="85"/>
    </row>
    <row r="1866" spans="39:39">
      <c r="AM1866" s="85"/>
    </row>
    <row r="1867" spans="39:39">
      <c r="AM1867" s="85"/>
    </row>
    <row r="1868" spans="39:39">
      <c r="AM1868" s="85"/>
    </row>
    <row r="1869" spans="39:39">
      <c r="AM1869" s="85"/>
    </row>
    <row r="1870" spans="39:39">
      <c r="AM1870" s="85"/>
    </row>
    <row r="1871" spans="39:39">
      <c r="AM1871" s="85"/>
    </row>
    <row r="1872" spans="39:39">
      <c r="AM1872" s="85"/>
    </row>
    <row r="1873" spans="39:39">
      <c r="AM1873" s="85"/>
    </row>
    <row r="1874" spans="39:39">
      <c r="AM1874" s="85"/>
    </row>
    <row r="1875" spans="39:39">
      <c r="AM1875" s="85"/>
    </row>
    <row r="1876" spans="39:39">
      <c r="AM1876" s="85"/>
    </row>
    <row r="1877" spans="39:39">
      <c r="AM1877" s="85"/>
    </row>
    <row r="1878" spans="39:39">
      <c r="AM1878" s="85"/>
    </row>
    <row r="1879" spans="39:39">
      <c r="AM1879" s="85"/>
    </row>
    <row r="1880" spans="39:39">
      <c r="AM1880" s="85"/>
    </row>
    <row r="1881" spans="39:39">
      <c r="AM1881" s="85"/>
    </row>
    <row r="1882" spans="39:39">
      <c r="AM1882" s="85"/>
    </row>
    <row r="1883" spans="39:39">
      <c r="AM1883" s="85"/>
    </row>
    <row r="1884" spans="39:39">
      <c r="AM1884" s="85"/>
    </row>
    <row r="1885" spans="39:39">
      <c r="AM1885" s="85"/>
    </row>
    <row r="1886" spans="39:39">
      <c r="AM1886" s="85"/>
    </row>
    <row r="1887" spans="39:39">
      <c r="AM1887" s="85"/>
    </row>
    <row r="1888" spans="39:39">
      <c r="AM1888" s="85"/>
    </row>
    <row r="1889" spans="39:39">
      <c r="AM1889" s="85"/>
    </row>
    <row r="1890" spans="39:39">
      <c r="AM1890" s="85"/>
    </row>
    <row r="1891" spans="39:39">
      <c r="AM1891" s="85"/>
    </row>
    <row r="1892" spans="39:39">
      <c r="AM1892" s="85"/>
    </row>
    <row r="1893" spans="39:39">
      <c r="AM1893" s="85"/>
    </row>
    <row r="1894" spans="39:39">
      <c r="AM1894" s="85"/>
    </row>
    <row r="1895" spans="39:39">
      <c r="AM1895" s="85"/>
    </row>
    <row r="1896" spans="39:39">
      <c r="AM1896" s="85"/>
    </row>
    <row r="1897" spans="39:39">
      <c r="AM1897" s="85"/>
    </row>
    <row r="1898" spans="39:39">
      <c r="AM1898" s="85"/>
    </row>
    <row r="1899" spans="39:39">
      <c r="AM1899" s="85"/>
    </row>
    <row r="1900" spans="39:39">
      <c r="AM1900" s="85"/>
    </row>
    <row r="1901" spans="39:39">
      <c r="AM1901" s="85"/>
    </row>
    <row r="1902" spans="39:39">
      <c r="AM1902" s="85"/>
    </row>
    <row r="1903" spans="39:39">
      <c r="AM1903" s="85"/>
    </row>
    <row r="1904" spans="39:39">
      <c r="AM1904" s="85"/>
    </row>
    <row r="1905" spans="39:39">
      <c r="AM1905" s="85"/>
    </row>
    <row r="1906" spans="39:39">
      <c r="AM1906" s="85"/>
    </row>
    <row r="1907" spans="39:39">
      <c r="AM1907" s="85"/>
    </row>
    <row r="1908" spans="39:39">
      <c r="AM1908" s="85"/>
    </row>
    <row r="1909" spans="39:39">
      <c r="AM1909" s="85"/>
    </row>
    <row r="1910" spans="39:39">
      <c r="AM1910" s="85"/>
    </row>
    <row r="1911" spans="39:39">
      <c r="AM1911" s="85"/>
    </row>
    <row r="1912" spans="39:39">
      <c r="AM1912" s="85"/>
    </row>
    <row r="1913" spans="39:39">
      <c r="AM1913" s="85"/>
    </row>
    <row r="1914" spans="39:39">
      <c r="AM1914" s="85"/>
    </row>
    <row r="1915" spans="39:39">
      <c r="AM1915" s="85"/>
    </row>
    <row r="1916" spans="39:39">
      <c r="AM1916" s="85"/>
    </row>
    <row r="1917" spans="39:39">
      <c r="AM1917" s="85"/>
    </row>
    <row r="1918" spans="39:39">
      <c r="AM1918" s="85"/>
    </row>
    <row r="1919" spans="39:39">
      <c r="AM1919" s="85"/>
    </row>
    <row r="1920" spans="39:39">
      <c r="AM1920" s="85"/>
    </row>
    <row r="1921" spans="39:39">
      <c r="AM1921" s="85"/>
    </row>
    <row r="1922" spans="39:39">
      <c r="AM1922" s="85"/>
    </row>
    <row r="1923" spans="39:39">
      <c r="AM1923" s="85"/>
    </row>
    <row r="1924" spans="39:39">
      <c r="AM1924" s="85"/>
    </row>
    <row r="1925" spans="39:39">
      <c r="AM1925" s="85"/>
    </row>
    <row r="1926" spans="39:39">
      <c r="AM1926" s="85"/>
    </row>
    <row r="1927" spans="39:39">
      <c r="AM1927" s="85"/>
    </row>
    <row r="1928" spans="39:39">
      <c r="AM1928" s="85"/>
    </row>
    <row r="1929" spans="39:39">
      <c r="AM1929" s="85"/>
    </row>
    <row r="1930" spans="39:39">
      <c r="AM1930" s="85"/>
    </row>
    <row r="1931" spans="39:39">
      <c r="AM1931" s="85"/>
    </row>
    <row r="1932" spans="39:39">
      <c r="AM1932" s="85"/>
    </row>
    <row r="1933" spans="39:39">
      <c r="AM1933" s="85"/>
    </row>
    <row r="1934" spans="39:39">
      <c r="AM1934" s="85"/>
    </row>
    <row r="1935" spans="39:39">
      <c r="AM1935" s="85"/>
    </row>
    <row r="1936" spans="39:39">
      <c r="AM1936" s="85"/>
    </row>
    <row r="1937" spans="39:39">
      <c r="AM1937" s="85"/>
    </row>
    <row r="1938" spans="39:39">
      <c r="AM1938" s="85"/>
    </row>
    <row r="1939" spans="39:39">
      <c r="AM1939" s="85"/>
    </row>
    <row r="1940" spans="39:39">
      <c r="AM1940" s="85"/>
    </row>
    <row r="1941" spans="39:39">
      <c r="AM1941" s="85"/>
    </row>
    <row r="1942" spans="39:39">
      <c r="AM1942" s="85"/>
    </row>
    <row r="1943" spans="39:39">
      <c r="AM1943" s="85"/>
    </row>
    <row r="1944" spans="39:39">
      <c r="AM1944" s="85"/>
    </row>
    <row r="1945" spans="39:39">
      <c r="AM1945" s="85"/>
    </row>
    <row r="1946" spans="39:39">
      <c r="AM1946" s="85"/>
    </row>
    <row r="1947" spans="39:39">
      <c r="AM1947" s="85"/>
    </row>
    <row r="1948" spans="39:39">
      <c r="AM1948" s="85"/>
    </row>
    <row r="1949" spans="39:39">
      <c r="AM1949" s="85"/>
    </row>
    <row r="1950" spans="39:39">
      <c r="AM1950" s="85"/>
    </row>
    <row r="1951" spans="39:39">
      <c r="AM1951" s="85"/>
    </row>
    <row r="1952" spans="39:39">
      <c r="AM1952" s="85"/>
    </row>
    <row r="1953" spans="39:39">
      <c r="AM1953" s="85"/>
    </row>
    <row r="1954" spans="39:39">
      <c r="AM1954" s="85"/>
    </row>
    <row r="1955" spans="39:39">
      <c r="AM1955" s="85"/>
    </row>
    <row r="1956" spans="39:39">
      <c r="AM1956" s="85"/>
    </row>
    <row r="1957" spans="39:39">
      <c r="AM1957" s="85"/>
    </row>
    <row r="1958" spans="39:39">
      <c r="AM1958" s="85"/>
    </row>
    <row r="1959" spans="39:39">
      <c r="AM1959" s="85"/>
    </row>
    <row r="1960" spans="39:39">
      <c r="AM1960" s="85"/>
    </row>
    <row r="1961" spans="39:39">
      <c r="AM1961" s="85"/>
    </row>
    <row r="1962" spans="39:39">
      <c r="AM1962" s="85"/>
    </row>
    <row r="1963" spans="39:39">
      <c r="AM1963" s="85"/>
    </row>
    <row r="1964" spans="39:39">
      <c r="AM1964" s="85"/>
    </row>
    <row r="1965" spans="39:39">
      <c r="AM1965" s="85"/>
    </row>
    <row r="1966" spans="39:39">
      <c r="AM1966" s="85"/>
    </row>
    <row r="1967" spans="39:39">
      <c r="AM1967" s="85"/>
    </row>
    <row r="1968" spans="39:39">
      <c r="AM1968" s="85"/>
    </row>
    <row r="1969" spans="39:39">
      <c r="AM1969" s="85"/>
    </row>
    <row r="1970" spans="39:39">
      <c r="AM1970" s="85"/>
    </row>
    <row r="1971" spans="39:39">
      <c r="AM1971" s="85"/>
    </row>
    <row r="1972" spans="39:39">
      <c r="AM1972" s="85"/>
    </row>
    <row r="1973" spans="39:39">
      <c r="AM1973" s="85"/>
    </row>
    <row r="1974" spans="39:39">
      <c r="AM1974" s="85"/>
    </row>
    <row r="1975" spans="39:39">
      <c r="AM1975" s="85"/>
    </row>
    <row r="1976" spans="39:39">
      <c r="AM1976" s="85"/>
    </row>
    <row r="1977" spans="39:39">
      <c r="AM1977" s="85"/>
    </row>
    <row r="1978" spans="39:39">
      <c r="AM1978" s="85"/>
    </row>
    <row r="1979" spans="39:39">
      <c r="AM1979" s="85"/>
    </row>
    <row r="1980" spans="39:39">
      <c r="AM1980" s="85"/>
    </row>
    <row r="1981" spans="39:39">
      <c r="AM1981" s="85"/>
    </row>
    <row r="1982" spans="39:39">
      <c r="AM1982" s="85"/>
    </row>
    <row r="1983" spans="39:39">
      <c r="AM1983" s="85"/>
    </row>
    <row r="1984" spans="39:39">
      <c r="AM1984" s="85"/>
    </row>
    <row r="1985" spans="39:39">
      <c r="AM1985" s="85"/>
    </row>
    <row r="1986" spans="39:39">
      <c r="AM1986" s="85"/>
    </row>
    <row r="1987" spans="39:39">
      <c r="AM1987" s="85"/>
    </row>
    <row r="1988" spans="39:39">
      <c r="AM1988" s="85"/>
    </row>
    <row r="1989" spans="39:39">
      <c r="AM1989" s="85"/>
    </row>
    <row r="1990" spans="39:39">
      <c r="AM1990" s="85"/>
    </row>
    <row r="1991" spans="39:39">
      <c r="AM1991" s="85"/>
    </row>
    <row r="1992" spans="39:39">
      <c r="AM1992" s="85"/>
    </row>
    <row r="1993" spans="39:39">
      <c r="AM1993" s="85"/>
    </row>
    <row r="1994" spans="39:39">
      <c r="AM1994" s="85"/>
    </row>
    <row r="1995" spans="39:39">
      <c r="AM1995" s="85"/>
    </row>
    <row r="1996" spans="39:39">
      <c r="AM1996" s="85"/>
    </row>
    <row r="1997" spans="39:39">
      <c r="AM1997" s="85"/>
    </row>
    <row r="1998" spans="39:39">
      <c r="AM1998" s="85"/>
    </row>
    <row r="1999" spans="39:39">
      <c r="AM1999" s="85"/>
    </row>
    <row r="2000" spans="39:39">
      <c r="AM2000" s="85"/>
    </row>
    <row r="2001" spans="39:39">
      <c r="AM2001" s="85"/>
    </row>
    <row r="2002" spans="39:39">
      <c r="AM2002" s="85"/>
    </row>
    <row r="2003" spans="39:39">
      <c r="AM2003" s="85"/>
    </row>
    <row r="2004" spans="39:39">
      <c r="AM2004" s="85"/>
    </row>
    <row r="2005" spans="39:39">
      <c r="AM2005" s="85"/>
    </row>
    <row r="2006" spans="39:39">
      <c r="AM2006" s="85"/>
    </row>
    <row r="2007" spans="39:39">
      <c r="AM2007" s="85"/>
    </row>
    <row r="2008" spans="39:39">
      <c r="AM2008" s="85"/>
    </row>
    <row r="2009" spans="39:39">
      <c r="AM2009" s="85"/>
    </row>
    <row r="2010" spans="39:39">
      <c r="AM2010" s="85"/>
    </row>
    <row r="2011" spans="39:39">
      <c r="AM2011" s="85"/>
    </row>
    <row r="2012" spans="39:39">
      <c r="AM2012" s="85"/>
    </row>
    <row r="2013" spans="39:39">
      <c r="AM2013" s="85"/>
    </row>
    <row r="2014" spans="39:39">
      <c r="AM2014" s="85"/>
    </row>
    <row r="2015" spans="39:39">
      <c r="AM2015" s="85"/>
    </row>
    <row r="2016" spans="39:39">
      <c r="AM2016" s="85"/>
    </row>
    <row r="2017" spans="39:39">
      <c r="AM2017" s="85"/>
    </row>
    <row r="2018" spans="39:39">
      <c r="AM2018" s="85"/>
    </row>
    <row r="2019" spans="39:39">
      <c r="AM2019" s="85"/>
    </row>
    <row r="2020" spans="39:39">
      <c r="AM2020" s="85"/>
    </row>
    <row r="2021" spans="39:39">
      <c r="AM2021" s="85"/>
    </row>
    <row r="2022" spans="39:39">
      <c r="AM2022" s="85"/>
    </row>
    <row r="2023" spans="39:39">
      <c r="AM2023" s="85"/>
    </row>
    <row r="2024" spans="39:39">
      <c r="AM2024" s="85"/>
    </row>
    <row r="2025" spans="39:39">
      <c r="AM2025" s="85"/>
    </row>
    <row r="2026" spans="39:39">
      <c r="AM2026" s="85"/>
    </row>
    <row r="2027" spans="39:39">
      <c r="AM2027" s="85"/>
    </row>
    <row r="2028" spans="39:39">
      <c r="AM2028" s="85"/>
    </row>
    <row r="2029" spans="39:39">
      <c r="AM2029" s="85"/>
    </row>
    <row r="2030" spans="39:39">
      <c r="AM2030" s="85"/>
    </row>
    <row r="2031" spans="39:39">
      <c r="AM2031" s="85"/>
    </row>
    <row r="2032" spans="39:39">
      <c r="AM2032" s="85"/>
    </row>
    <row r="2033" spans="39:39">
      <c r="AM2033" s="85"/>
    </row>
    <row r="2034" spans="39:39">
      <c r="AM2034" s="85"/>
    </row>
    <row r="2035" spans="39:39">
      <c r="AM2035" s="85"/>
    </row>
    <row r="2036" spans="39:39">
      <c r="AM2036" s="85"/>
    </row>
    <row r="2037" spans="39:39">
      <c r="AM2037" s="85"/>
    </row>
    <row r="2038" spans="39:39">
      <c r="AM2038" s="85"/>
    </row>
    <row r="2039" spans="39:39">
      <c r="AM2039" s="85"/>
    </row>
    <row r="2040" spans="39:39">
      <c r="AM2040" s="85"/>
    </row>
    <row r="2041" spans="39:39">
      <c r="AM2041" s="85"/>
    </row>
    <row r="2042" spans="39:39">
      <c r="AM2042" s="85"/>
    </row>
    <row r="2043" spans="39:39">
      <c r="AM2043" s="85"/>
    </row>
    <row r="2044" spans="39:39">
      <c r="AM2044" s="85"/>
    </row>
    <row r="2045" spans="39:39">
      <c r="AM2045" s="85"/>
    </row>
    <row r="2046" spans="39:39">
      <c r="AM2046" s="85"/>
    </row>
    <row r="2047" spans="39:39">
      <c r="AM2047" s="85"/>
    </row>
    <row r="2048" spans="39:39">
      <c r="AM2048" s="85"/>
    </row>
    <row r="2049" spans="39:39">
      <c r="AM2049" s="85"/>
    </row>
    <row r="2050" spans="39:39">
      <c r="AM2050" s="85"/>
    </row>
    <row r="2051" spans="39:39">
      <c r="AM2051" s="85"/>
    </row>
    <row r="2052" spans="39:39">
      <c r="AM2052" s="85"/>
    </row>
    <row r="2053" spans="39:39">
      <c r="AM2053" s="85"/>
    </row>
    <row r="2054" spans="39:39">
      <c r="AM2054" s="85"/>
    </row>
    <row r="2055" spans="39:39">
      <c r="AM2055" s="85"/>
    </row>
    <row r="2056" spans="39:39">
      <c r="AM2056" s="85"/>
    </row>
    <row r="2057" spans="39:39">
      <c r="AM2057" s="85"/>
    </row>
    <row r="2058" spans="39:39">
      <c r="AM2058" s="85"/>
    </row>
    <row r="2059" spans="39:39">
      <c r="AM2059" s="85"/>
    </row>
    <row r="2060" spans="39:39">
      <c r="AM2060" s="85"/>
    </row>
    <row r="2061" spans="39:39">
      <c r="AM2061" s="85"/>
    </row>
    <row r="2062" spans="39:39">
      <c r="AM2062" s="85"/>
    </row>
    <row r="2063" spans="39:39">
      <c r="AM2063" s="85"/>
    </row>
    <row r="2064" spans="39:39">
      <c r="AM2064" s="85"/>
    </row>
    <row r="2065" spans="39:39">
      <c r="AM2065" s="85"/>
    </row>
    <row r="2066" spans="39:39">
      <c r="AM2066" s="85"/>
    </row>
    <row r="2067" spans="39:39">
      <c r="AM2067" s="85"/>
    </row>
    <row r="2068" spans="39:39">
      <c r="AM2068" s="85"/>
    </row>
    <row r="2069" spans="39:39">
      <c r="AM2069" s="85"/>
    </row>
    <row r="2070" spans="39:39">
      <c r="AM2070" s="85"/>
    </row>
    <row r="2071" spans="39:39">
      <c r="AM2071" s="85"/>
    </row>
    <row r="2072" spans="39:39">
      <c r="AM2072" s="85"/>
    </row>
    <row r="2073" spans="39:39">
      <c r="AM2073" s="85"/>
    </row>
    <row r="2074" spans="39:39">
      <c r="AM2074" s="85"/>
    </row>
    <row r="2075" spans="39:39">
      <c r="AM2075" s="85"/>
    </row>
    <row r="2076" spans="39:39">
      <c r="AM2076" s="85"/>
    </row>
    <row r="2077" spans="39:39">
      <c r="AM2077" s="85"/>
    </row>
    <row r="2078" spans="39:39">
      <c r="AM2078" s="85"/>
    </row>
    <row r="2079" spans="39:39">
      <c r="AM2079" s="85"/>
    </row>
    <row r="2080" spans="39:39">
      <c r="AM2080" s="85"/>
    </row>
    <row r="2081" spans="39:39">
      <c r="AM2081" s="85"/>
    </row>
    <row r="2082" spans="39:39">
      <c r="AM2082" s="85"/>
    </row>
    <row r="2083" spans="39:39">
      <c r="AM2083" s="85"/>
    </row>
    <row r="2084" spans="39:39">
      <c r="AM2084" s="85"/>
    </row>
    <row r="2085" spans="39:39">
      <c r="AM2085" s="85"/>
    </row>
    <row r="2086" spans="39:39">
      <c r="AM2086" s="85"/>
    </row>
    <row r="2087" spans="39:39">
      <c r="AM2087" s="85"/>
    </row>
    <row r="2088" spans="39:39">
      <c r="AM2088" s="85"/>
    </row>
    <row r="2089" spans="39:39">
      <c r="AM2089" s="85"/>
    </row>
    <row r="2090" spans="39:39">
      <c r="AM2090" s="85"/>
    </row>
    <row r="2091" spans="39:39">
      <c r="AM2091" s="85"/>
    </row>
    <row r="2092" spans="39:39">
      <c r="AM2092" s="85"/>
    </row>
    <row r="2093" spans="39:39">
      <c r="AM2093" s="85"/>
    </row>
    <row r="2094" spans="39:39">
      <c r="AM2094" s="85"/>
    </row>
    <row r="2095" spans="39:39">
      <c r="AM2095" s="85"/>
    </row>
    <row r="2096" spans="39:39">
      <c r="AM2096" s="85"/>
    </row>
    <row r="2097" spans="39:39">
      <c r="AM2097" s="85"/>
    </row>
    <row r="2098" spans="39:39">
      <c r="AM2098" s="85"/>
    </row>
    <row r="2099" spans="39:39">
      <c r="AM2099" s="85"/>
    </row>
    <row r="2100" spans="39:39">
      <c r="AM2100" s="85"/>
    </row>
    <row r="2101" spans="39:39">
      <c r="AM2101" s="85"/>
    </row>
    <row r="2102" spans="39:39">
      <c r="AM2102" s="85"/>
    </row>
    <row r="2103" spans="39:39">
      <c r="AM2103" s="85"/>
    </row>
    <row r="2104" spans="39:39">
      <c r="AM2104" s="85"/>
    </row>
    <row r="2105" spans="39:39">
      <c r="AM2105" s="85"/>
    </row>
    <row r="2106" spans="39:39">
      <c r="AM2106" s="85"/>
    </row>
    <row r="2107" spans="39:39">
      <c r="AM2107" s="85"/>
    </row>
    <row r="2108" spans="39:39">
      <c r="AM2108" s="85"/>
    </row>
    <row r="2109" spans="39:39">
      <c r="AM2109" s="85"/>
    </row>
    <row r="2110" spans="39:39">
      <c r="AM2110" s="85"/>
    </row>
    <row r="2111" spans="39:39">
      <c r="AM2111" s="85"/>
    </row>
    <row r="2112" spans="39:39">
      <c r="AM2112" s="85"/>
    </row>
    <row r="2113" spans="39:39">
      <c r="AM2113" s="85"/>
    </row>
    <row r="2114" spans="39:39">
      <c r="AM2114" s="85"/>
    </row>
    <row r="2115" spans="39:39">
      <c r="AM2115" s="85"/>
    </row>
    <row r="2116" spans="39:39">
      <c r="AM2116" s="85"/>
    </row>
    <row r="2117" spans="39:39">
      <c r="AM2117" s="85"/>
    </row>
    <row r="2118" spans="39:39">
      <c r="AM2118" s="85"/>
    </row>
    <row r="2119" spans="39:39">
      <c r="AM2119" s="85"/>
    </row>
    <row r="2120" spans="39:39">
      <c r="AM2120" s="85"/>
    </row>
    <row r="2121" spans="39:39">
      <c r="AM2121" s="85"/>
    </row>
    <row r="2122" spans="39:39">
      <c r="AM2122" s="85"/>
    </row>
    <row r="2123" spans="39:39">
      <c r="AM2123" s="85"/>
    </row>
    <row r="2124" spans="39:39">
      <c r="AM2124" s="85"/>
    </row>
    <row r="2125" spans="39:39">
      <c r="AM2125" s="85"/>
    </row>
    <row r="2126" spans="39:39">
      <c r="AM2126" s="85"/>
    </row>
    <row r="2127" spans="39:39">
      <c r="AM2127" s="85"/>
    </row>
    <row r="2128" spans="39:39">
      <c r="AM2128" s="85"/>
    </row>
    <row r="2129" spans="39:39">
      <c r="AM2129" s="85"/>
    </row>
    <row r="2130" spans="39:39">
      <c r="AM2130" s="85"/>
    </row>
    <row r="2131" spans="39:39">
      <c r="AM2131" s="85"/>
    </row>
    <row r="2132" spans="39:39">
      <c r="AM2132" s="85"/>
    </row>
    <row r="2133" spans="39:39">
      <c r="AM2133" s="85"/>
    </row>
    <row r="2134" spans="39:39">
      <c r="AM2134" s="85"/>
    </row>
    <row r="2135" spans="39:39">
      <c r="AM2135" s="85"/>
    </row>
    <row r="2136" spans="39:39">
      <c r="AM2136" s="85"/>
    </row>
    <row r="2137" spans="39:39">
      <c r="AM2137" s="85"/>
    </row>
    <row r="2138" spans="39:39">
      <c r="AM2138" s="85"/>
    </row>
    <row r="2139" spans="39:39">
      <c r="AM2139" s="85"/>
    </row>
    <row r="2140" spans="39:39">
      <c r="AM2140" s="85"/>
    </row>
    <row r="2141" spans="39:39">
      <c r="AM2141" s="85"/>
    </row>
    <row r="2142" spans="39:39">
      <c r="AM2142" s="85"/>
    </row>
    <row r="2143" spans="39:39">
      <c r="AM2143" s="85"/>
    </row>
    <row r="2144" spans="39:39">
      <c r="AM2144" s="85"/>
    </row>
    <row r="2145" spans="39:39">
      <c r="AM2145" s="85"/>
    </row>
    <row r="2146" spans="39:39">
      <c r="AM2146" s="85"/>
    </row>
    <row r="2147" spans="39:39">
      <c r="AM2147" s="85"/>
    </row>
    <row r="2148" spans="39:39">
      <c r="AM2148" s="85"/>
    </row>
    <row r="2149" spans="39:39">
      <c r="AM2149" s="85"/>
    </row>
    <row r="2150" spans="39:39">
      <c r="AM2150" s="85"/>
    </row>
    <row r="2151" spans="39:39">
      <c r="AM2151" s="85"/>
    </row>
    <row r="2152" spans="39:39">
      <c r="AM2152" s="85"/>
    </row>
    <row r="2153" spans="39:39">
      <c r="AM2153" s="85"/>
    </row>
    <row r="2154" spans="39:39">
      <c r="AM2154" s="85"/>
    </row>
    <row r="2155" spans="39:39">
      <c r="AM2155" s="85"/>
    </row>
    <row r="2156" spans="39:39">
      <c r="AM2156" s="85"/>
    </row>
    <row r="2157" spans="39:39">
      <c r="AM2157" s="85"/>
    </row>
    <row r="2158" spans="39:39">
      <c r="AM2158" s="85"/>
    </row>
    <row r="2159" spans="39:39">
      <c r="AM2159" s="85"/>
    </row>
    <row r="2160" spans="39:39">
      <c r="AM2160" s="85"/>
    </row>
    <row r="2161" spans="39:39">
      <c r="AM2161" s="85"/>
    </row>
    <row r="2162" spans="39:39">
      <c r="AM2162" s="85"/>
    </row>
    <row r="2163" spans="39:39">
      <c r="AM2163" s="85"/>
    </row>
    <row r="2164" spans="39:39">
      <c r="AM2164" s="85"/>
    </row>
    <row r="2165" spans="39:39">
      <c r="AM2165" s="85"/>
    </row>
    <row r="2166" spans="39:39">
      <c r="AM2166" s="85"/>
    </row>
    <row r="2167" spans="39:39">
      <c r="AM2167" s="85"/>
    </row>
    <row r="2168" spans="39:39">
      <c r="AM2168" s="85"/>
    </row>
    <row r="2169" spans="39:39">
      <c r="AM2169" s="85"/>
    </row>
    <row r="2170" spans="39:39">
      <c r="AM2170" s="85"/>
    </row>
    <row r="2171" spans="39:39">
      <c r="AM2171" s="85"/>
    </row>
    <row r="2172" spans="39:39">
      <c r="AM2172" s="85"/>
    </row>
    <row r="2173" spans="39:39">
      <c r="AM2173" s="85"/>
    </row>
    <row r="2174" spans="39:39">
      <c r="AM2174" s="85"/>
    </row>
    <row r="2175" spans="39:39">
      <c r="AM2175" s="85"/>
    </row>
    <row r="2176" spans="39:39">
      <c r="AM2176" s="85"/>
    </row>
    <row r="2177" spans="39:39">
      <c r="AM2177" s="85"/>
    </row>
    <row r="2178" spans="39:39">
      <c r="AM2178" s="85"/>
    </row>
    <row r="2179" spans="39:39">
      <c r="AM2179" s="85"/>
    </row>
    <row r="2180" spans="39:39">
      <c r="AM2180" s="85"/>
    </row>
    <row r="2181" spans="39:39">
      <c r="AM2181" s="85"/>
    </row>
    <row r="2182" spans="39:39">
      <c r="AM2182" s="85"/>
    </row>
    <row r="2183" spans="39:39">
      <c r="AM2183" s="85"/>
    </row>
    <row r="2184" spans="39:39">
      <c r="AM2184" s="85"/>
    </row>
    <row r="2185" spans="39:39">
      <c r="AM2185" s="85"/>
    </row>
    <row r="2186" spans="39:39">
      <c r="AM2186" s="85"/>
    </row>
    <row r="2187" spans="39:39">
      <c r="AM2187" s="85"/>
    </row>
    <row r="2188" spans="39:39">
      <c r="AM2188" s="85"/>
    </row>
    <row r="2189" spans="39:39">
      <c r="AM2189" s="85"/>
    </row>
    <row r="2190" spans="39:39">
      <c r="AM2190" s="85"/>
    </row>
    <row r="2191" spans="39:39">
      <c r="AM2191" s="85"/>
    </row>
    <row r="2192" spans="39:39">
      <c r="AM2192" s="85"/>
    </row>
    <row r="2193" spans="39:39">
      <c r="AM2193" s="85"/>
    </row>
    <row r="2194" spans="39:39">
      <c r="AM2194" s="85"/>
    </row>
    <row r="2195" spans="39:39">
      <c r="AM2195" s="85"/>
    </row>
    <row r="2196" spans="39:39">
      <c r="AM2196" s="85"/>
    </row>
    <row r="2197" spans="39:39">
      <c r="AM2197" s="85"/>
    </row>
    <row r="2198" spans="39:39">
      <c r="AM2198" s="85"/>
    </row>
    <row r="2199" spans="39:39">
      <c r="AM2199" s="85"/>
    </row>
    <row r="2200" spans="39:39">
      <c r="AM2200" s="85"/>
    </row>
    <row r="2201" spans="39:39">
      <c r="AM2201" s="85"/>
    </row>
    <row r="2202" spans="39:39">
      <c r="AM2202" s="85"/>
    </row>
    <row r="2203" spans="39:39">
      <c r="AM2203" s="85"/>
    </row>
    <row r="2204" spans="39:39">
      <c r="AM2204" s="85"/>
    </row>
    <row r="2205" spans="39:39">
      <c r="AM2205" s="85"/>
    </row>
    <row r="2206" spans="39:39">
      <c r="AM2206" s="85"/>
    </row>
    <row r="2207" spans="39:39">
      <c r="AM2207" s="85"/>
    </row>
    <row r="2208" spans="39:39">
      <c r="AM2208" s="85"/>
    </row>
    <row r="2209" spans="39:39">
      <c r="AM2209" s="85"/>
    </row>
    <row r="2210" spans="39:39">
      <c r="AM2210" s="85"/>
    </row>
    <row r="2211" spans="39:39">
      <c r="AM2211" s="85"/>
    </row>
    <row r="2212" spans="39:39">
      <c r="AM2212" s="85"/>
    </row>
    <row r="2213" spans="39:39">
      <c r="AM2213" s="85"/>
    </row>
    <row r="2214" spans="39:39">
      <c r="AM2214" s="85"/>
    </row>
    <row r="2215" spans="39:39">
      <c r="AM2215" s="85"/>
    </row>
    <row r="2216" spans="39:39">
      <c r="AM2216" s="85"/>
    </row>
    <row r="2217" spans="39:39">
      <c r="AM2217" s="85"/>
    </row>
    <row r="2218" spans="39:39">
      <c r="AM2218" s="85"/>
    </row>
    <row r="2219" spans="39:39">
      <c r="AM2219" s="85"/>
    </row>
    <row r="2220" spans="39:39">
      <c r="AM2220" s="85"/>
    </row>
    <row r="2221" spans="39:39">
      <c r="AM2221" s="85"/>
    </row>
    <row r="2222" spans="39:39">
      <c r="AM2222" s="85"/>
    </row>
    <row r="2223" spans="39:39">
      <c r="AM2223" s="85"/>
    </row>
    <row r="2224" spans="39:39">
      <c r="AM2224" s="85"/>
    </row>
    <row r="2225" spans="39:39">
      <c r="AM2225" s="85"/>
    </row>
    <row r="2226" spans="39:39">
      <c r="AM2226" s="85"/>
    </row>
    <row r="2227" spans="39:39">
      <c r="AM2227" s="85"/>
    </row>
    <row r="2228" spans="39:39">
      <c r="AM2228" s="85"/>
    </row>
    <row r="2229" spans="39:39">
      <c r="AM2229" s="85"/>
    </row>
    <row r="2230" spans="39:39">
      <c r="AM2230" s="85"/>
    </row>
    <row r="2231" spans="39:39">
      <c r="AM2231" s="85"/>
    </row>
    <row r="2232" spans="39:39">
      <c r="AM2232" s="85"/>
    </row>
    <row r="2233" spans="39:39">
      <c r="AM2233" s="85"/>
    </row>
    <row r="2234" spans="39:39">
      <c r="AM2234" s="85"/>
    </row>
    <row r="2235" spans="39:39">
      <c r="AM2235" s="85"/>
    </row>
    <row r="2236" spans="39:39">
      <c r="AM2236" s="85"/>
    </row>
    <row r="2237" spans="39:39">
      <c r="AM2237" s="85"/>
    </row>
    <row r="2238" spans="39:39">
      <c r="AM2238" s="85"/>
    </row>
    <row r="2239" spans="39:39">
      <c r="AM2239" s="85"/>
    </row>
    <row r="2240" spans="39:39">
      <c r="AM2240" s="85"/>
    </row>
    <row r="2241" spans="39:39">
      <c r="AM2241" s="85"/>
    </row>
    <row r="2242" spans="39:39">
      <c r="AM2242" s="85"/>
    </row>
    <row r="2243" spans="39:39">
      <c r="AM2243" s="85"/>
    </row>
    <row r="2244" spans="39:39">
      <c r="AM2244" s="85"/>
    </row>
    <row r="2245" spans="39:39">
      <c r="AM2245" s="85"/>
    </row>
    <row r="2246" spans="39:39">
      <c r="AM2246" s="85"/>
    </row>
    <row r="2247" spans="39:39">
      <c r="AM2247" s="85"/>
    </row>
    <row r="2248" spans="39:39">
      <c r="AM2248" s="85"/>
    </row>
    <row r="2249" spans="39:39">
      <c r="AM2249" s="85"/>
    </row>
    <row r="2250" spans="39:39">
      <c r="AM2250" s="85"/>
    </row>
    <row r="2251" spans="39:39">
      <c r="AM2251" s="85"/>
    </row>
    <row r="2252" spans="39:39">
      <c r="AM2252" s="85"/>
    </row>
    <row r="2253" spans="39:39">
      <c r="AM2253" s="85"/>
    </row>
    <row r="2254" spans="39:39">
      <c r="AM2254" s="85"/>
    </row>
    <row r="2255" spans="39:39">
      <c r="AM2255" s="85"/>
    </row>
    <row r="2256" spans="39:39">
      <c r="AM2256" s="85"/>
    </row>
    <row r="2257" spans="39:39">
      <c r="AM2257" s="85"/>
    </row>
    <row r="2258" spans="39:39">
      <c r="AM2258" s="85"/>
    </row>
    <row r="2259" spans="39:39">
      <c r="AM2259" s="85"/>
    </row>
    <row r="2260" spans="39:39">
      <c r="AM2260" s="85"/>
    </row>
    <row r="2261" spans="39:39">
      <c r="AM2261" s="85"/>
    </row>
    <row r="2262" spans="39:39">
      <c r="AM2262" s="85"/>
    </row>
    <row r="2263" spans="39:39">
      <c r="AM2263" s="85"/>
    </row>
    <row r="2264" spans="39:39">
      <c r="AM2264" s="85"/>
    </row>
    <row r="2265" spans="39:39">
      <c r="AM2265" s="85"/>
    </row>
    <row r="2266" spans="39:39">
      <c r="AM2266" s="85"/>
    </row>
    <row r="2267" spans="39:39">
      <c r="AM2267" s="85"/>
    </row>
    <row r="2268" spans="39:39">
      <c r="AM2268" s="85"/>
    </row>
    <row r="2269" spans="39:39">
      <c r="AM2269" s="85"/>
    </row>
    <row r="2270" spans="39:39">
      <c r="AM2270" s="85"/>
    </row>
    <row r="2271" spans="39:39">
      <c r="AM2271" s="85"/>
    </row>
    <row r="2272" spans="39:39">
      <c r="AM2272" s="85"/>
    </row>
    <row r="2273" spans="39:39">
      <c r="AM2273" s="85"/>
    </row>
    <row r="2274" spans="39:39">
      <c r="AM2274" s="85"/>
    </row>
    <row r="2275" spans="39:39">
      <c r="AM2275" s="85"/>
    </row>
    <row r="2276" spans="39:39">
      <c r="AM2276" s="85"/>
    </row>
    <row r="2277" spans="39:39">
      <c r="AM2277" s="85"/>
    </row>
    <row r="2278" spans="39:39">
      <c r="AM2278" s="85"/>
    </row>
    <row r="2279" spans="39:39">
      <c r="AM2279" s="85"/>
    </row>
    <row r="2280" spans="39:39">
      <c r="AM2280" s="85"/>
    </row>
    <row r="2281" spans="39:39">
      <c r="AM2281" s="85"/>
    </row>
    <row r="2282" spans="39:39">
      <c r="AM2282" s="85"/>
    </row>
    <row r="2283" spans="39:39">
      <c r="AM2283" s="85"/>
    </row>
    <row r="2284" spans="39:39">
      <c r="AM2284" s="85"/>
    </row>
    <row r="2285" spans="39:39">
      <c r="AM2285" s="85"/>
    </row>
    <row r="2286" spans="39:39">
      <c r="AM2286" s="85"/>
    </row>
    <row r="2287" spans="39:39">
      <c r="AM2287" s="85"/>
    </row>
    <row r="2288" spans="39:39">
      <c r="AM2288" s="85"/>
    </row>
    <row r="2289" spans="39:39">
      <c r="AM2289" s="85"/>
    </row>
    <row r="2290" spans="39:39">
      <c r="AM2290" s="85"/>
    </row>
    <row r="2291" spans="39:39">
      <c r="AM2291" s="85"/>
    </row>
    <row r="2292" spans="39:39">
      <c r="AM2292" s="85"/>
    </row>
    <row r="2293" spans="39:39">
      <c r="AM2293" s="85"/>
    </row>
    <row r="2294" spans="39:39">
      <c r="AM2294" s="85"/>
    </row>
    <row r="2295" spans="39:39">
      <c r="AM2295" s="85"/>
    </row>
    <row r="2296" spans="39:39">
      <c r="AM2296" s="85"/>
    </row>
    <row r="2297" spans="39:39">
      <c r="AM2297" s="85"/>
    </row>
    <row r="2298" spans="39:39">
      <c r="AM2298" s="85"/>
    </row>
    <row r="2299" spans="39:39">
      <c r="AM2299" s="85"/>
    </row>
    <row r="2300" spans="39:39">
      <c r="AM2300" s="85"/>
    </row>
    <row r="2301" spans="39:39">
      <c r="AM2301" s="85"/>
    </row>
    <row r="2302" spans="39:39">
      <c r="AM2302" s="85"/>
    </row>
    <row r="2303" spans="39:39">
      <c r="AM2303" s="85"/>
    </row>
    <row r="2304" spans="39:39">
      <c r="AM2304" s="85"/>
    </row>
    <row r="2305" spans="39:39">
      <c r="AM2305" s="85"/>
    </row>
    <row r="2306" spans="39:39">
      <c r="AM2306" s="85"/>
    </row>
    <row r="2307" spans="39:39">
      <c r="AM2307" s="85"/>
    </row>
    <row r="2308" spans="39:39">
      <c r="AM2308" s="85"/>
    </row>
    <row r="2309" spans="39:39">
      <c r="AM2309" s="85"/>
    </row>
    <row r="2310" spans="39:39">
      <c r="AM2310" s="85"/>
    </row>
    <row r="2311" spans="39:39">
      <c r="AM2311" s="85"/>
    </row>
    <row r="2312" spans="39:39">
      <c r="AM2312" s="85"/>
    </row>
    <row r="2313" spans="39:39">
      <c r="AM2313" s="85"/>
    </row>
    <row r="2314" spans="39:39">
      <c r="AM2314" s="85"/>
    </row>
    <row r="2315" spans="39:39">
      <c r="AM2315" s="85"/>
    </row>
    <row r="2316" spans="39:39">
      <c r="AM2316" s="85"/>
    </row>
    <row r="2317" spans="39:39">
      <c r="AM2317" s="85"/>
    </row>
    <row r="2318" spans="39:39">
      <c r="AM2318" s="85"/>
    </row>
    <row r="2319" spans="39:39">
      <c r="AM2319" s="85"/>
    </row>
    <row r="2320" spans="39:39">
      <c r="AM2320" s="85"/>
    </row>
    <row r="2321" spans="39:39">
      <c r="AM2321" s="85"/>
    </row>
    <row r="2322" spans="39:39">
      <c r="AM2322" s="85"/>
    </row>
    <row r="2323" spans="39:39">
      <c r="AM2323" s="85"/>
    </row>
    <row r="2324" spans="39:39">
      <c r="AM2324" s="85"/>
    </row>
    <row r="2325" spans="39:39">
      <c r="AM2325" s="85"/>
    </row>
    <row r="2326" spans="39:39">
      <c r="AM2326" s="85"/>
    </row>
    <row r="2327" spans="39:39">
      <c r="AM2327" s="85"/>
    </row>
    <row r="2328" spans="39:39">
      <c r="AM2328" s="85"/>
    </row>
    <row r="2329" spans="39:39">
      <c r="AM2329" s="85"/>
    </row>
    <row r="2330" spans="39:39">
      <c r="AM2330" s="85"/>
    </row>
    <row r="2331" spans="39:39">
      <c r="AM2331" s="85"/>
    </row>
    <row r="2332" spans="39:39">
      <c r="AM2332" s="85"/>
    </row>
    <row r="2333" spans="39:39">
      <c r="AM2333" s="85"/>
    </row>
    <row r="2334" spans="39:39">
      <c r="AM2334" s="85"/>
    </row>
    <row r="2335" spans="39:39">
      <c r="AM2335" s="85"/>
    </row>
    <row r="2336" spans="39:39">
      <c r="AM2336" s="85"/>
    </row>
    <row r="2337" spans="39:39">
      <c r="AM2337" s="85"/>
    </row>
    <row r="2338" spans="39:39">
      <c r="AM2338" s="85"/>
    </row>
    <row r="2339" spans="39:39">
      <c r="AM2339" s="85"/>
    </row>
    <row r="2340" spans="39:39">
      <c r="AM2340" s="85"/>
    </row>
    <row r="2341" spans="39:39">
      <c r="AM2341" s="85"/>
    </row>
    <row r="2342" spans="39:39">
      <c r="AM2342" s="85"/>
    </row>
    <row r="2343" spans="39:39">
      <c r="AM2343" s="85"/>
    </row>
    <row r="2344" spans="39:39">
      <c r="AM2344" s="85"/>
    </row>
    <row r="2345" spans="39:39">
      <c r="AM2345" s="85"/>
    </row>
    <row r="2346" spans="39:39">
      <c r="AM2346" s="85"/>
    </row>
    <row r="2347" spans="39:39">
      <c r="AM2347" s="85"/>
    </row>
    <row r="2348" spans="39:39">
      <c r="AM2348" s="85"/>
    </row>
    <row r="2349" spans="39:39">
      <c r="AM2349" s="85"/>
    </row>
    <row r="2350" spans="39:39">
      <c r="AM2350" s="85"/>
    </row>
    <row r="2351" spans="39:39">
      <c r="AM2351" s="85"/>
    </row>
    <row r="2352" spans="39:39">
      <c r="AM2352" s="85"/>
    </row>
    <row r="2353" spans="39:39">
      <c r="AM2353" s="85"/>
    </row>
    <row r="2354" spans="39:39">
      <c r="AM2354" s="85"/>
    </row>
    <row r="2355" spans="39:39">
      <c r="AM2355" s="85"/>
    </row>
    <row r="2356" spans="39:39">
      <c r="AM2356" s="85"/>
    </row>
    <row r="2357" spans="39:39">
      <c r="AM2357" s="85"/>
    </row>
    <row r="2358" spans="39:39">
      <c r="AM2358" s="85"/>
    </row>
    <row r="2359" spans="39:39">
      <c r="AM2359" s="85"/>
    </row>
    <row r="2360" spans="39:39">
      <c r="AM2360" s="85"/>
    </row>
    <row r="2361" spans="39:39">
      <c r="AM2361" s="85"/>
    </row>
    <row r="2362" spans="39:39">
      <c r="AM2362" s="85"/>
    </row>
    <row r="2363" spans="39:39">
      <c r="AM2363" s="85"/>
    </row>
    <row r="2364" spans="39:39">
      <c r="AM2364" s="85"/>
    </row>
    <row r="2365" spans="39:39">
      <c r="AM2365" s="85"/>
    </row>
    <row r="2366" spans="39:39">
      <c r="AM2366" s="85"/>
    </row>
    <row r="2367" spans="39:39">
      <c r="AM2367" s="85"/>
    </row>
    <row r="2368" spans="39:39">
      <c r="AM2368" s="85"/>
    </row>
    <row r="2369" spans="39:39">
      <c r="AM2369" s="85"/>
    </row>
    <row r="2370" spans="39:39">
      <c r="AM2370" s="85"/>
    </row>
    <row r="2371" spans="39:39">
      <c r="AM2371" s="85"/>
    </row>
    <row r="2372" spans="39:39">
      <c r="AM2372" s="85"/>
    </row>
    <row r="2373" spans="39:39">
      <c r="AM2373" s="85"/>
    </row>
    <row r="2374" spans="39:39">
      <c r="AM2374" s="85"/>
    </row>
    <row r="2375" spans="39:39">
      <c r="AM2375" s="85"/>
    </row>
    <row r="2376" spans="39:39">
      <c r="AM2376" s="85"/>
    </row>
    <row r="2377" spans="39:39">
      <c r="AM2377" s="85"/>
    </row>
    <row r="2378" spans="39:39">
      <c r="AM2378" s="85"/>
    </row>
    <row r="2379" spans="39:39">
      <c r="AM2379" s="85"/>
    </row>
    <row r="2380" spans="39:39">
      <c r="AM2380" s="85"/>
    </row>
    <row r="2381" spans="39:39">
      <c r="AM2381" s="85"/>
    </row>
    <row r="2382" spans="39:39">
      <c r="AM2382" s="85"/>
    </row>
    <row r="2383" spans="39:39">
      <c r="AM2383" s="85"/>
    </row>
    <row r="2384" spans="39:39">
      <c r="AM2384" s="85"/>
    </row>
    <row r="2385" spans="39:39">
      <c r="AM2385" s="85"/>
    </row>
    <row r="2386" spans="39:39">
      <c r="AM2386" s="85"/>
    </row>
    <row r="2387" spans="39:39">
      <c r="AM2387" s="85"/>
    </row>
    <row r="2388" spans="39:39">
      <c r="AM2388" s="85"/>
    </row>
    <row r="2389" spans="39:39">
      <c r="AM2389" s="85"/>
    </row>
    <row r="2390" spans="39:39">
      <c r="AM2390" s="85"/>
    </row>
    <row r="2391" spans="39:39">
      <c r="AM2391" s="85"/>
    </row>
    <row r="2392" spans="39:39">
      <c r="AM2392" s="85"/>
    </row>
    <row r="2393" spans="39:39">
      <c r="AM2393" s="85"/>
    </row>
    <row r="2394" spans="39:39">
      <c r="AM2394" s="85"/>
    </row>
    <row r="2395" spans="39:39">
      <c r="AM2395" s="85"/>
    </row>
    <row r="2396" spans="39:39">
      <c r="AM2396" s="85"/>
    </row>
    <row r="2397" spans="39:39">
      <c r="AM2397" s="85"/>
    </row>
    <row r="2398" spans="39:39">
      <c r="AM2398" s="85"/>
    </row>
    <row r="2399" spans="39:39">
      <c r="AM2399" s="85"/>
    </row>
    <row r="2400" spans="39:39">
      <c r="AM2400" s="85"/>
    </row>
    <row r="2401" spans="39:39">
      <c r="AM2401" s="85"/>
    </row>
    <row r="2402" spans="39:39">
      <c r="AM2402" s="85"/>
    </row>
    <row r="2403" spans="39:39">
      <c r="AM2403" s="85"/>
    </row>
    <row r="2404" spans="39:39">
      <c r="AM2404" s="85"/>
    </row>
    <row r="2405" spans="39:39">
      <c r="AM2405" s="85"/>
    </row>
    <row r="2406" spans="39:39">
      <c r="AM2406" s="85"/>
    </row>
    <row r="2407" spans="39:39">
      <c r="AM2407" s="85"/>
    </row>
    <row r="2408" spans="39:39">
      <c r="AM2408" s="85"/>
    </row>
    <row r="2409" spans="39:39">
      <c r="AM2409" s="85"/>
    </row>
    <row r="2410" spans="39:39">
      <c r="AM2410" s="85"/>
    </row>
    <row r="2411" spans="39:39">
      <c r="AM2411" s="85"/>
    </row>
    <row r="2412" spans="39:39">
      <c r="AM2412" s="85"/>
    </row>
    <row r="2413" spans="39:39">
      <c r="AM2413" s="85"/>
    </row>
    <row r="2414" spans="39:39">
      <c r="AM2414" s="85"/>
    </row>
    <row r="2415" spans="39:39">
      <c r="AM2415" s="85"/>
    </row>
    <row r="2416" spans="39:39">
      <c r="AM2416" s="85"/>
    </row>
    <row r="2417" spans="39:39">
      <c r="AM2417" s="85"/>
    </row>
    <row r="2418" spans="39:39">
      <c r="AM2418" s="85"/>
    </row>
    <row r="2419" spans="39:39">
      <c r="AM2419" s="85"/>
    </row>
    <row r="2420" spans="39:39">
      <c r="AM2420" s="85"/>
    </row>
    <row r="2421" spans="39:39">
      <c r="AM2421" s="85"/>
    </row>
    <row r="2422" spans="39:39">
      <c r="AM2422" s="85"/>
    </row>
    <row r="2423" spans="39:39">
      <c r="AM2423" s="85"/>
    </row>
    <row r="2424" spans="39:39">
      <c r="AM2424" s="85"/>
    </row>
    <row r="2425" spans="39:39">
      <c r="AM2425" s="85"/>
    </row>
    <row r="2426" spans="39:39">
      <c r="AM2426" s="85"/>
    </row>
    <row r="2427" spans="39:39">
      <c r="AM2427" s="85"/>
    </row>
    <row r="2428" spans="39:39">
      <c r="AM2428" s="85"/>
    </row>
    <row r="2429" spans="39:39">
      <c r="AM2429" s="85"/>
    </row>
    <row r="2430" spans="39:39">
      <c r="AM2430" s="85"/>
    </row>
    <row r="2431" spans="39:39">
      <c r="AM2431" s="85"/>
    </row>
    <row r="2432" spans="39:39">
      <c r="AM2432" s="85"/>
    </row>
    <row r="2433" spans="39:39">
      <c r="AM2433" s="85"/>
    </row>
    <row r="2434" spans="39:39">
      <c r="AM2434" s="85"/>
    </row>
    <row r="2435" spans="39:39">
      <c r="AM2435" s="85"/>
    </row>
    <row r="2436" spans="39:39">
      <c r="AM2436" s="85"/>
    </row>
    <row r="2437" spans="39:39">
      <c r="AM2437" s="85"/>
    </row>
    <row r="2438" spans="39:39">
      <c r="AM2438" s="85"/>
    </row>
    <row r="2439" spans="39:39">
      <c r="AM2439" s="85"/>
    </row>
    <row r="2440" spans="39:39">
      <c r="AM2440" s="85"/>
    </row>
    <row r="2441" spans="39:39">
      <c r="AM2441" s="85"/>
    </row>
    <row r="2442" spans="39:39">
      <c r="AM2442" s="85"/>
    </row>
    <row r="2443" spans="39:39">
      <c r="AM2443" s="85"/>
    </row>
    <row r="2444" spans="39:39">
      <c r="AM2444" s="85"/>
    </row>
    <row r="2445" spans="39:39">
      <c r="AM2445" s="85"/>
    </row>
    <row r="2446" spans="39:39">
      <c r="AM2446" s="85"/>
    </row>
    <row r="2447" spans="39:39">
      <c r="AM2447" s="85"/>
    </row>
    <row r="2448" spans="39:39">
      <c r="AM2448" s="85"/>
    </row>
    <row r="2449" spans="39:39">
      <c r="AM2449" s="85"/>
    </row>
    <row r="2450" spans="39:39">
      <c r="AM2450" s="85"/>
    </row>
    <row r="2451" spans="39:39">
      <c r="AM2451" s="85"/>
    </row>
    <row r="2452" spans="39:39">
      <c r="AM2452" s="85"/>
    </row>
    <row r="2453" spans="39:39">
      <c r="AM2453" s="85"/>
    </row>
    <row r="2454" spans="39:39">
      <c r="AM2454" s="85"/>
    </row>
    <row r="2455" spans="39:39">
      <c r="AM2455" s="85"/>
    </row>
    <row r="2456" spans="39:39">
      <c r="AM2456" s="85"/>
    </row>
    <row r="2457" spans="39:39">
      <c r="AM2457" s="85"/>
    </row>
    <row r="2458" spans="39:39">
      <c r="AM2458" s="85"/>
    </row>
    <row r="2459" spans="39:39">
      <c r="AM2459" s="85"/>
    </row>
    <row r="2460" spans="39:39">
      <c r="AM2460" s="85"/>
    </row>
    <row r="2461" spans="39:39">
      <c r="AM2461" s="85"/>
    </row>
    <row r="2462" spans="39:39">
      <c r="AM2462" s="85"/>
    </row>
    <row r="2463" spans="39:39">
      <c r="AM2463" s="85"/>
    </row>
    <row r="2464" spans="39:39">
      <c r="AM2464" s="85"/>
    </row>
    <row r="2465" spans="39:39">
      <c r="AM2465" s="85"/>
    </row>
    <row r="2466" spans="39:39">
      <c r="AM2466" s="85"/>
    </row>
    <row r="2467" spans="39:39">
      <c r="AM2467" s="85"/>
    </row>
    <row r="2468" spans="39:39">
      <c r="AM2468" s="85"/>
    </row>
    <row r="2469" spans="39:39">
      <c r="AM2469" s="85"/>
    </row>
    <row r="2470" spans="39:39">
      <c r="AM2470" s="85"/>
    </row>
    <row r="2471" spans="39:39">
      <c r="AM2471" s="85"/>
    </row>
    <row r="2472" spans="39:39">
      <c r="AM2472" s="85"/>
    </row>
    <row r="2473" spans="39:39">
      <c r="AM2473" s="85"/>
    </row>
    <row r="2474" spans="39:39">
      <c r="AM2474" s="85"/>
    </row>
    <row r="2475" spans="39:39">
      <c r="AM2475" s="85"/>
    </row>
    <row r="2476" spans="39:39">
      <c r="AM2476" s="85"/>
    </row>
    <row r="2477" spans="39:39">
      <c r="AM2477" s="85"/>
    </row>
    <row r="2478" spans="39:39">
      <c r="AM2478" s="85"/>
    </row>
    <row r="2479" spans="39:39">
      <c r="AM2479" s="85"/>
    </row>
    <row r="2480" spans="39:39">
      <c r="AM2480" s="85"/>
    </row>
    <row r="2481" spans="39:39">
      <c r="AM2481" s="85"/>
    </row>
    <row r="2482" spans="39:39">
      <c r="AM2482" s="85"/>
    </row>
    <row r="2483" spans="39:39">
      <c r="AM2483" s="85"/>
    </row>
    <row r="2484" spans="39:39">
      <c r="AM2484" s="85"/>
    </row>
    <row r="2485" spans="39:39">
      <c r="AM2485" s="85"/>
    </row>
    <row r="2486" spans="39:39">
      <c r="AM2486" s="85"/>
    </row>
    <row r="2487" spans="39:39">
      <c r="AM2487" s="85"/>
    </row>
    <row r="2488" spans="39:39">
      <c r="AM2488" s="85"/>
    </row>
    <row r="2489" spans="39:39">
      <c r="AM2489" s="85"/>
    </row>
    <row r="2490" spans="39:39">
      <c r="AM2490" s="85"/>
    </row>
    <row r="2491" spans="39:39">
      <c r="AM2491" s="85"/>
    </row>
    <row r="2492" spans="39:39">
      <c r="AM2492" s="85"/>
    </row>
    <row r="2493" spans="39:39">
      <c r="AM2493" s="85"/>
    </row>
    <row r="2494" spans="39:39">
      <c r="AM2494" s="85"/>
    </row>
    <row r="2495" spans="39:39">
      <c r="AM2495" s="85"/>
    </row>
    <row r="2496" spans="39:39">
      <c r="AM2496" s="85"/>
    </row>
    <row r="2497" spans="39:39">
      <c r="AM2497" s="85"/>
    </row>
    <row r="2498" spans="39:39">
      <c r="AM2498" s="85"/>
    </row>
    <row r="2499" spans="39:39">
      <c r="AM2499" s="85"/>
    </row>
    <row r="2500" spans="39:39">
      <c r="AM2500" s="85"/>
    </row>
    <row r="2501" spans="39:39">
      <c r="AM2501" s="85"/>
    </row>
    <row r="2502" spans="39:39">
      <c r="AM2502" s="85"/>
    </row>
    <row r="2503" spans="39:39">
      <c r="AM2503" s="85"/>
    </row>
    <row r="2504" spans="39:39">
      <c r="AM2504" s="85"/>
    </row>
    <row r="2505" spans="39:39">
      <c r="AM2505" s="85"/>
    </row>
    <row r="2506" spans="39:39">
      <c r="AM2506" s="85"/>
    </row>
    <row r="2507" spans="39:39">
      <c r="AM2507" s="85"/>
    </row>
    <row r="2508" spans="39:39">
      <c r="AM2508" s="85"/>
    </row>
    <row r="2509" spans="39:39">
      <c r="AM2509" s="85"/>
    </row>
    <row r="2510" spans="39:39">
      <c r="AM2510" s="85"/>
    </row>
    <row r="2511" spans="39:39">
      <c r="AM2511" s="85"/>
    </row>
    <row r="2512" spans="39:39">
      <c r="AM2512" s="85"/>
    </row>
    <row r="2513" spans="39:39">
      <c r="AM2513" s="85"/>
    </row>
    <row r="2514" spans="39:39">
      <c r="AM2514" s="85"/>
    </row>
    <row r="2515" spans="39:39">
      <c r="AM2515" s="85"/>
    </row>
    <row r="2516" spans="39:39">
      <c r="AM2516" s="85"/>
    </row>
    <row r="2517" spans="39:39">
      <c r="AM2517" s="85"/>
    </row>
    <row r="2518" spans="39:39">
      <c r="AM2518" s="85"/>
    </row>
    <row r="2519" spans="39:39">
      <c r="AM2519" s="85"/>
    </row>
    <row r="2520" spans="39:39">
      <c r="AM2520" s="85"/>
    </row>
    <row r="2521" spans="39:39">
      <c r="AM2521" s="85"/>
    </row>
    <row r="2522" spans="39:39">
      <c r="AM2522" s="85"/>
    </row>
    <row r="2523" spans="39:39">
      <c r="AM2523" s="85"/>
    </row>
    <row r="2524" spans="39:39">
      <c r="AM2524" s="85"/>
    </row>
    <row r="2525" spans="39:39">
      <c r="AM2525" s="85"/>
    </row>
    <row r="2526" spans="39:39">
      <c r="AM2526" s="85"/>
    </row>
    <row r="2527" spans="39:39">
      <c r="AM2527" s="85"/>
    </row>
    <row r="2528" spans="39:39">
      <c r="AM2528" s="85"/>
    </row>
    <row r="2529" spans="39:39">
      <c r="AM2529" s="85"/>
    </row>
    <row r="2530" spans="39:39">
      <c r="AM2530" s="85"/>
    </row>
    <row r="2531" spans="39:39">
      <c r="AM2531" s="85"/>
    </row>
    <row r="2532" spans="39:39">
      <c r="AM2532" s="85"/>
    </row>
    <row r="2533" spans="39:39">
      <c r="AM2533" s="85"/>
    </row>
    <row r="2534" spans="39:39">
      <c r="AM2534" s="85"/>
    </row>
    <row r="2535" spans="39:39">
      <c r="AM2535" s="85"/>
    </row>
    <row r="2536" spans="39:39">
      <c r="AM2536" s="85"/>
    </row>
    <row r="2537" spans="39:39">
      <c r="AM2537" s="85"/>
    </row>
    <row r="2538" spans="39:39">
      <c r="AM2538" s="85"/>
    </row>
    <row r="2539" spans="39:39">
      <c r="AM2539" s="85"/>
    </row>
    <row r="2540" spans="39:39">
      <c r="AM2540" s="85"/>
    </row>
    <row r="2541" spans="39:39">
      <c r="AM2541" s="85"/>
    </row>
    <row r="2542" spans="39:39">
      <c r="AM2542" s="85"/>
    </row>
    <row r="2543" spans="39:39">
      <c r="AM2543" s="85"/>
    </row>
    <row r="2544" spans="39:39">
      <c r="AM2544" s="85"/>
    </row>
    <row r="2545" spans="39:39">
      <c r="AM2545" s="85"/>
    </row>
    <row r="2546" spans="39:39">
      <c r="AM2546" s="85"/>
    </row>
    <row r="2547" spans="39:39">
      <c r="AM2547" s="85"/>
    </row>
    <row r="2548" spans="39:39">
      <c r="AM2548" s="85"/>
    </row>
    <row r="2549" spans="39:39">
      <c r="AM2549" s="85"/>
    </row>
    <row r="2550" spans="39:39">
      <c r="AM2550" s="85"/>
    </row>
    <row r="2551" spans="39:39">
      <c r="AM2551" s="85"/>
    </row>
    <row r="2552" spans="39:39">
      <c r="AM2552" s="85"/>
    </row>
    <row r="2553" spans="39:39">
      <c r="AM2553" s="85"/>
    </row>
    <row r="2554" spans="39:39">
      <c r="AM2554" s="85"/>
    </row>
    <row r="2555" spans="39:39">
      <c r="AM2555" s="85"/>
    </row>
    <row r="2556" spans="39:39">
      <c r="AM2556" s="85"/>
    </row>
    <row r="2557" spans="39:39">
      <c r="AM2557" s="85"/>
    </row>
    <row r="2558" spans="39:39">
      <c r="AM2558" s="85"/>
    </row>
    <row r="2559" spans="39:39">
      <c r="AM2559" s="85"/>
    </row>
    <row r="2560" spans="39:39">
      <c r="AM2560" s="85"/>
    </row>
    <row r="2561" spans="39:39">
      <c r="AM2561" s="85"/>
    </row>
    <row r="2562" spans="39:39">
      <c r="AM2562" s="85"/>
    </row>
    <row r="2563" spans="39:39">
      <c r="AM2563" s="85"/>
    </row>
    <row r="2564" spans="39:39">
      <c r="AM2564" s="85"/>
    </row>
    <row r="2565" spans="39:39">
      <c r="AM2565" s="85"/>
    </row>
    <row r="2566" spans="39:39">
      <c r="AM2566" s="85"/>
    </row>
    <row r="2567" spans="39:39">
      <c r="AM2567" s="85"/>
    </row>
    <row r="2568" spans="39:39">
      <c r="AM2568" s="85"/>
    </row>
    <row r="2569" spans="39:39">
      <c r="AM2569" s="85"/>
    </row>
    <row r="2570" spans="39:39">
      <c r="AM2570" s="85"/>
    </row>
    <row r="2571" spans="39:39">
      <c r="AM2571" s="85"/>
    </row>
    <row r="2572" spans="39:39">
      <c r="AM2572" s="85"/>
    </row>
    <row r="2573" spans="39:39">
      <c r="AM2573" s="85"/>
    </row>
    <row r="2574" spans="39:39">
      <c r="AM2574" s="85"/>
    </row>
    <row r="2575" spans="39:39">
      <c r="AM2575" s="85"/>
    </row>
    <row r="2576" spans="39:39">
      <c r="AM2576" s="85"/>
    </row>
    <row r="2577" spans="39:39">
      <c r="AM2577" s="85"/>
    </row>
    <row r="2578" spans="39:39">
      <c r="AM2578" s="85"/>
    </row>
    <row r="2579" spans="39:39">
      <c r="AM2579" s="85"/>
    </row>
    <row r="2580" spans="39:39">
      <c r="AM2580" s="85"/>
    </row>
    <row r="2581" spans="39:39">
      <c r="AM2581" s="85"/>
    </row>
    <row r="2582" spans="39:39">
      <c r="AM2582" s="85"/>
    </row>
    <row r="2583" spans="39:39">
      <c r="AM2583" s="85"/>
    </row>
    <row r="2584" spans="39:39">
      <c r="AM2584" s="85"/>
    </row>
    <row r="2585" spans="39:39">
      <c r="AM2585" s="85"/>
    </row>
    <row r="2586" spans="39:39">
      <c r="AM2586" s="85"/>
    </row>
    <row r="2587" spans="39:39">
      <c r="AM2587" s="85"/>
    </row>
    <row r="2588" spans="39:39">
      <c r="AM2588" s="85"/>
    </row>
    <row r="2589" spans="39:39">
      <c r="AM2589" s="85"/>
    </row>
    <row r="2590" spans="39:39">
      <c r="AM2590" s="85"/>
    </row>
    <row r="2591" spans="39:39">
      <c r="AM2591" s="85"/>
    </row>
    <row r="2592" spans="39:39">
      <c r="AM2592" s="85"/>
    </row>
    <row r="2593" spans="39:39">
      <c r="AM2593" s="85"/>
    </row>
    <row r="2594" spans="39:39">
      <c r="AM2594" s="85"/>
    </row>
    <row r="2595" spans="39:39">
      <c r="AM2595" s="85"/>
    </row>
    <row r="2596" spans="39:39">
      <c r="AM2596" s="85"/>
    </row>
    <row r="2597" spans="39:39">
      <c r="AM2597" s="85"/>
    </row>
    <row r="2598" spans="39:39">
      <c r="AM2598" s="85"/>
    </row>
    <row r="2599" spans="39:39">
      <c r="AM2599" s="85"/>
    </row>
    <row r="2600" spans="39:39">
      <c r="AM2600" s="85"/>
    </row>
    <row r="2601" spans="39:39">
      <c r="AM2601" s="85"/>
    </row>
    <row r="2602" spans="39:39">
      <c r="AM2602" s="85"/>
    </row>
    <row r="2603" spans="39:39">
      <c r="AM2603" s="85"/>
    </row>
    <row r="2604" spans="39:39">
      <c r="AM2604" s="85"/>
    </row>
    <row r="2605" spans="39:39">
      <c r="AM2605" s="85"/>
    </row>
    <row r="2606" spans="39:39">
      <c r="AM2606" s="85"/>
    </row>
    <row r="2607" spans="39:39">
      <c r="AM2607" s="85"/>
    </row>
    <row r="2608" spans="39:39">
      <c r="AM2608" s="85"/>
    </row>
    <row r="2609" spans="39:39">
      <c r="AM2609" s="85"/>
    </row>
    <row r="2610" spans="39:39">
      <c r="AM2610" s="85"/>
    </row>
    <row r="2611" spans="39:39">
      <c r="AM2611" s="85"/>
    </row>
    <row r="2612" spans="39:39">
      <c r="AM2612" s="85"/>
    </row>
    <row r="2613" spans="39:39">
      <c r="AM2613" s="85"/>
    </row>
    <row r="2614" spans="39:39">
      <c r="AM2614" s="85"/>
    </row>
    <row r="2615" spans="39:39">
      <c r="AM2615" s="85"/>
    </row>
    <row r="2616" spans="39:39">
      <c r="AM2616" s="85"/>
    </row>
    <row r="2617" spans="39:39">
      <c r="AM2617" s="85"/>
    </row>
    <row r="2618" spans="39:39">
      <c r="AM2618" s="85"/>
    </row>
    <row r="2619" spans="39:39">
      <c r="AM2619" s="85"/>
    </row>
    <row r="2620" spans="39:39">
      <c r="AM2620" s="85"/>
    </row>
    <row r="2621" spans="39:39">
      <c r="AM2621" s="85"/>
    </row>
    <row r="2622" spans="39:39">
      <c r="AM2622" s="85"/>
    </row>
    <row r="2623" spans="39:39">
      <c r="AM2623" s="85"/>
    </row>
    <row r="2624" spans="39:39">
      <c r="AM2624" s="85"/>
    </row>
    <row r="2625" spans="39:39">
      <c r="AM2625" s="85"/>
    </row>
    <row r="2626" spans="39:39">
      <c r="AM2626" s="85"/>
    </row>
    <row r="2627" spans="39:39">
      <c r="AM2627" s="85"/>
    </row>
    <row r="2628" spans="39:39">
      <c r="AM2628" s="85"/>
    </row>
    <row r="2629" spans="39:39">
      <c r="AM2629" s="85"/>
    </row>
    <row r="2630" spans="39:39">
      <c r="AM2630" s="85"/>
    </row>
    <row r="2631" spans="39:39">
      <c r="AM2631" s="85"/>
    </row>
    <row r="2632" spans="39:39">
      <c r="AM2632" s="85"/>
    </row>
    <row r="2633" spans="39:39">
      <c r="AM2633" s="85"/>
    </row>
    <row r="2634" spans="39:39">
      <c r="AM2634" s="85"/>
    </row>
    <row r="2635" spans="39:39">
      <c r="AM2635" s="85"/>
    </row>
    <row r="2636" spans="39:39">
      <c r="AM2636" s="85"/>
    </row>
    <row r="2637" spans="39:39">
      <c r="AM2637" s="85"/>
    </row>
    <row r="2638" spans="39:39">
      <c r="AM2638" s="85"/>
    </row>
    <row r="2639" spans="39:39">
      <c r="AM2639" s="85"/>
    </row>
    <row r="2640" spans="39:39">
      <c r="AM2640" s="85"/>
    </row>
    <row r="2641" spans="39:39">
      <c r="AM2641" s="85"/>
    </row>
    <row r="2642" spans="39:39">
      <c r="AM2642" s="85"/>
    </row>
    <row r="2643" spans="39:39">
      <c r="AM2643" s="85"/>
    </row>
    <row r="2644" spans="39:39">
      <c r="AM2644" s="85"/>
    </row>
    <row r="2645" spans="39:39">
      <c r="AM2645" s="85"/>
    </row>
    <row r="2646" spans="39:39">
      <c r="AM2646" s="85"/>
    </row>
    <row r="2647" spans="39:39">
      <c r="AM2647" s="85"/>
    </row>
    <row r="2648" spans="39:39">
      <c r="AM2648" s="85"/>
    </row>
    <row r="2649" spans="39:39">
      <c r="AM2649" s="85"/>
    </row>
    <row r="2650" spans="39:39">
      <c r="AM2650" s="85"/>
    </row>
    <row r="2651" spans="39:39">
      <c r="AM2651" s="85"/>
    </row>
    <row r="2652" spans="39:39">
      <c r="AM2652" s="85"/>
    </row>
    <row r="2653" spans="39:39">
      <c r="AM2653" s="85"/>
    </row>
    <row r="2654" spans="39:39">
      <c r="AM2654" s="85"/>
    </row>
    <row r="2655" spans="39:39">
      <c r="AM2655" s="85"/>
    </row>
    <row r="2656" spans="39:39">
      <c r="AM2656" s="85"/>
    </row>
    <row r="2657" spans="39:39">
      <c r="AM2657" s="85"/>
    </row>
    <row r="2658" spans="39:39">
      <c r="AM2658" s="85"/>
    </row>
    <row r="2659" spans="39:39">
      <c r="AM2659" s="85"/>
    </row>
    <row r="2660" spans="39:39">
      <c r="AM2660" s="85"/>
    </row>
    <row r="2661" spans="39:39">
      <c r="AM2661" s="85"/>
    </row>
    <row r="2662" spans="39:39">
      <c r="AM2662" s="85"/>
    </row>
    <row r="2663" spans="39:39">
      <c r="AM2663" s="85"/>
    </row>
    <row r="2664" spans="39:39">
      <c r="AM2664" s="85"/>
    </row>
    <row r="2665" spans="39:39">
      <c r="AM2665" s="85"/>
    </row>
    <row r="2666" spans="39:39">
      <c r="AM2666" s="85"/>
    </row>
    <row r="2667" spans="39:39">
      <c r="AM2667" s="85"/>
    </row>
    <row r="2668" spans="39:39">
      <c r="AM2668" s="85"/>
    </row>
    <row r="2669" spans="39:39">
      <c r="AM2669" s="85"/>
    </row>
    <row r="2670" spans="39:39">
      <c r="AM2670" s="85"/>
    </row>
    <row r="2671" spans="39:39">
      <c r="AM2671" s="85"/>
    </row>
    <row r="2672" spans="39:39">
      <c r="AM2672" s="85"/>
    </row>
    <row r="2673" spans="39:39">
      <c r="AM2673" s="85"/>
    </row>
    <row r="2674" spans="39:39">
      <c r="AM2674" s="85"/>
    </row>
    <row r="2675" spans="39:39">
      <c r="AM2675" s="85"/>
    </row>
    <row r="2676" spans="39:39">
      <c r="AM2676" s="85"/>
    </row>
    <row r="2677" spans="39:39">
      <c r="AM2677" s="85"/>
    </row>
    <row r="2678" spans="39:39">
      <c r="AM2678" s="85"/>
    </row>
    <row r="2679" spans="39:39">
      <c r="AM2679" s="85"/>
    </row>
    <row r="2680" spans="39:39">
      <c r="AM2680" s="85"/>
    </row>
    <row r="2681" spans="39:39">
      <c r="AM2681" s="85"/>
    </row>
    <row r="2682" spans="39:39">
      <c r="AM2682" s="85"/>
    </row>
    <row r="2683" spans="39:39">
      <c r="AM2683" s="85"/>
    </row>
    <row r="2684" spans="39:39">
      <c r="AM2684" s="85"/>
    </row>
    <row r="2685" spans="39:39">
      <c r="AM2685" s="85"/>
    </row>
    <row r="2686" spans="39:39">
      <c r="AM2686" s="85"/>
    </row>
    <row r="2687" spans="39:39">
      <c r="AM2687" s="85"/>
    </row>
    <row r="2688" spans="39:39">
      <c r="AM2688" s="85"/>
    </row>
    <row r="2689" spans="39:39">
      <c r="AM2689" s="85"/>
    </row>
    <row r="2690" spans="39:39">
      <c r="AM2690" s="85"/>
    </row>
    <row r="2691" spans="39:39">
      <c r="AM2691" s="85"/>
    </row>
    <row r="2692" spans="39:39">
      <c r="AM2692" s="85"/>
    </row>
    <row r="2693" spans="39:39">
      <c r="AM2693" s="85"/>
    </row>
    <row r="2694" spans="39:39">
      <c r="AM2694" s="85"/>
    </row>
    <row r="2695" spans="39:39">
      <c r="AM2695" s="85"/>
    </row>
    <row r="2696" spans="39:39">
      <c r="AM2696" s="85"/>
    </row>
    <row r="2697" spans="39:39">
      <c r="AM2697" s="85"/>
    </row>
    <row r="2698" spans="39:39">
      <c r="AM2698" s="85"/>
    </row>
    <row r="2699" spans="39:39">
      <c r="AM2699" s="85"/>
    </row>
    <row r="2700" spans="39:39">
      <c r="AM2700" s="85"/>
    </row>
    <row r="2701" spans="39:39">
      <c r="AM2701" s="85"/>
    </row>
    <row r="2702" spans="39:39">
      <c r="AM2702" s="85"/>
    </row>
    <row r="2703" spans="39:39">
      <c r="AM2703" s="85"/>
    </row>
    <row r="2704" spans="39:39">
      <c r="AM2704" s="85"/>
    </row>
    <row r="2705" spans="39:39">
      <c r="AM2705" s="85"/>
    </row>
    <row r="2706" spans="39:39">
      <c r="AM2706" s="85"/>
    </row>
    <row r="2707" spans="39:39">
      <c r="AM2707" s="85"/>
    </row>
    <row r="2708" spans="39:39">
      <c r="AM2708" s="85"/>
    </row>
    <row r="2709" spans="39:39">
      <c r="AM2709" s="85"/>
    </row>
    <row r="2710" spans="39:39">
      <c r="AM2710" s="85"/>
    </row>
    <row r="2711" spans="39:39">
      <c r="AM2711" s="85"/>
    </row>
    <row r="2712" spans="39:39">
      <c r="AM2712" s="85"/>
    </row>
    <row r="2713" spans="39:39">
      <c r="AM2713" s="85"/>
    </row>
    <row r="2714" spans="39:39">
      <c r="AM2714" s="85"/>
    </row>
    <row r="2715" spans="39:39">
      <c r="AM2715" s="85"/>
    </row>
    <row r="2716" spans="39:39">
      <c r="AM2716" s="85"/>
    </row>
    <row r="2717" spans="39:39">
      <c r="AM2717" s="85"/>
    </row>
    <row r="2718" spans="39:39">
      <c r="AM2718" s="85"/>
    </row>
    <row r="2719" spans="39:39">
      <c r="AM2719" s="85"/>
    </row>
    <row r="2720" spans="39:39">
      <c r="AM2720" s="85"/>
    </row>
    <row r="2721" spans="39:39">
      <c r="AM2721" s="85"/>
    </row>
    <row r="2722" spans="39:39">
      <c r="AM2722" s="85"/>
    </row>
    <row r="2723" spans="39:39">
      <c r="AM2723" s="85"/>
    </row>
    <row r="2724" spans="39:39">
      <c r="AM2724" s="85"/>
    </row>
    <row r="2725" spans="39:39">
      <c r="AM2725" s="85"/>
    </row>
    <row r="2726" spans="39:39">
      <c r="AM2726" s="85"/>
    </row>
    <row r="2727" spans="39:39">
      <c r="AM2727" s="85"/>
    </row>
    <row r="2728" spans="39:39">
      <c r="AM2728" s="85"/>
    </row>
    <row r="2729" spans="39:39">
      <c r="AM2729" s="85"/>
    </row>
    <row r="2730" spans="39:39">
      <c r="AM2730" s="85"/>
    </row>
    <row r="2731" spans="39:39">
      <c r="AM2731" s="85"/>
    </row>
    <row r="2732" spans="39:39">
      <c r="AM2732" s="85"/>
    </row>
    <row r="2733" spans="39:39">
      <c r="AM2733" s="85"/>
    </row>
    <row r="2734" spans="39:39">
      <c r="AM2734" s="85"/>
    </row>
    <row r="2735" spans="39:39">
      <c r="AM2735" s="85"/>
    </row>
    <row r="2736" spans="39:39">
      <c r="AM2736" s="85"/>
    </row>
    <row r="2737" spans="39:39">
      <c r="AM2737" s="85"/>
    </row>
    <row r="2738" spans="39:39">
      <c r="AM2738" s="85"/>
    </row>
    <row r="2739" spans="39:39">
      <c r="AM2739" s="85"/>
    </row>
    <row r="2740" spans="39:39">
      <c r="AM2740" s="85"/>
    </row>
    <row r="2741" spans="39:39">
      <c r="AM2741" s="85"/>
    </row>
    <row r="2742" spans="39:39">
      <c r="AM2742" s="85"/>
    </row>
    <row r="2743" spans="39:39">
      <c r="AM2743" s="85"/>
    </row>
    <row r="2744" spans="39:39">
      <c r="AM2744" s="85"/>
    </row>
    <row r="2745" spans="39:39">
      <c r="AM2745" s="85"/>
    </row>
    <row r="2746" spans="39:39">
      <c r="AM2746" s="85"/>
    </row>
    <row r="2747" spans="39:39">
      <c r="AM2747" s="85"/>
    </row>
    <row r="2748" spans="39:39">
      <c r="AM2748" s="85"/>
    </row>
    <row r="2749" spans="39:39">
      <c r="AM2749" s="85"/>
    </row>
    <row r="2750" spans="39:39">
      <c r="AM2750" s="85"/>
    </row>
    <row r="2751" spans="39:39">
      <c r="AM2751" s="85"/>
    </row>
    <row r="2752" spans="39:39">
      <c r="AM2752" s="85"/>
    </row>
    <row r="2753" spans="39:39">
      <c r="AM2753" s="85"/>
    </row>
    <row r="2754" spans="39:39">
      <c r="AM2754" s="85"/>
    </row>
    <row r="2755" spans="39:39">
      <c r="AM2755" s="85"/>
    </row>
    <row r="2756" spans="39:39">
      <c r="AM2756" s="85"/>
    </row>
    <row r="2757" spans="39:39">
      <c r="AM2757" s="85"/>
    </row>
    <row r="2758" spans="39:39">
      <c r="AM2758" s="85"/>
    </row>
    <row r="2759" spans="39:39">
      <c r="AM2759" s="85"/>
    </row>
    <row r="2760" spans="39:39">
      <c r="AM2760" s="85"/>
    </row>
    <row r="2761" spans="39:39">
      <c r="AM2761" s="85"/>
    </row>
    <row r="2762" spans="39:39">
      <c r="AM2762" s="85"/>
    </row>
    <row r="2763" spans="39:39">
      <c r="AM2763" s="85"/>
    </row>
    <row r="2764" spans="39:39">
      <c r="AM2764" s="85"/>
    </row>
    <row r="2765" spans="39:39">
      <c r="AM2765" s="85"/>
    </row>
    <row r="2766" spans="39:39">
      <c r="AM2766" s="85"/>
    </row>
    <row r="2767" spans="39:39">
      <c r="AM2767" s="85"/>
    </row>
    <row r="2768" spans="39:39">
      <c r="AM2768" s="85"/>
    </row>
    <row r="2769" spans="39:39">
      <c r="AM2769" s="85"/>
    </row>
    <row r="2770" spans="39:39">
      <c r="AM2770" s="85"/>
    </row>
    <row r="2771" spans="39:39">
      <c r="AM2771" s="85"/>
    </row>
    <row r="2772" spans="39:39">
      <c r="AM2772" s="85"/>
    </row>
    <row r="2773" spans="39:39">
      <c r="AM2773" s="85"/>
    </row>
    <row r="2774" spans="39:39">
      <c r="AM2774" s="85"/>
    </row>
    <row r="2775" spans="39:39">
      <c r="AM2775" s="85"/>
    </row>
    <row r="2776" spans="39:39">
      <c r="AM2776" s="85"/>
    </row>
    <row r="2777" spans="39:39">
      <c r="AM2777" s="85"/>
    </row>
    <row r="2778" spans="39:39">
      <c r="AM2778" s="85"/>
    </row>
    <row r="2779" spans="39:39">
      <c r="AM2779" s="85"/>
    </row>
    <row r="2780" spans="39:39">
      <c r="AM2780" s="85"/>
    </row>
    <row r="2781" spans="39:39">
      <c r="AM2781" s="85"/>
    </row>
    <row r="2782" spans="39:39">
      <c r="AM2782" s="85"/>
    </row>
    <row r="2783" spans="39:39">
      <c r="AM2783" s="85"/>
    </row>
    <row r="2784" spans="39:39">
      <c r="AM2784" s="85"/>
    </row>
    <row r="2785" spans="39:39">
      <c r="AM2785" s="85"/>
    </row>
    <row r="2786" spans="39:39">
      <c r="AM2786" s="85"/>
    </row>
    <row r="2787" spans="39:39">
      <c r="AM2787" s="85"/>
    </row>
    <row r="2788" spans="39:39">
      <c r="AM2788" s="85"/>
    </row>
    <row r="2789" spans="39:39">
      <c r="AM2789" s="85"/>
    </row>
    <row r="2790" spans="39:39">
      <c r="AM2790" s="85"/>
    </row>
    <row r="2791" spans="39:39">
      <c r="AM2791" s="85"/>
    </row>
    <row r="2792" spans="39:39">
      <c r="AM2792" s="85"/>
    </row>
    <row r="2793" spans="39:39">
      <c r="AM2793" s="85"/>
    </row>
    <row r="2794" spans="39:39">
      <c r="AM2794" s="85"/>
    </row>
    <row r="2795" spans="39:39">
      <c r="AM2795" s="85"/>
    </row>
    <row r="2796" spans="39:39">
      <c r="AM2796" s="85"/>
    </row>
    <row r="2797" spans="39:39">
      <c r="AM2797" s="85"/>
    </row>
    <row r="2798" spans="39:39">
      <c r="AM2798" s="85"/>
    </row>
    <row r="2799" spans="39:39">
      <c r="AM2799" s="85"/>
    </row>
    <row r="2800" spans="39:39">
      <c r="AM2800" s="85"/>
    </row>
    <row r="2801" spans="39:39">
      <c r="AM2801" s="85"/>
    </row>
    <row r="2802" spans="39:39">
      <c r="AM2802" s="85"/>
    </row>
    <row r="2803" spans="39:39">
      <c r="AM2803" s="85"/>
    </row>
    <row r="2804" spans="39:39">
      <c r="AM2804" s="85"/>
    </row>
    <row r="2805" spans="39:39">
      <c r="AM2805" s="85"/>
    </row>
    <row r="2806" spans="39:39">
      <c r="AM2806" s="85"/>
    </row>
    <row r="2807" spans="39:39">
      <c r="AM2807" s="85"/>
    </row>
    <row r="2808" spans="39:39">
      <c r="AM2808" s="85"/>
    </row>
    <row r="2809" spans="39:39">
      <c r="AM2809" s="85"/>
    </row>
    <row r="2810" spans="39:39">
      <c r="AM2810" s="85"/>
    </row>
    <row r="2811" spans="39:39">
      <c r="AM2811" s="85"/>
    </row>
    <row r="2812" spans="39:39">
      <c r="AM2812" s="85"/>
    </row>
    <row r="2813" spans="39:39">
      <c r="AM2813" s="85"/>
    </row>
    <row r="2814" spans="39:39">
      <c r="AM2814" s="85"/>
    </row>
    <row r="2815" spans="39:39">
      <c r="AM2815" s="85"/>
    </row>
    <row r="2816" spans="39:39">
      <c r="AM2816" s="85"/>
    </row>
    <row r="2817" spans="39:39">
      <c r="AM2817" s="85"/>
    </row>
    <row r="2818" spans="39:39">
      <c r="AM2818" s="85"/>
    </row>
    <row r="2819" spans="39:39">
      <c r="AM2819" s="85"/>
    </row>
    <row r="2820" spans="39:39">
      <c r="AM2820" s="85"/>
    </row>
    <row r="2821" spans="39:39">
      <c r="AM2821" s="85"/>
    </row>
    <row r="2822" spans="39:39">
      <c r="AM2822" s="85"/>
    </row>
    <row r="2823" spans="39:39">
      <c r="AM2823" s="85"/>
    </row>
    <row r="2824" spans="39:39">
      <c r="AM2824" s="85"/>
    </row>
    <row r="2825" spans="39:39">
      <c r="AM2825" s="85"/>
    </row>
    <row r="2826" spans="39:39">
      <c r="AM2826" s="85"/>
    </row>
    <row r="2827" spans="39:39">
      <c r="AM2827" s="85"/>
    </row>
    <row r="2828" spans="39:39">
      <c r="AM2828" s="85"/>
    </row>
    <row r="2829" spans="39:39">
      <c r="AM2829" s="85"/>
    </row>
    <row r="2830" spans="39:39">
      <c r="AM2830" s="85"/>
    </row>
    <row r="2831" spans="39:39">
      <c r="AM2831" s="85"/>
    </row>
    <row r="2832" spans="39:39">
      <c r="AM2832" s="85"/>
    </row>
    <row r="2833" spans="39:39">
      <c r="AM2833" s="85"/>
    </row>
    <row r="2834" spans="39:39">
      <c r="AM2834" s="85"/>
    </row>
    <row r="2835" spans="39:39">
      <c r="AM2835" s="85"/>
    </row>
    <row r="2836" spans="39:39">
      <c r="AM2836" s="85"/>
    </row>
    <row r="2837" spans="39:39">
      <c r="AM2837" s="85"/>
    </row>
    <row r="2838" spans="39:39">
      <c r="AM2838" s="85"/>
    </row>
    <row r="2839" spans="39:39">
      <c r="AM2839" s="85"/>
    </row>
    <row r="2840" spans="39:39">
      <c r="AM2840" s="85"/>
    </row>
    <row r="2841" spans="39:39">
      <c r="AM2841" s="85"/>
    </row>
    <row r="2842" spans="39:39">
      <c r="AM2842" s="85"/>
    </row>
    <row r="2843" spans="39:39">
      <c r="AM2843" s="85"/>
    </row>
    <row r="2844" spans="39:39">
      <c r="AM2844" s="85"/>
    </row>
    <row r="2845" spans="39:39">
      <c r="AM2845" s="85"/>
    </row>
    <row r="2846" spans="39:39">
      <c r="AM2846" s="85"/>
    </row>
    <row r="2847" spans="39:39">
      <c r="AM2847" s="85"/>
    </row>
    <row r="2848" spans="39:39">
      <c r="AM2848" s="85"/>
    </row>
    <row r="2849" spans="39:39">
      <c r="AM2849" s="85"/>
    </row>
    <row r="2850" spans="39:39">
      <c r="AM2850" s="85"/>
    </row>
    <row r="2851" spans="39:39">
      <c r="AM2851" s="85"/>
    </row>
    <row r="2852" spans="39:39">
      <c r="AM2852" s="85"/>
    </row>
    <row r="2853" spans="39:39">
      <c r="AM2853" s="85"/>
    </row>
    <row r="2854" spans="39:39">
      <c r="AM2854" s="85"/>
    </row>
    <row r="2855" spans="39:39">
      <c r="AM2855" s="85"/>
    </row>
    <row r="2856" spans="39:39">
      <c r="AM2856" s="85"/>
    </row>
    <row r="2857" spans="39:39">
      <c r="AM2857" s="85"/>
    </row>
    <row r="2858" spans="39:39">
      <c r="AM2858" s="85"/>
    </row>
    <row r="2859" spans="39:39">
      <c r="AM2859" s="85"/>
    </row>
    <row r="2860" spans="39:39">
      <c r="AM2860" s="85"/>
    </row>
    <row r="2861" spans="39:39">
      <c r="AM2861" s="85"/>
    </row>
    <row r="2862" spans="39:39">
      <c r="AM2862" s="85"/>
    </row>
    <row r="2863" spans="39:39">
      <c r="AM2863" s="85"/>
    </row>
    <row r="2864" spans="39:39">
      <c r="AM2864" s="85"/>
    </row>
    <row r="2865" spans="39:39">
      <c r="AM2865" s="85"/>
    </row>
    <row r="2866" spans="39:39">
      <c r="AM2866" s="85"/>
    </row>
    <row r="2867" spans="39:39">
      <c r="AM2867" s="85"/>
    </row>
    <row r="2868" spans="39:39">
      <c r="AM2868" s="85"/>
    </row>
    <row r="2869" spans="39:39">
      <c r="AM2869" s="85"/>
    </row>
    <row r="2870" spans="39:39">
      <c r="AM2870" s="85"/>
    </row>
    <row r="2871" spans="39:39">
      <c r="AM2871" s="85"/>
    </row>
    <row r="2872" spans="39:39">
      <c r="AM2872" s="85"/>
    </row>
    <row r="2873" spans="39:39">
      <c r="AM2873" s="85"/>
    </row>
    <row r="2874" spans="39:39">
      <c r="AM2874" s="85"/>
    </row>
    <row r="2875" spans="39:39">
      <c r="AM2875" s="85"/>
    </row>
    <row r="2876" spans="39:39">
      <c r="AM2876" s="85"/>
    </row>
    <row r="2877" spans="39:39">
      <c r="AM2877" s="85"/>
    </row>
    <row r="2878" spans="39:39">
      <c r="AM2878" s="85"/>
    </row>
    <row r="2879" spans="39:39">
      <c r="AM2879" s="85"/>
    </row>
    <row r="2880" spans="39:39">
      <c r="AM2880" s="85"/>
    </row>
    <row r="2881" spans="39:39">
      <c r="AM2881" s="85"/>
    </row>
    <row r="2882" spans="39:39">
      <c r="AM2882" s="85"/>
    </row>
    <row r="2883" spans="39:39">
      <c r="AM2883" s="85"/>
    </row>
    <row r="2884" spans="39:39">
      <c r="AM2884" s="85"/>
    </row>
    <row r="2885" spans="39:39">
      <c r="AM2885" s="85"/>
    </row>
    <row r="2886" spans="39:39">
      <c r="AM2886" s="85"/>
    </row>
    <row r="2887" spans="39:39">
      <c r="AM2887" s="85"/>
    </row>
    <row r="2888" spans="39:39">
      <c r="AM2888" s="85"/>
    </row>
    <row r="2889" spans="39:39">
      <c r="AM2889" s="85"/>
    </row>
    <row r="2890" spans="39:39">
      <c r="AM2890" s="85"/>
    </row>
    <row r="2891" spans="39:39">
      <c r="AM2891" s="85"/>
    </row>
    <row r="2892" spans="39:39">
      <c r="AM2892" s="85"/>
    </row>
    <row r="2893" spans="39:39">
      <c r="AM2893" s="85"/>
    </row>
    <row r="2894" spans="39:39">
      <c r="AM2894" s="85"/>
    </row>
    <row r="2895" spans="39:39">
      <c r="AM2895" s="85"/>
    </row>
    <row r="2896" spans="39:39">
      <c r="AM2896" s="85"/>
    </row>
    <row r="2897" spans="39:39">
      <c r="AM2897" s="85"/>
    </row>
    <row r="2898" spans="39:39">
      <c r="AM2898" s="85"/>
    </row>
    <row r="2899" spans="39:39">
      <c r="AM2899" s="85"/>
    </row>
    <row r="2900" spans="39:39">
      <c r="AM2900" s="85"/>
    </row>
    <row r="2901" spans="39:39">
      <c r="AM2901" s="85"/>
    </row>
    <row r="2902" spans="39:39">
      <c r="AM2902" s="85"/>
    </row>
    <row r="2903" spans="39:39">
      <c r="AM2903" s="85"/>
    </row>
    <row r="2904" spans="39:39">
      <c r="AM2904" s="85"/>
    </row>
    <row r="2905" spans="39:39">
      <c r="AM2905" s="85"/>
    </row>
    <row r="2906" spans="39:39">
      <c r="AM2906" s="85"/>
    </row>
    <row r="2907" spans="39:39">
      <c r="AM2907" s="85"/>
    </row>
    <row r="2908" spans="39:39">
      <c r="AM2908" s="85"/>
    </row>
    <row r="2909" spans="39:39">
      <c r="AM2909" s="85"/>
    </row>
    <row r="2910" spans="39:39">
      <c r="AM2910" s="85"/>
    </row>
    <row r="2911" spans="39:39">
      <c r="AM2911" s="85"/>
    </row>
    <row r="2912" spans="39:39">
      <c r="AM2912" s="85"/>
    </row>
    <row r="2913" spans="39:39">
      <c r="AM2913" s="85"/>
    </row>
    <row r="2914" spans="39:39">
      <c r="AM2914" s="85"/>
    </row>
    <row r="2915" spans="39:39">
      <c r="AM2915" s="85"/>
    </row>
    <row r="2916" spans="39:39">
      <c r="AM2916" s="85"/>
    </row>
    <row r="2917" spans="39:39">
      <c r="AM2917" s="85"/>
    </row>
    <row r="2918" spans="39:39">
      <c r="AM2918" s="85"/>
    </row>
    <row r="2919" spans="39:39">
      <c r="AM2919" s="85"/>
    </row>
    <row r="2920" spans="39:39">
      <c r="AM2920" s="85"/>
    </row>
    <row r="2921" spans="39:39">
      <c r="AM2921" s="85"/>
    </row>
    <row r="2922" spans="39:39">
      <c r="AM2922" s="85"/>
    </row>
    <row r="2923" spans="39:39">
      <c r="AM2923" s="85"/>
    </row>
    <row r="2924" spans="39:39">
      <c r="AM2924" s="85"/>
    </row>
    <row r="2925" spans="39:39">
      <c r="AM2925" s="85"/>
    </row>
    <row r="2926" spans="39:39">
      <c r="AM2926" s="85"/>
    </row>
    <row r="2927" spans="39:39">
      <c r="AM2927" s="85"/>
    </row>
    <row r="2928" spans="39:39">
      <c r="AM2928" s="85"/>
    </row>
    <row r="2929" spans="39:39">
      <c r="AM2929" s="85"/>
    </row>
    <row r="2930" spans="39:39">
      <c r="AM2930" s="85"/>
    </row>
    <row r="2931" spans="39:39">
      <c r="AM2931" s="85"/>
    </row>
    <row r="2932" spans="39:39">
      <c r="AM2932" s="85"/>
    </row>
    <row r="2933" spans="39:39">
      <c r="AM2933" s="85"/>
    </row>
    <row r="2934" spans="39:39">
      <c r="AM2934" s="85"/>
    </row>
    <row r="2935" spans="39:39">
      <c r="AM2935" s="85"/>
    </row>
    <row r="2936" spans="39:39">
      <c r="AM2936" s="85"/>
    </row>
    <row r="2937" spans="39:39">
      <c r="AM2937" s="85"/>
    </row>
    <row r="2938" spans="39:39">
      <c r="AM2938" s="85"/>
    </row>
    <row r="2939" spans="39:39">
      <c r="AM2939" s="85"/>
    </row>
    <row r="2940" spans="39:39">
      <c r="AM2940" s="85"/>
    </row>
    <row r="2941" spans="39:39">
      <c r="AM2941" s="85"/>
    </row>
    <row r="2942" spans="39:39">
      <c r="AM2942" s="85"/>
    </row>
    <row r="2943" spans="39:39">
      <c r="AM2943" s="85"/>
    </row>
    <row r="2944" spans="39:39">
      <c r="AM2944" s="85"/>
    </row>
    <row r="2945" spans="39:39">
      <c r="AM2945" s="85"/>
    </row>
    <row r="2946" spans="39:39">
      <c r="AM2946" s="85"/>
    </row>
    <row r="2947" spans="39:39">
      <c r="AM2947" s="85"/>
    </row>
    <row r="2948" spans="39:39">
      <c r="AM2948" s="85"/>
    </row>
    <row r="2949" spans="39:39">
      <c r="AM2949" s="85"/>
    </row>
    <row r="2950" spans="39:39">
      <c r="AM2950" s="85"/>
    </row>
    <row r="2951" spans="39:39">
      <c r="AM2951" s="85"/>
    </row>
    <row r="2952" spans="39:39">
      <c r="AM2952" s="85"/>
    </row>
    <row r="2953" spans="39:39">
      <c r="AM2953" s="85"/>
    </row>
    <row r="2954" spans="39:39">
      <c r="AM2954" s="85"/>
    </row>
    <row r="2955" spans="39:39">
      <c r="AM2955" s="85"/>
    </row>
    <row r="2956" spans="39:39">
      <c r="AM2956" s="85"/>
    </row>
    <row r="2957" spans="39:39">
      <c r="AM2957" s="85"/>
    </row>
    <row r="2958" spans="39:39">
      <c r="AM2958" s="85"/>
    </row>
    <row r="2959" spans="39:39">
      <c r="AM2959" s="85"/>
    </row>
    <row r="2960" spans="39:39">
      <c r="AM2960" s="85"/>
    </row>
    <row r="2961" spans="39:39">
      <c r="AM2961" s="85"/>
    </row>
    <row r="2962" spans="39:39">
      <c r="AM2962" s="85"/>
    </row>
    <row r="2963" spans="39:39">
      <c r="AM2963" s="85"/>
    </row>
    <row r="2964" spans="39:39">
      <c r="AM2964" s="85"/>
    </row>
    <row r="2965" spans="39:39">
      <c r="AM2965" s="85"/>
    </row>
    <row r="2966" spans="39:39">
      <c r="AM2966" s="85"/>
    </row>
    <row r="2967" spans="39:39">
      <c r="AM2967" s="85"/>
    </row>
    <row r="2968" spans="39:39">
      <c r="AM2968" s="85"/>
    </row>
    <row r="2969" spans="39:39">
      <c r="AM2969" s="85"/>
    </row>
    <row r="2970" spans="39:39">
      <c r="AM2970" s="85"/>
    </row>
    <row r="2971" spans="39:39">
      <c r="AM2971" s="85"/>
    </row>
    <row r="2972" spans="39:39">
      <c r="AM2972" s="85"/>
    </row>
    <row r="2973" spans="39:39">
      <c r="AM2973" s="85"/>
    </row>
    <row r="2974" spans="39:39">
      <c r="AM2974" s="85"/>
    </row>
    <row r="2975" spans="39:39">
      <c r="AM2975" s="85"/>
    </row>
    <row r="2976" spans="39:39">
      <c r="AM2976" s="85"/>
    </row>
    <row r="2977" spans="39:39">
      <c r="AM2977" s="85"/>
    </row>
    <row r="2978" spans="39:39">
      <c r="AM2978" s="85"/>
    </row>
    <row r="2979" spans="39:39">
      <c r="AM2979" s="85"/>
    </row>
    <row r="2980" spans="39:39">
      <c r="AM2980" s="85"/>
    </row>
    <row r="2981" spans="39:39">
      <c r="AM2981" s="85"/>
    </row>
    <row r="2982" spans="39:39">
      <c r="AM2982" s="85"/>
    </row>
    <row r="2983" spans="39:39">
      <c r="AM2983" s="85"/>
    </row>
    <row r="2984" spans="39:39">
      <c r="AM2984" s="85"/>
    </row>
    <row r="2985" spans="39:39">
      <c r="AM2985" s="85"/>
    </row>
    <row r="2986" spans="39:39">
      <c r="AM2986" s="85"/>
    </row>
    <row r="2987" spans="39:39">
      <c r="AM2987" s="85"/>
    </row>
    <row r="2988" spans="39:39">
      <c r="AM2988" s="85"/>
    </row>
    <row r="2989" spans="39:39">
      <c r="AM2989" s="85"/>
    </row>
    <row r="2990" spans="39:39">
      <c r="AM2990" s="85"/>
    </row>
    <row r="2991" spans="39:39">
      <c r="AM2991" s="85"/>
    </row>
    <row r="2992" spans="39:39">
      <c r="AM2992" s="85"/>
    </row>
    <row r="2993" spans="39:39">
      <c r="AM2993" s="85"/>
    </row>
    <row r="2994" spans="39:39">
      <c r="AM2994" s="85"/>
    </row>
    <row r="2995" spans="39:39">
      <c r="AM2995" s="85"/>
    </row>
    <row r="2996" spans="39:39">
      <c r="AM2996" s="85"/>
    </row>
    <row r="2997" spans="39:39">
      <c r="AM2997" s="85"/>
    </row>
    <row r="2998" spans="39:39">
      <c r="AM2998" s="85"/>
    </row>
    <row r="2999" spans="39:39">
      <c r="AM2999" s="85"/>
    </row>
    <row r="3000" spans="39:39">
      <c r="AM3000" s="85"/>
    </row>
    <row r="3001" spans="39:39">
      <c r="AM3001" s="85"/>
    </row>
    <row r="3002" spans="39:39">
      <c r="AM3002" s="85"/>
    </row>
    <row r="3003" spans="39:39">
      <c r="AM3003" s="85"/>
    </row>
    <row r="3004" spans="39:39">
      <c r="AM3004" s="85"/>
    </row>
    <row r="3005" spans="39:39">
      <c r="AM3005" s="85"/>
    </row>
    <row r="3006" spans="39:39">
      <c r="AM3006" s="85"/>
    </row>
    <row r="3007" spans="39:39">
      <c r="AM3007" s="85"/>
    </row>
    <row r="3008" spans="39:39">
      <c r="AM3008" s="85"/>
    </row>
    <row r="3009" spans="39:39">
      <c r="AM3009" s="85"/>
    </row>
    <row r="3010" spans="39:39">
      <c r="AM3010" s="85"/>
    </row>
    <row r="3011" spans="39:39">
      <c r="AM3011" s="85"/>
    </row>
    <row r="3012" spans="39:39">
      <c r="AM3012" s="85"/>
    </row>
    <row r="3013" spans="39:39">
      <c r="AM3013" s="85"/>
    </row>
    <row r="3014" spans="39:39">
      <c r="AM3014" s="85"/>
    </row>
    <row r="3015" spans="39:39">
      <c r="AM3015" s="85"/>
    </row>
    <row r="3016" spans="39:39">
      <c r="AM3016" s="85"/>
    </row>
    <row r="3017" spans="39:39">
      <c r="AM3017" s="85"/>
    </row>
    <row r="3018" spans="39:39">
      <c r="AM3018" s="85"/>
    </row>
    <row r="3019" spans="39:39">
      <c r="AM3019" s="85"/>
    </row>
    <row r="3020" spans="39:39">
      <c r="AM3020" s="85"/>
    </row>
    <row r="3021" spans="39:39">
      <c r="AM3021" s="85"/>
    </row>
    <row r="3022" spans="39:39">
      <c r="AM3022" s="85"/>
    </row>
    <row r="3023" spans="39:39">
      <c r="AM3023" s="85"/>
    </row>
    <row r="3024" spans="39:39">
      <c r="AM3024" s="85"/>
    </row>
    <row r="3025" spans="39:39">
      <c r="AM3025" s="85"/>
    </row>
    <row r="3026" spans="39:39">
      <c r="AM3026" s="85"/>
    </row>
    <row r="3027" spans="39:39">
      <c r="AM3027" s="85"/>
    </row>
    <row r="3028" spans="39:39">
      <c r="AM3028" s="85"/>
    </row>
    <row r="3029" spans="39:39">
      <c r="AM3029" s="85"/>
    </row>
    <row r="3030" spans="39:39">
      <c r="AM3030" s="85"/>
    </row>
    <row r="3031" spans="39:39">
      <c r="AM3031" s="85"/>
    </row>
    <row r="3032" spans="39:39">
      <c r="AM3032" s="85"/>
    </row>
    <row r="3033" spans="39:39">
      <c r="AM3033" s="85"/>
    </row>
    <row r="3034" spans="39:39">
      <c r="AM3034" s="85"/>
    </row>
    <row r="3035" spans="39:39">
      <c r="AM3035" s="85"/>
    </row>
    <row r="3036" spans="39:39">
      <c r="AM3036" s="85"/>
    </row>
    <row r="3037" spans="39:39">
      <c r="AM3037" s="85"/>
    </row>
    <row r="3038" spans="39:39">
      <c r="AM3038" s="85"/>
    </row>
    <row r="3039" spans="39:39">
      <c r="AM3039" s="85"/>
    </row>
    <row r="3040" spans="39:39">
      <c r="AM3040" s="85"/>
    </row>
    <row r="3041" spans="39:39">
      <c r="AM3041" s="85"/>
    </row>
    <row r="3042" spans="39:39">
      <c r="AM3042" s="85"/>
    </row>
    <row r="3043" spans="39:39">
      <c r="AM3043" s="85"/>
    </row>
    <row r="3044" spans="39:39">
      <c r="AM3044" s="85"/>
    </row>
    <row r="3045" spans="39:39">
      <c r="AM3045" s="85"/>
    </row>
    <row r="3046" spans="39:39">
      <c r="AM3046" s="85"/>
    </row>
    <row r="3047" spans="39:39">
      <c r="AM3047" s="85"/>
    </row>
    <row r="3048" spans="39:39">
      <c r="AM3048" s="85"/>
    </row>
    <row r="3049" spans="39:39">
      <c r="AM3049" s="85"/>
    </row>
    <row r="3050" spans="39:39">
      <c r="AM3050" s="85"/>
    </row>
    <row r="3051" spans="39:39">
      <c r="AM3051" s="85"/>
    </row>
    <row r="3052" spans="39:39">
      <c r="AM3052" s="85"/>
    </row>
    <row r="3053" spans="39:39">
      <c r="AM3053" s="85"/>
    </row>
    <row r="3054" spans="39:39">
      <c r="AM3054" s="85"/>
    </row>
    <row r="3055" spans="39:39">
      <c r="AM3055" s="85"/>
    </row>
    <row r="3056" spans="39:39">
      <c r="AM3056" s="85"/>
    </row>
    <row r="3057" spans="39:39">
      <c r="AM3057" s="85"/>
    </row>
    <row r="3058" spans="39:39">
      <c r="AM3058" s="85"/>
    </row>
    <row r="3059" spans="39:39">
      <c r="AM3059" s="85"/>
    </row>
    <row r="3060" spans="39:39">
      <c r="AM3060" s="85"/>
    </row>
    <row r="3061" spans="39:39">
      <c r="AM3061" s="85"/>
    </row>
    <row r="3062" spans="39:39">
      <c r="AM3062" s="85"/>
    </row>
    <row r="3063" spans="39:39">
      <c r="AM3063" s="85"/>
    </row>
    <row r="3064" spans="39:39">
      <c r="AM3064" s="85"/>
    </row>
    <row r="3065" spans="39:39">
      <c r="AM3065" s="85"/>
    </row>
    <row r="3066" spans="39:39">
      <c r="AM3066" s="85"/>
    </row>
    <row r="3067" spans="39:39">
      <c r="AM3067" s="85"/>
    </row>
    <row r="3068" spans="39:39">
      <c r="AM3068" s="85"/>
    </row>
    <row r="3069" spans="39:39">
      <c r="AM3069" s="85"/>
    </row>
    <row r="3070" spans="39:39">
      <c r="AM3070" s="85"/>
    </row>
    <row r="3071" spans="39:39">
      <c r="AM3071" s="85"/>
    </row>
    <row r="3072" spans="39:39">
      <c r="AM3072" s="85"/>
    </row>
    <row r="3073" spans="39:39">
      <c r="AM3073" s="85"/>
    </row>
    <row r="3074" spans="39:39">
      <c r="AM3074" s="85"/>
    </row>
    <row r="3075" spans="39:39">
      <c r="AM3075" s="85"/>
    </row>
    <row r="3076" spans="39:39">
      <c r="AM3076" s="85"/>
    </row>
    <row r="3077" spans="39:39">
      <c r="AM3077" s="85"/>
    </row>
    <row r="3078" spans="39:39">
      <c r="AM3078" s="85"/>
    </row>
    <row r="3079" spans="39:39">
      <c r="AM3079" s="85"/>
    </row>
    <row r="3080" spans="39:39">
      <c r="AM3080" s="85"/>
    </row>
    <row r="3081" spans="39:39">
      <c r="AM3081" s="85"/>
    </row>
    <row r="3082" spans="39:39">
      <c r="AM3082" s="85"/>
    </row>
    <row r="3083" spans="39:39">
      <c r="AM3083" s="85"/>
    </row>
    <row r="3084" spans="39:39">
      <c r="AM3084" s="85"/>
    </row>
    <row r="3085" spans="39:39">
      <c r="AM3085" s="85"/>
    </row>
    <row r="3086" spans="39:39">
      <c r="AM3086" s="85"/>
    </row>
    <row r="3087" spans="39:39">
      <c r="AM3087" s="85"/>
    </row>
    <row r="3088" spans="39:39">
      <c r="AM3088" s="85"/>
    </row>
    <row r="3089" spans="39:39">
      <c r="AM3089" s="85"/>
    </row>
    <row r="3090" spans="39:39">
      <c r="AM3090" s="85"/>
    </row>
    <row r="3091" spans="39:39">
      <c r="AM3091" s="85"/>
    </row>
    <row r="3092" spans="39:39">
      <c r="AM3092" s="85"/>
    </row>
    <row r="3093" spans="39:39">
      <c r="AM3093" s="85"/>
    </row>
    <row r="3094" spans="39:39">
      <c r="AM3094" s="85"/>
    </row>
    <row r="3095" spans="39:39">
      <c r="AM3095" s="85"/>
    </row>
    <row r="3096" spans="39:39">
      <c r="AM3096" s="85"/>
    </row>
    <row r="3097" spans="39:39">
      <c r="AM3097" s="85"/>
    </row>
    <row r="3098" spans="39:39">
      <c r="AM3098" s="85"/>
    </row>
    <row r="3099" spans="39:39">
      <c r="AM3099" s="85"/>
    </row>
    <row r="3100" spans="39:39">
      <c r="AM3100" s="85"/>
    </row>
    <row r="3101" spans="39:39">
      <c r="AM3101" s="85"/>
    </row>
    <row r="3102" spans="39:39">
      <c r="AM3102" s="85"/>
    </row>
    <row r="3103" spans="39:39">
      <c r="AM3103" s="85"/>
    </row>
    <row r="3104" spans="39:39">
      <c r="AM3104" s="85"/>
    </row>
    <row r="3105" spans="39:39">
      <c r="AM3105" s="85"/>
    </row>
    <row r="3106" spans="39:39">
      <c r="AM3106" s="85"/>
    </row>
    <row r="3107" spans="39:39">
      <c r="AM3107" s="85"/>
    </row>
    <row r="3108" spans="39:39">
      <c r="AM3108" s="85"/>
    </row>
    <row r="3109" spans="39:39">
      <c r="AM3109" s="85"/>
    </row>
    <row r="3110" spans="39:39">
      <c r="AM3110" s="85"/>
    </row>
    <row r="3111" spans="39:39">
      <c r="AM3111" s="85"/>
    </row>
    <row r="3112" spans="39:39">
      <c r="AM3112" s="85"/>
    </row>
    <row r="3113" spans="39:39">
      <c r="AM3113" s="85"/>
    </row>
    <row r="3114" spans="39:39">
      <c r="AM3114" s="85"/>
    </row>
    <row r="3115" spans="39:39">
      <c r="AM3115" s="85"/>
    </row>
    <row r="3116" spans="39:39">
      <c r="AM3116" s="85"/>
    </row>
    <row r="3117" spans="39:39">
      <c r="AM3117" s="85"/>
    </row>
    <row r="3118" spans="39:39">
      <c r="AM3118" s="85"/>
    </row>
    <row r="3119" spans="39:39">
      <c r="AM3119" s="85"/>
    </row>
    <row r="3120" spans="39:39">
      <c r="AM3120" s="85"/>
    </row>
    <row r="3121" spans="39:39">
      <c r="AM3121" s="85"/>
    </row>
    <row r="3122" spans="39:39">
      <c r="AM3122" s="85"/>
    </row>
    <row r="3123" spans="39:39">
      <c r="AM3123" s="85"/>
    </row>
    <row r="3124" spans="39:39">
      <c r="AM3124" s="85"/>
    </row>
    <row r="3125" spans="39:39">
      <c r="AM3125" s="85"/>
    </row>
    <row r="3126" spans="39:39">
      <c r="AM3126" s="85"/>
    </row>
    <row r="3127" spans="39:39">
      <c r="AM3127" s="85"/>
    </row>
    <row r="3128" spans="39:39">
      <c r="AM3128" s="85"/>
    </row>
    <row r="3129" spans="39:39">
      <c r="AM3129" s="85"/>
    </row>
    <row r="3130" spans="39:39">
      <c r="AM3130" s="85"/>
    </row>
    <row r="3131" spans="39:39">
      <c r="AM3131" s="85"/>
    </row>
    <row r="3132" spans="39:39">
      <c r="AM3132" s="85"/>
    </row>
    <row r="3133" spans="39:39">
      <c r="AM3133" s="85"/>
    </row>
    <row r="3134" spans="39:39">
      <c r="AM3134" s="85"/>
    </row>
    <row r="3135" spans="39:39">
      <c r="AM3135" s="85"/>
    </row>
    <row r="3136" spans="39:39">
      <c r="AM3136" s="85"/>
    </row>
    <row r="3137" spans="39:39">
      <c r="AM3137" s="85"/>
    </row>
    <row r="3138" spans="39:39">
      <c r="AM3138" s="85"/>
    </row>
    <row r="3139" spans="39:39">
      <c r="AM3139" s="85"/>
    </row>
    <row r="3140" spans="39:39">
      <c r="AM3140" s="85"/>
    </row>
    <row r="3141" spans="39:39">
      <c r="AM3141" s="85"/>
    </row>
    <row r="3142" spans="39:39">
      <c r="AM3142" s="85"/>
    </row>
    <row r="3143" spans="39:39">
      <c r="AM3143" s="85"/>
    </row>
    <row r="3144" spans="39:39">
      <c r="AM3144" s="85"/>
    </row>
    <row r="3145" spans="39:39">
      <c r="AM3145" s="85"/>
    </row>
    <row r="3146" spans="39:39">
      <c r="AM3146" s="85"/>
    </row>
    <row r="3147" spans="39:39">
      <c r="AM3147" s="85"/>
    </row>
    <row r="3148" spans="39:39">
      <c r="AM3148" s="85"/>
    </row>
    <row r="3149" spans="39:39">
      <c r="AM3149" s="85"/>
    </row>
    <row r="3150" spans="39:39">
      <c r="AM3150" s="85"/>
    </row>
    <row r="3151" spans="39:39">
      <c r="AM3151" s="85"/>
    </row>
    <row r="3152" spans="39:39">
      <c r="AM3152" s="85"/>
    </row>
    <row r="3153" spans="39:39">
      <c r="AM3153" s="85"/>
    </row>
    <row r="3154" spans="39:39">
      <c r="AM3154" s="85"/>
    </row>
    <row r="3155" spans="39:39">
      <c r="AM3155" s="85"/>
    </row>
    <row r="3156" spans="39:39">
      <c r="AM3156" s="85"/>
    </row>
    <row r="3157" spans="39:39">
      <c r="AM3157" s="85"/>
    </row>
    <row r="3158" spans="39:39">
      <c r="AM3158" s="85"/>
    </row>
    <row r="3159" spans="39:39">
      <c r="AM3159" s="85"/>
    </row>
    <row r="3160" spans="39:39">
      <c r="AM3160" s="85"/>
    </row>
    <row r="3161" spans="39:39">
      <c r="AM3161" s="85"/>
    </row>
    <row r="3162" spans="39:39">
      <c r="AM3162" s="85"/>
    </row>
    <row r="3163" spans="39:39">
      <c r="AM3163" s="85"/>
    </row>
    <row r="3164" spans="39:39">
      <c r="AM3164" s="85"/>
    </row>
    <row r="3165" spans="39:39">
      <c r="AM3165" s="85"/>
    </row>
    <row r="3166" spans="39:39">
      <c r="AM3166" s="85"/>
    </row>
    <row r="3167" spans="39:39">
      <c r="AM3167" s="85"/>
    </row>
    <row r="3168" spans="39:39">
      <c r="AM3168" s="85"/>
    </row>
    <row r="3169" spans="39:39">
      <c r="AM3169" s="85"/>
    </row>
    <row r="3170" spans="39:39">
      <c r="AM3170" s="85"/>
    </row>
    <row r="3171" spans="39:39">
      <c r="AM3171" s="85"/>
    </row>
    <row r="3172" spans="39:39">
      <c r="AM3172" s="85"/>
    </row>
    <row r="3173" spans="39:39">
      <c r="AM3173" s="85"/>
    </row>
    <row r="3174" spans="39:39">
      <c r="AM3174" s="85"/>
    </row>
    <row r="3175" spans="39:39">
      <c r="AM3175" s="85"/>
    </row>
    <row r="3176" spans="39:39">
      <c r="AM3176" s="85"/>
    </row>
    <row r="3177" spans="39:39">
      <c r="AM3177" s="85"/>
    </row>
    <row r="3178" spans="39:39">
      <c r="AM3178" s="85"/>
    </row>
    <row r="3179" spans="39:39">
      <c r="AM3179" s="85"/>
    </row>
    <row r="3180" spans="39:39">
      <c r="AM3180" s="85"/>
    </row>
    <row r="3181" spans="39:39">
      <c r="AM3181" s="85"/>
    </row>
    <row r="3182" spans="39:39">
      <c r="AM3182" s="85"/>
    </row>
    <row r="3183" spans="39:39">
      <c r="AM3183" s="85"/>
    </row>
    <row r="3184" spans="39:39">
      <c r="AM3184" s="85"/>
    </row>
    <row r="3185" spans="39:39">
      <c r="AM3185" s="85"/>
    </row>
    <row r="3186" spans="39:39">
      <c r="AM3186" s="85"/>
    </row>
    <row r="3187" spans="39:39">
      <c r="AM3187" s="85"/>
    </row>
    <row r="3188" spans="39:39">
      <c r="AM3188" s="85"/>
    </row>
    <row r="3189" spans="39:39">
      <c r="AM3189" s="85"/>
    </row>
    <row r="3190" spans="39:39">
      <c r="AM3190" s="85"/>
    </row>
  </sheetData>
  <mergeCells count="141">
    <mergeCell ref="B14:D14"/>
    <mergeCell ref="I14:J14"/>
    <mergeCell ref="I15:J15"/>
    <mergeCell ref="I16:J16"/>
    <mergeCell ref="G26:H26"/>
    <mergeCell ref="G27:H27"/>
    <mergeCell ref="G28:H28"/>
    <mergeCell ref="G29:H29"/>
    <mergeCell ref="G30:H30"/>
    <mergeCell ref="G14:H14"/>
    <mergeCell ref="I17:J17"/>
    <mergeCell ref="I18:J18"/>
    <mergeCell ref="G31:H31"/>
    <mergeCell ref="G32:H32"/>
    <mergeCell ref="G42:H4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I58:J58"/>
    <mergeCell ref="I59:J59"/>
    <mergeCell ref="I60:J60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N12:N13"/>
    <mergeCell ref="B15:D15"/>
    <mergeCell ref="I43:J43"/>
    <mergeCell ref="I44:J44"/>
    <mergeCell ref="I45:J45"/>
    <mergeCell ref="I46:J46"/>
    <mergeCell ref="I47:J47"/>
    <mergeCell ref="I48:J48"/>
    <mergeCell ref="I12:J13"/>
    <mergeCell ref="B29:D29"/>
    <mergeCell ref="B30:D30"/>
    <mergeCell ref="B42:D42"/>
    <mergeCell ref="B43:D43"/>
    <mergeCell ref="G43:H43"/>
    <mergeCell ref="B44:D44"/>
    <mergeCell ref="G44:H44"/>
    <mergeCell ref="B39:D39"/>
    <mergeCell ref="B40:D40"/>
    <mergeCell ref="B41:D41"/>
    <mergeCell ref="B36:D36"/>
    <mergeCell ref="B37:D37"/>
    <mergeCell ref="B38:D38"/>
    <mergeCell ref="G24:H24"/>
    <mergeCell ref="G25:H25"/>
    <mergeCell ref="G9:H9"/>
    <mergeCell ref="E12:E13"/>
    <mergeCell ref="F12:F13"/>
    <mergeCell ref="C7:E7"/>
    <mergeCell ref="I7:K7"/>
    <mergeCell ref="C8:E8"/>
    <mergeCell ref="I8:K8"/>
    <mergeCell ref="AA12:AC12"/>
    <mergeCell ref="B28:D28"/>
    <mergeCell ref="B25:D25"/>
    <mergeCell ref="B26:D26"/>
    <mergeCell ref="B27:D27"/>
    <mergeCell ref="B24:D24"/>
    <mergeCell ref="B19:D19"/>
    <mergeCell ref="B20:D20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A12:A13"/>
    <mergeCell ref="B12:D13"/>
    <mergeCell ref="G12:H13"/>
    <mergeCell ref="B34:D34"/>
    <mergeCell ref="B35:D35"/>
    <mergeCell ref="AI12:AI13"/>
    <mergeCell ref="K12:M12"/>
    <mergeCell ref="O12:Q12"/>
    <mergeCell ref="R12:T12"/>
    <mergeCell ref="V12:X12"/>
    <mergeCell ref="B31:D31"/>
    <mergeCell ref="B32:D32"/>
    <mergeCell ref="B33:D33"/>
    <mergeCell ref="B21:D21"/>
    <mergeCell ref="B16:D16"/>
    <mergeCell ref="B17:D17"/>
    <mergeCell ref="B18:D18"/>
    <mergeCell ref="U12:U13"/>
    <mergeCell ref="AE12:AE13"/>
    <mergeCell ref="Y12:Y13"/>
    <mergeCell ref="Z12:Z13"/>
    <mergeCell ref="B22:D22"/>
    <mergeCell ref="B23:D23"/>
    <mergeCell ref="AD12:AD13"/>
    <mergeCell ref="G49:H49"/>
    <mergeCell ref="B50:D50"/>
    <mergeCell ref="G50:H50"/>
    <mergeCell ref="B45:D45"/>
    <mergeCell ref="G45:H45"/>
    <mergeCell ref="B46:D46"/>
    <mergeCell ref="G46:H46"/>
    <mergeCell ref="B47:D47"/>
    <mergeCell ref="G47:H47"/>
    <mergeCell ref="B60:D60"/>
    <mergeCell ref="G60:H60"/>
    <mergeCell ref="AF12:AH12"/>
    <mergeCell ref="B57:D57"/>
    <mergeCell ref="G57:H57"/>
    <mergeCell ref="B58:D58"/>
    <mergeCell ref="G58:H58"/>
    <mergeCell ref="B59:D59"/>
    <mergeCell ref="G59:H59"/>
    <mergeCell ref="B54:D54"/>
    <mergeCell ref="G54:H54"/>
    <mergeCell ref="B55:D55"/>
    <mergeCell ref="G55:H55"/>
    <mergeCell ref="B56:D56"/>
    <mergeCell ref="G56:H56"/>
    <mergeCell ref="B51:D51"/>
    <mergeCell ref="G51:H51"/>
    <mergeCell ref="B52:D52"/>
    <mergeCell ref="G52:H52"/>
    <mergeCell ref="B53:D53"/>
    <mergeCell ref="G53:H53"/>
    <mergeCell ref="B48:D48"/>
    <mergeCell ref="G48:H48"/>
    <mergeCell ref="B49:D49"/>
  </mergeCells>
  <conditionalFormatting sqref="U61:U100 A61:N100 Y26:Z30 U26:U30 N27:N30 Y14:Z15 AA17:AC42 Y61:AH100 Y43:AE60 AA14:AE16">
    <cfRule type="notContainsBlanks" dxfId="67" priority="120">
      <formula>LEN(TRIM(A14))&gt;0</formula>
    </cfRule>
  </conditionalFormatting>
  <conditionalFormatting sqref="O61:Q100 O27:Q30">
    <cfRule type="notContainsBlanks" dxfId="66" priority="118">
      <formula>LEN(TRIM(O27))&gt;0</formula>
    </cfRule>
  </conditionalFormatting>
  <conditionalFormatting sqref="R61:T100 R26:T30">
    <cfRule type="notContainsBlanks" dxfId="65" priority="117">
      <formula>LEN(TRIM(R26))&gt;0</formula>
    </cfRule>
  </conditionalFormatting>
  <conditionalFormatting sqref="V61:X100 V26:X30">
    <cfRule type="notContainsBlanks" dxfId="64" priority="116">
      <formula>LEN(TRIM(V26))&gt;0</formula>
    </cfRule>
  </conditionalFormatting>
  <conditionalFormatting sqref="AI61:AI150">
    <cfRule type="notContainsBlanks" dxfId="63" priority="114">
      <formula>LEN(TRIM(AI61))&gt;0</formula>
    </cfRule>
  </conditionalFormatting>
  <conditionalFormatting sqref="B52:H60 U31:U60 N31:N60 Y31:Z42 AE37:AE42 B44:G51 B43:F43">
    <cfRule type="notContainsBlanks" dxfId="62" priority="113">
      <formula>LEN(TRIM(B31))&gt;0</formula>
    </cfRule>
  </conditionalFormatting>
  <conditionalFormatting sqref="O31:Q60">
    <cfRule type="notContainsBlanks" dxfId="61" priority="112">
      <formula>LEN(TRIM(O31))&gt;0</formula>
    </cfRule>
  </conditionalFormatting>
  <conditionalFormatting sqref="R31:T60">
    <cfRule type="notContainsBlanks" dxfId="60" priority="111">
      <formula>LEN(TRIM(R31))&gt;0</formula>
    </cfRule>
  </conditionalFormatting>
  <conditionalFormatting sqref="V31:X60">
    <cfRule type="notContainsBlanks" dxfId="59" priority="110">
      <formula>LEN(TRIM(V31))&gt;0</formula>
    </cfRule>
  </conditionalFormatting>
  <conditionalFormatting sqref="AI43:AI60">
    <cfRule type="notContainsBlanks" dxfId="58" priority="109">
      <formula>LEN(TRIM(AI43))&gt;0</formula>
    </cfRule>
  </conditionalFormatting>
  <conditionalFormatting sqref="AF37:AH60">
    <cfRule type="notContainsBlanks" dxfId="57" priority="107">
      <formula>LEN(TRIM(AF37))&gt;0</formula>
    </cfRule>
  </conditionalFormatting>
  <conditionalFormatting sqref="I43:I60">
    <cfRule type="notContainsBlanks" dxfId="56" priority="106">
      <formula>LEN(TRIM(I43))&gt;0</formula>
    </cfRule>
  </conditionalFormatting>
  <conditionalFormatting sqref="AE26:AE36">
    <cfRule type="notContainsBlanks" dxfId="55" priority="92">
      <formula>LEN(TRIM(AE26))&gt;0</formula>
    </cfRule>
  </conditionalFormatting>
  <conditionalFormatting sqref="AF26:AH36">
    <cfRule type="notContainsBlanks" dxfId="54" priority="87">
      <formula>LEN(TRIM(AF26))&gt;0</formula>
    </cfRule>
  </conditionalFormatting>
  <conditionalFormatting sqref="Y22:Z25 U22:U25 AD17:AD42 N14:N26 U14 A14:A60 Y16:Z17 U16:U17">
    <cfRule type="notContainsBlanks" dxfId="53" priority="86">
      <formula>LEN(TRIM(A14))&gt;0</formula>
    </cfRule>
  </conditionalFormatting>
  <conditionalFormatting sqref="O14:Q15 O17:Q26">
    <cfRule type="notContainsBlanks" dxfId="52" priority="85">
      <formula>LEN(TRIM(O14))&gt;0</formula>
    </cfRule>
  </conditionalFormatting>
  <conditionalFormatting sqref="R14:T15 R22:T25">
    <cfRule type="notContainsBlanks" dxfId="51" priority="84">
      <formula>LEN(TRIM(R14))&gt;0</formula>
    </cfRule>
  </conditionalFormatting>
  <conditionalFormatting sqref="V22:X25 V14:X17">
    <cfRule type="notContainsBlanks" dxfId="50" priority="83">
      <formula>LEN(TRIM(V14))&gt;0</formula>
    </cfRule>
  </conditionalFormatting>
  <conditionalFormatting sqref="AI14:AI15 AI17:AI42">
    <cfRule type="notContainsBlanks" dxfId="49" priority="82">
      <formula>LEN(TRIM(AI14))&gt;0</formula>
    </cfRule>
  </conditionalFormatting>
  <conditionalFormatting sqref="AF14:AH15">
    <cfRule type="notContainsBlanks" dxfId="48" priority="81">
      <formula>LEN(TRIM(AF14))&gt;0</formula>
    </cfRule>
  </conditionalFormatting>
  <conditionalFormatting sqref="AE17">
    <cfRule type="notContainsBlanks" dxfId="47" priority="80">
      <formula>LEN(TRIM(AE17))&gt;0</formula>
    </cfRule>
  </conditionalFormatting>
  <conditionalFormatting sqref="R17:T17">
    <cfRule type="notContainsBlanks" dxfId="46" priority="78">
      <formula>LEN(TRIM(R17))&gt;0</formula>
    </cfRule>
  </conditionalFormatting>
  <conditionalFormatting sqref="AF17:AH17">
    <cfRule type="notContainsBlanks" dxfId="45" priority="75">
      <formula>LEN(TRIM(AF17))&gt;0</formula>
    </cfRule>
  </conditionalFormatting>
  <conditionalFormatting sqref="U18:U19 Y18:Z19 AE18:AE19">
    <cfRule type="notContainsBlanks" dxfId="44" priority="74">
      <formula>LEN(TRIM(U18))&gt;0</formula>
    </cfRule>
  </conditionalFormatting>
  <conditionalFormatting sqref="R18:T19">
    <cfRule type="notContainsBlanks" dxfId="43" priority="72">
      <formula>LEN(TRIM(R18))&gt;0</formula>
    </cfRule>
  </conditionalFormatting>
  <conditionalFormatting sqref="V18:X19">
    <cfRule type="notContainsBlanks" dxfId="42" priority="71">
      <formula>LEN(TRIM(V18))&gt;0</formula>
    </cfRule>
  </conditionalFormatting>
  <conditionalFormatting sqref="AF18:AH19">
    <cfRule type="notContainsBlanks" dxfId="41" priority="69">
      <formula>LEN(TRIM(AF18))&gt;0</formula>
    </cfRule>
  </conditionalFormatting>
  <conditionalFormatting sqref="U20:U21 Y20:Z21 AE20:AE25">
    <cfRule type="notContainsBlanks" dxfId="40" priority="68">
      <formula>LEN(TRIM(U20))&gt;0</formula>
    </cfRule>
  </conditionalFormatting>
  <conditionalFormatting sqref="R20:T21">
    <cfRule type="notContainsBlanks" dxfId="39" priority="66">
      <formula>LEN(TRIM(R20))&gt;0</formula>
    </cfRule>
  </conditionalFormatting>
  <conditionalFormatting sqref="V20:X21">
    <cfRule type="notContainsBlanks" dxfId="38" priority="65">
      <formula>LEN(TRIM(V20))&gt;0</formula>
    </cfRule>
  </conditionalFormatting>
  <conditionalFormatting sqref="AF20:AH25">
    <cfRule type="notContainsBlanks" dxfId="37" priority="63">
      <formula>LEN(TRIM(AF20))&gt;0</formula>
    </cfRule>
  </conditionalFormatting>
  <conditionalFormatting sqref="B18:B27 G24:G43 E15:G15 E17:G23">
    <cfRule type="notContainsBlanks" dxfId="36" priority="59">
      <formula>LEN(TRIM(B15))&gt;0</formula>
    </cfRule>
  </conditionalFormatting>
  <conditionalFormatting sqref="B14 E24:E38 B39:F42 B15:E15 G15 G17:G43 E14:F14 B16:D17">
    <cfRule type="notContainsBlanks" dxfId="35" priority="58">
      <formula>LEN(TRIM(B14))&gt;0</formula>
    </cfRule>
  </conditionalFormatting>
  <conditionalFormatting sqref="F24:F34">
    <cfRule type="notContainsBlanks" dxfId="34" priority="57">
      <formula>LEN(TRIM(F24))&gt;0</formula>
    </cfRule>
  </conditionalFormatting>
  <conditionalFormatting sqref="F35:F36">
    <cfRule type="notContainsBlanks" dxfId="33" priority="56">
      <formula>LEN(TRIM(F35))&gt;0</formula>
    </cfRule>
  </conditionalFormatting>
  <conditionalFormatting sqref="F37:F38">
    <cfRule type="notContainsBlanks" dxfId="32" priority="55">
      <formula>LEN(TRIM(F37))&gt;0</formula>
    </cfRule>
  </conditionalFormatting>
  <conditionalFormatting sqref="B28:B38">
    <cfRule type="notContainsBlanks" dxfId="31" priority="36">
      <formula>LEN(TRIM(B28))&gt;0</formula>
    </cfRule>
  </conditionalFormatting>
  <conditionalFormatting sqref="I19:J42 I14:I15 I17:I18">
    <cfRule type="notContainsBlanks" dxfId="30" priority="35">
      <formula>LEN(TRIM(I14))&gt;0</formula>
    </cfRule>
  </conditionalFormatting>
  <conditionalFormatting sqref="I34:J35 I14:I15">
    <cfRule type="notContainsBlanks" dxfId="29" priority="34">
      <formula>LEN(TRIM(I14))&gt;0</formula>
    </cfRule>
  </conditionalFormatting>
  <conditionalFormatting sqref="I36:J36">
    <cfRule type="notContainsBlanks" dxfId="28" priority="33">
      <formula>LEN(TRIM(I36))&gt;0</formula>
    </cfRule>
  </conditionalFormatting>
  <conditionalFormatting sqref="I17">
    <cfRule type="notContainsBlanks" dxfId="27" priority="32">
      <formula>LEN(TRIM(I17))&gt;0</formula>
    </cfRule>
  </conditionalFormatting>
  <conditionalFormatting sqref="I18">
    <cfRule type="notContainsBlanks" dxfId="26" priority="31">
      <formula>LEN(TRIM(I18))&gt;0</formula>
    </cfRule>
  </conditionalFormatting>
  <conditionalFormatting sqref="I19">
    <cfRule type="notContainsBlanks" dxfId="25" priority="30">
      <formula>LEN(TRIM(I19))&gt;0</formula>
    </cfRule>
  </conditionalFormatting>
  <conditionalFormatting sqref="I20">
    <cfRule type="notContainsBlanks" dxfId="24" priority="29">
      <formula>LEN(TRIM(I20))&gt;0</formula>
    </cfRule>
  </conditionalFormatting>
  <conditionalFormatting sqref="I21">
    <cfRule type="notContainsBlanks" dxfId="23" priority="28">
      <formula>LEN(TRIM(I21))&gt;0</formula>
    </cfRule>
  </conditionalFormatting>
  <conditionalFormatting sqref="I22">
    <cfRule type="notContainsBlanks" dxfId="22" priority="27">
      <formula>LEN(TRIM(I22))&gt;0</formula>
    </cfRule>
  </conditionalFormatting>
  <conditionalFormatting sqref="I24">
    <cfRule type="notContainsBlanks" dxfId="21" priority="26">
      <formula>LEN(TRIM(I24))&gt;0</formula>
    </cfRule>
  </conditionalFormatting>
  <conditionalFormatting sqref="I23">
    <cfRule type="notContainsBlanks" dxfId="20" priority="25">
      <formula>LEN(TRIM(I23))&gt;0</formula>
    </cfRule>
  </conditionalFormatting>
  <conditionalFormatting sqref="I25">
    <cfRule type="notContainsBlanks" dxfId="19" priority="24">
      <formula>LEN(TRIM(I25))&gt;0</formula>
    </cfRule>
  </conditionalFormatting>
  <conditionalFormatting sqref="I26">
    <cfRule type="notContainsBlanks" dxfId="18" priority="23">
      <formula>LEN(TRIM(I26))&gt;0</formula>
    </cfRule>
  </conditionalFormatting>
  <conditionalFormatting sqref="I27">
    <cfRule type="notContainsBlanks" dxfId="17" priority="22">
      <formula>LEN(TRIM(I27))&gt;0</formula>
    </cfRule>
  </conditionalFormatting>
  <conditionalFormatting sqref="I28">
    <cfRule type="notContainsBlanks" dxfId="16" priority="21">
      <formula>LEN(TRIM(I28))&gt;0</formula>
    </cfRule>
  </conditionalFormatting>
  <conditionalFormatting sqref="I29">
    <cfRule type="notContainsBlanks" dxfId="15" priority="20">
      <formula>LEN(TRIM(I29))&gt;0</formula>
    </cfRule>
  </conditionalFormatting>
  <conditionalFormatting sqref="I30">
    <cfRule type="notContainsBlanks" dxfId="14" priority="19">
      <formula>LEN(TRIM(I30))&gt;0</formula>
    </cfRule>
  </conditionalFormatting>
  <conditionalFormatting sqref="I31">
    <cfRule type="notContainsBlanks" dxfId="13" priority="18">
      <formula>LEN(TRIM(I31))&gt;0</formula>
    </cfRule>
  </conditionalFormatting>
  <conditionalFormatting sqref="I32">
    <cfRule type="notContainsBlanks" dxfId="12" priority="17">
      <formula>LEN(TRIM(I32))&gt;0</formula>
    </cfRule>
  </conditionalFormatting>
  <conditionalFormatting sqref="I33">
    <cfRule type="notContainsBlanks" dxfId="11" priority="16">
      <formula>LEN(TRIM(I33))&gt;0</formula>
    </cfRule>
  </conditionalFormatting>
  <conditionalFormatting sqref="O16:Q16">
    <cfRule type="notContainsBlanks" dxfId="10" priority="14">
      <formula>LEN(TRIM(O16))&gt;0</formula>
    </cfRule>
  </conditionalFormatting>
  <conditionalFormatting sqref="R16:T16">
    <cfRule type="notContainsBlanks" dxfId="9" priority="13">
      <formula>LEN(TRIM(R16))&gt;0</formula>
    </cfRule>
  </conditionalFormatting>
  <conditionalFormatting sqref="AI16">
    <cfRule type="notContainsBlanks" dxfId="8" priority="11">
      <formula>LEN(TRIM(AI16))&gt;0</formula>
    </cfRule>
  </conditionalFormatting>
  <conditionalFormatting sqref="AF16:AH16">
    <cfRule type="notContainsBlanks" dxfId="7" priority="10">
      <formula>LEN(TRIM(AF16))&gt;0</formula>
    </cfRule>
  </conditionalFormatting>
  <conditionalFormatting sqref="E16:G16">
    <cfRule type="notContainsBlanks" dxfId="6" priority="9">
      <formula>LEN(TRIM(E16))&gt;0</formula>
    </cfRule>
  </conditionalFormatting>
  <conditionalFormatting sqref="E16 G16">
    <cfRule type="notContainsBlanks" dxfId="5" priority="8">
      <formula>LEN(TRIM(E16))&gt;0</formula>
    </cfRule>
  </conditionalFormatting>
  <conditionalFormatting sqref="I16">
    <cfRule type="notContainsBlanks" dxfId="4" priority="7">
      <formula>LEN(TRIM(I16))&gt;0</formula>
    </cfRule>
  </conditionalFormatting>
  <conditionalFormatting sqref="I16">
    <cfRule type="notContainsBlanks" dxfId="3" priority="6">
      <formula>LEN(TRIM(I16))&gt;0</formula>
    </cfRule>
  </conditionalFormatting>
  <conditionalFormatting sqref="U15">
    <cfRule type="notContainsBlanks" dxfId="2" priority="3">
      <formula>LEN(TRIM(U15))&gt;0</formula>
    </cfRule>
  </conditionalFormatting>
  <conditionalFormatting sqref="G14">
    <cfRule type="notContainsBlanks" dxfId="1" priority="2">
      <formula>LEN(TRIM(G14))&gt;0</formula>
    </cfRule>
  </conditionalFormatting>
  <conditionalFormatting sqref="G14">
    <cfRule type="notContainsBlanks" dxfId="0" priority="1">
      <formula>LEN(TRIM(G14))&gt;0</formula>
    </cfRule>
  </conditionalFormatting>
  <dataValidations xWindow="980" yWindow="635"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errorTitle="Error en los datos" error="Sólo números entre M y F" prompt="Sólo se admiten valores M y F" sqref="F14:F1048576" xr:uid="{00000000-0002-0000-0100-000001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D14:AD60" xr:uid="{00000000-0002-0000-0100-000002000000}">
      <formula1>"FAMILIAR,ESCOLAR,COMUNITARIO,LOCALIZADO,NOSOCOMIAL,FORANEO"</formula1>
    </dataValidation>
    <dataValidation type="list" allowBlank="1" showInputMessage="1" showErrorMessage="1" sqref="E14:E150" xr:uid="{00000000-0002-0000-0100-000003000000}">
      <formula1>EDAD_</formula1>
    </dataValidation>
    <dataValidation type="list" allowBlank="1" showInputMessage="1" showErrorMessage="1" sqref="I9 C9 R14:R150 K14:K150 AF14:AF60 O14:O150 V14:V150" xr:uid="{00000000-0002-0000-0100-000004000000}">
      <formula1>DIA</formula1>
    </dataValidation>
    <dataValidation type="list" allowBlank="1" showInputMessage="1" showErrorMessage="1" sqref="D9 J9 L14:L150 S14:S150 AG14:AG60 P14:P150 W14:W150" xr:uid="{00000000-0002-0000-0100-000005000000}">
      <formula1>MES</formula1>
    </dataValidation>
    <dataValidation type="list" allowBlank="1" showInputMessage="1" showErrorMessage="1" sqref="E9 K9 M14:M150 T14:T150 AH14:AH60 Q14:Q150 X14:X150" xr:uid="{00000000-0002-0000-0100-000006000000}">
      <formula1>AÑO</formula1>
    </dataValidation>
    <dataValidation type="list" allowBlank="1" showInputMessage="1" showErrorMessage="1" sqref="AI14:AI1048576" xr:uid="{00000000-0002-0000-0100-000007000000}">
      <formula1>NOTIFICACIÓN</formula1>
    </dataValidation>
    <dataValidation type="list" allowBlank="1" showInputMessage="1" showErrorMessage="1" prompt="Seleccione una opción" sqref="I7:K7" xr:uid="{00000000-0002-0000-0100-000008000000}">
      <formula1>MUNICIPIO</formula1>
    </dataValidation>
    <dataValidation type="list" allowBlank="1" showInputMessage="1" showErrorMessage="1" prompt="Seleccione una opción_x000a_" sqref="C8:E8" xr:uid="{00000000-0002-0000-0100-000009000000}">
      <formula1>TIPO_BROTE</formula1>
    </dataValidation>
    <dataValidation allowBlank="1" showInputMessage="1" showErrorMessage="1" errorTitle="Error en los datos" error="Sólo números entre M y F" prompt="Sólo se admiten valores M y F" sqref="F12:F13" xr:uid="{00000000-0002-0000-0100-00000A000000}"/>
    <dataValidation type="list" allowBlank="1" showInputMessage="1" showErrorMessage="1" errorTitle="Error en los datos" error="Sólo números 0 y 1" prompt="Sólo se admiten valores 0 y 1" sqref="AA14:AC1048576" xr:uid="{00000000-0002-0000-0100-00000B000000}">
      <formula1>"0,1"</formula1>
    </dataValidation>
  </dataValidations>
  <pageMargins left="0.15748031496062992" right="0.15748031496062992" top="0.98425196850393704" bottom="0.98425196850393704" header="0" footer="0"/>
  <pageSetup scale="3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6</xdr:col>
                    <xdr:colOff>199505</xdr:colOff>
                    <xdr:row>1</xdr:row>
                    <xdr:rowOff>0</xdr:rowOff>
                  </from>
                  <to>
                    <xdr:col>8</xdr:col>
                    <xdr:colOff>598516</xdr:colOff>
                    <xdr:row>2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2.LISTADO_NOMINAL">
                <anchor moveWithCells="1" sizeWithCells="1">
                  <from>
                    <xdr:col>9</xdr:col>
                    <xdr:colOff>199505</xdr:colOff>
                    <xdr:row>0</xdr:row>
                    <xdr:rowOff>157942</xdr:rowOff>
                  </from>
                  <to>
                    <xdr:col>12</xdr:col>
                    <xdr:colOff>91440</xdr:colOff>
                    <xdr:row>3</xdr:row>
                    <xdr:rowOff>116378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100"/>
  <sheetViews>
    <sheetView showGridLines="0" view="pageBreakPreview" zoomScaleNormal="100" zoomScaleSheetLayoutView="100" workbookViewId="0">
      <selection activeCell="P26" sqref="P26"/>
    </sheetView>
  </sheetViews>
  <sheetFormatPr baseColWidth="10" defaultRowHeight="12.45"/>
  <cols>
    <col min="1" max="1" width="13.109375" style="87" customWidth="1"/>
    <col min="2" max="2" width="9.44140625" style="21" customWidth="1"/>
    <col min="3" max="3" width="11.44140625" style="21" customWidth="1"/>
    <col min="4" max="4" width="10.33203125" style="21" customWidth="1"/>
    <col min="5" max="5" width="11.5546875" style="21"/>
    <col min="6" max="6" width="10" style="21" customWidth="1"/>
    <col min="7" max="7" width="17.5546875" style="21" customWidth="1"/>
    <col min="8" max="8" width="10.88671875" style="21" customWidth="1"/>
    <col min="9" max="9" width="11.5546875" style="21"/>
    <col min="10" max="10" width="12.6640625" style="21" customWidth="1"/>
    <col min="11" max="12" width="11.5546875" style="21"/>
    <col min="13" max="13" width="2.109375" style="21" customWidth="1"/>
    <col min="14" max="256" width="11.5546875" style="21"/>
    <col min="257" max="257" width="13.109375" style="21" customWidth="1"/>
    <col min="258" max="258" width="9.44140625" style="21" customWidth="1"/>
    <col min="259" max="259" width="9.109375" style="21" customWidth="1"/>
    <col min="260" max="260" width="10.33203125" style="21" customWidth="1"/>
    <col min="261" max="261" width="11.5546875" style="21"/>
    <col min="262" max="262" width="10" style="21" customWidth="1"/>
    <col min="263" max="263" width="17.5546875" style="21" customWidth="1"/>
    <col min="264" max="264" width="5" style="21" customWidth="1"/>
    <col min="265" max="265" width="11.5546875" style="21"/>
    <col min="266" max="266" width="12.6640625" style="21" customWidth="1"/>
    <col min="267" max="268" width="11.5546875" style="21"/>
    <col min="269" max="269" width="2.109375" style="21" customWidth="1"/>
    <col min="270" max="512" width="11.5546875" style="21"/>
    <col min="513" max="513" width="13.109375" style="21" customWidth="1"/>
    <col min="514" max="514" width="9.44140625" style="21" customWidth="1"/>
    <col min="515" max="515" width="9.109375" style="21" customWidth="1"/>
    <col min="516" max="516" width="10.33203125" style="21" customWidth="1"/>
    <col min="517" max="517" width="11.5546875" style="21"/>
    <col min="518" max="518" width="10" style="21" customWidth="1"/>
    <col min="519" max="519" width="17.5546875" style="21" customWidth="1"/>
    <col min="520" max="520" width="5" style="21" customWidth="1"/>
    <col min="521" max="521" width="11.5546875" style="21"/>
    <col min="522" max="522" width="12.6640625" style="21" customWidth="1"/>
    <col min="523" max="524" width="11.5546875" style="21"/>
    <col min="525" max="525" width="2.109375" style="21" customWidth="1"/>
    <col min="526" max="768" width="11.5546875" style="21"/>
    <col min="769" max="769" width="13.109375" style="21" customWidth="1"/>
    <col min="770" max="770" width="9.44140625" style="21" customWidth="1"/>
    <col min="771" max="771" width="9.109375" style="21" customWidth="1"/>
    <col min="772" max="772" width="10.33203125" style="21" customWidth="1"/>
    <col min="773" max="773" width="11.5546875" style="21"/>
    <col min="774" max="774" width="10" style="21" customWidth="1"/>
    <col min="775" max="775" width="17.5546875" style="21" customWidth="1"/>
    <col min="776" max="776" width="5" style="21" customWidth="1"/>
    <col min="777" max="777" width="11.5546875" style="21"/>
    <col min="778" max="778" width="12.6640625" style="21" customWidth="1"/>
    <col min="779" max="780" width="11.5546875" style="21"/>
    <col min="781" max="781" width="2.109375" style="21" customWidth="1"/>
    <col min="782" max="1024" width="11.5546875" style="21"/>
    <col min="1025" max="1025" width="13.109375" style="21" customWidth="1"/>
    <col min="1026" max="1026" width="9.44140625" style="21" customWidth="1"/>
    <col min="1027" max="1027" width="9.109375" style="21" customWidth="1"/>
    <col min="1028" max="1028" width="10.33203125" style="21" customWidth="1"/>
    <col min="1029" max="1029" width="11.5546875" style="21"/>
    <col min="1030" max="1030" width="10" style="21" customWidth="1"/>
    <col min="1031" max="1031" width="17.5546875" style="21" customWidth="1"/>
    <col min="1032" max="1032" width="5" style="21" customWidth="1"/>
    <col min="1033" max="1033" width="11.5546875" style="21"/>
    <col min="1034" max="1034" width="12.6640625" style="21" customWidth="1"/>
    <col min="1035" max="1036" width="11.5546875" style="21"/>
    <col min="1037" max="1037" width="2.109375" style="21" customWidth="1"/>
    <col min="1038" max="1280" width="11.5546875" style="21"/>
    <col min="1281" max="1281" width="13.109375" style="21" customWidth="1"/>
    <col min="1282" max="1282" width="9.44140625" style="21" customWidth="1"/>
    <col min="1283" max="1283" width="9.109375" style="21" customWidth="1"/>
    <col min="1284" max="1284" width="10.33203125" style="21" customWidth="1"/>
    <col min="1285" max="1285" width="11.5546875" style="21"/>
    <col min="1286" max="1286" width="10" style="21" customWidth="1"/>
    <col min="1287" max="1287" width="17.5546875" style="21" customWidth="1"/>
    <col min="1288" max="1288" width="5" style="21" customWidth="1"/>
    <col min="1289" max="1289" width="11.5546875" style="21"/>
    <col min="1290" max="1290" width="12.6640625" style="21" customWidth="1"/>
    <col min="1291" max="1292" width="11.5546875" style="21"/>
    <col min="1293" max="1293" width="2.109375" style="21" customWidth="1"/>
    <col min="1294" max="1536" width="11.5546875" style="21"/>
    <col min="1537" max="1537" width="13.109375" style="21" customWidth="1"/>
    <col min="1538" max="1538" width="9.44140625" style="21" customWidth="1"/>
    <col min="1539" max="1539" width="9.109375" style="21" customWidth="1"/>
    <col min="1540" max="1540" width="10.33203125" style="21" customWidth="1"/>
    <col min="1541" max="1541" width="11.5546875" style="21"/>
    <col min="1542" max="1542" width="10" style="21" customWidth="1"/>
    <col min="1543" max="1543" width="17.5546875" style="21" customWidth="1"/>
    <col min="1544" max="1544" width="5" style="21" customWidth="1"/>
    <col min="1545" max="1545" width="11.5546875" style="21"/>
    <col min="1546" max="1546" width="12.6640625" style="21" customWidth="1"/>
    <col min="1547" max="1548" width="11.5546875" style="21"/>
    <col min="1549" max="1549" width="2.109375" style="21" customWidth="1"/>
    <col min="1550" max="1792" width="11.5546875" style="21"/>
    <col min="1793" max="1793" width="13.109375" style="21" customWidth="1"/>
    <col min="1794" max="1794" width="9.44140625" style="21" customWidth="1"/>
    <col min="1795" max="1795" width="9.109375" style="21" customWidth="1"/>
    <col min="1796" max="1796" width="10.33203125" style="21" customWidth="1"/>
    <col min="1797" max="1797" width="11.5546875" style="21"/>
    <col min="1798" max="1798" width="10" style="21" customWidth="1"/>
    <col min="1799" max="1799" width="17.5546875" style="21" customWidth="1"/>
    <col min="1800" max="1800" width="5" style="21" customWidth="1"/>
    <col min="1801" max="1801" width="11.5546875" style="21"/>
    <col min="1802" max="1802" width="12.6640625" style="21" customWidth="1"/>
    <col min="1803" max="1804" width="11.5546875" style="21"/>
    <col min="1805" max="1805" width="2.109375" style="21" customWidth="1"/>
    <col min="1806" max="2048" width="11.5546875" style="21"/>
    <col min="2049" max="2049" width="13.109375" style="21" customWidth="1"/>
    <col min="2050" max="2050" width="9.44140625" style="21" customWidth="1"/>
    <col min="2051" max="2051" width="9.109375" style="21" customWidth="1"/>
    <col min="2052" max="2052" width="10.33203125" style="21" customWidth="1"/>
    <col min="2053" max="2053" width="11.5546875" style="21"/>
    <col min="2054" max="2054" width="10" style="21" customWidth="1"/>
    <col min="2055" max="2055" width="17.5546875" style="21" customWidth="1"/>
    <col min="2056" max="2056" width="5" style="21" customWidth="1"/>
    <col min="2057" max="2057" width="11.5546875" style="21"/>
    <col min="2058" max="2058" width="12.6640625" style="21" customWidth="1"/>
    <col min="2059" max="2060" width="11.5546875" style="21"/>
    <col min="2061" max="2061" width="2.109375" style="21" customWidth="1"/>
    <col min="2062" max="2304" width="11.5546875" style="21"/>
    <col min="2305" max="2305" width="13.109375" style="21" customWidth="1"/>
    <col min="2306" max="2306" width="9.44140625" style="21" customWidth="1"/>
    <col min="2307" max="2307" width="9.109375" style="21" customWidth="1"/>
    <col min="2308" max="2308" width="10.33203125" style="21" customWidth="1"/>
    <col min="2309" max="2309" width="11.5546875" style="21"/>
    <col min="2310" max="2310" width="10" style="21" customWidth="1"/>
    <col min="2311" max="2311" width="17.5546875" style="21" customWidth="1"/>
    <col min="2312" max="2312" width="5" style="21" customWidth="1"/>
    <col min="2313" max="2313" width="11.5546875" style="21"/>
    <col min="2314" max="2314" width="12.6640625" style="21" customWidth="1"/>
    <col min="2315" max="2316" width="11.5546875" style="21"/>
    <col min="2317" max="2317" width="2.109375" style="21" customWidth="1"/>
    <col min="2318" max="2560" width="11.5546875" style="21"/>
    <col min="2561" max="2561" width="13.109375" style="21" customWidth="1"/>
    <col min="2562" max="2562" width="9.44140625" style="21" customWidth="1"/>
    <col min="2563" max="2563" width="9.109375" style="21" customWidth="1"/>
    <col min="2564" max="2564" width="10.33203125" style="21" customWidth="1"/>
    <col min="2565" max="2565" width="11.5546875" style="21"/>
    <col min="2566" max="2566" width="10" style="21" customWidth="1"/>
    <col min="2567" max="2567" width="17.5546875" style="21" customWidth="1"/>
    <col min="2568" max="2568" width="5" style="21" customWidth="1"/>
    <col min="2569" max="2569" width="11.5546875" style="21"/>
    <col min="2570" max="2570" width="12.6640625" style="21" customWidth="1"/>
    <col min="2571" max="2572" width="11.5546875" style="21"/>
    <col min="2573" max="2573" width="2.109375" style="21" customWidth="1"/>
    <col min="2574" max="2816" width="11.5546875" style="21"/>
    <col min="2817" max="2817" width="13.109375" style="21" customWidth="1"/>
    <col min="2818" max="2818" width="9.44140625" style="21" customWidth="1"/>
    <col min="2819" max="2819" width="9.109375" style="21" customWidth="1"/>
    <col min="2820" max="2820" width="10.33203125" style="21" customWidth="1"/>
    <col min="2821" max="2821" width="11.5546875" style="21"/>
    <col min="2822" max="2822" width="10" style="21" customWidth="1"/>
    <col min="2823" max="2823" width="17.5546875" style="21" customWidth="1"/>
    <col min="2824" max="2824" width="5" style="21" customWidth="1"/>
    <col min="2825" max="2825" width="11.5546875" style="21"/>
    <col min="2826" max="2826" width="12.6640625" style="21" customWidth="1"/>
    <col min="2827" max="2828" width="11.5546875" style="21"/>
    <col min="2829" max="2829" width="2.109375" style="21" customWidth="1"/>
    <col min="2830" max="3072" width="11.5546875" style="21"/>
    <col min="3073" max="3073" width="13.109375" style="21" customWidth="1"/>
    <col min="3074" max="3074" width="9.44140625" style="21" customWidth="1"/>
    <col min="3075" max="3075" width="9.109375" style="21" customWidth="1"/>
    <col min="3076" max="3076" width="10.33203125" style="21" customWidth="1"/>
    <col min="3077" max="3077" width="11.5546875" style="21"/>
    <col min="3078" max="3078" width="10" style="21" customWidth="1"/>
    <col min="3079" max="3079" width="17.5546875" style="21" customWidth="1"/>
    <col min="3080" max="3080" width="5" style="21" customWidth="1"/>
    <col min="3081" max="3081" width="11.5546875" style="21"/>
    <col min="3082" max="3082" width="12.6640625" style="21" customWidth="1"/>
    <col min="3083" max="3084" width="11.5546875" style="21"/>
    <col min="3085" max="3085" width="2.109375" style="21" customWidth="1"/>
    <col min="3086" max="3328" width="11.5546875" style="21"/>
    <col min="3329" max="3329" width="13.109375" style="21" customWidth="1"/>
    <col min="3330" max="3330" width="9.44140625" style="21" customWidth="1"/>
    <col min="3331" max="3331" width="9.109375" style="21" customWidth="1"/>
    <col min="3332" max="3332" width="10.33203125" style="21" customWidth="1"/>
    <col min="3333" max="3333" width="11.5546875" style="21"/>
    <col min="3334" max="3334" width="10" style="21" customWidth="1"/>
    <col min="3335" max="3335" width="17.5546875" style="21" customWidth="1"/>
    <col min="3336" max="3336" width="5" style="21" customWidth="1"/>
    <col min="3337" max="3337" width="11.5546875" style="21"/>
    <col min="3338" max="3338" width="12.6640625" style="21" customWidth="1"/>
    <col min="3339" max="3340" width="11.5546875" style="21"/>
    <col min="3341" max="3341" width="2.109375" style="21" customWidth="1"/>
    <col min="3342" max="3584" width="11.5546875" style="21"/>
    <col min="3585" max="3585" width="13.109375" style="21" customWidth="1"/>
    <col min="3586" max="3586" width="9.44140625" style="21" customWidth="1"/>
    <col min="3587" max="3587" width="9.109375" style="21" customWidth="1"/>
    <col min="3588" max="3588" width="10.33203125" style="21" customWidth="1"/>
    <col min="3589" max="3589" width="11.5546875" style="21"/>
    <col min="3590" max="3590" width="10" style="21" customWidth="1"/>
    <col min="3591" max="3591" width="17.5546875" style="21" customWidth="1"/>
    <col min="3592" max="3592" width="5" style="21" customWidth="1"/>
    <col min="3593" max="3593" width="11.5546875" style="21"/>
    <col min="3594" max="3594" width="12.6640625" style="21" customWidth="1"/>
    <col min="3595" max="3596" width="11.5546875" style="21"/>
    <col min="3597" max="3597" width="2.109375" style="21" customWidth="1"/>
    <col min="3598" max="3840" width="11.5546875" style="21"/>
    <col min="3841" max="3841" width="13.109375" style="21" customWidth="1"/>
    <col min="3842" max="3842" width="9.44140625" style="21" customWidth="1"/>
    <col min="3843" max="3843" width="9.109375" style="21" customWidth="1"/>
    <col min="3844" max="3844" width="10.33203125" style="21" customWidth="1"/>
    <col min="3845" max="3845" width="11.5546875" style="21"/>
    <col min="3846" max="3846" width="10" style="21" customWidth="1"/>
    <col min="3847" max="3847" width="17.5546875" style="21" customWidth="1"/>
    <col min="3848" max="3848" width="5" style="21" customWidth="1"/>
    <col min="3849" max="3849" width="11.5546875" style="21"/>
    <col min="3850" max="3850" width="12.6640625" style="21" customWidth="1"/>
    <col min="3851" max="3852" width="11.5546875" style="21"/>
    <col min="3853" max="3853" width="2.109375" style="21" customWidth="1"/>
    <col min="3854" max="4096" width="11.5546875" style="21"/>
    <col min="4097" max="4097" width="13.109375" style="21" customWidth="1"/>
    <col min="4098" max="4098" width="9.44140625" style="21" customWidth="1"/>
    <col min="4099" max="4099" width="9.109375" style="21" customWidth="1"/>
    <col min="4100" max="4100" width="10.33203125" style="21" customWidth="1"/>
    <col min="4101" max="4101" width="11.5546875" style="21"/>
    <col min="4102" max="4102" width="10" style="21" customWidth="1"/>
    <col min="4103" max="4103" width="17.5546875" style="21" customWidth="1"/>
    <col min="4104" max="4104" width="5" style="21" customWidth="1"/>
    <col min="4105" max="4105" width="11.5546875" style="21"/>
    <col min="4106" max="4106" width="12.6640625" style="21" customWidth="1"/>
    <col min="4107" max="4108" width="11.5546875" style="21"/>
    <col min="4109" max="4109" width="2.109375" style="21" customWidth="1"/>
    <col min="4110" max="4352" width="11.5546875" style="21"/>
    <col min="4353" max="4353" width="13.109375" style="21" customWidth="1"/>
    <col min="4354" max="4354" width="9.44140625" style="21" customWidth="1"/>
    <col min="4355" max="4355" width="9.109375" style="21" customWidth="1"/>
    <col min="4356" max="4356" width="10.33203125" style="21" customWidth="1"/>
    <col min="4357" max="4357" width="11.5546875" style="21"/>
    <col min="4358" max="4358" width="10" style="21" customWidth="1"/>
    <col min="4359" max="4359" width="17.5546875" style="21" customWidth="1"/>
    <col min="4360" max="4360" width="5" style="21" customWidth="1"/>
    <col min="4361" max="4361" width="11.5546875" style="21"/>
    <col min="4362" max="4362" width="12.6640625" style="21" customWidth="1"/>
    <col min="4363" max="4364" width="11.5546875" style="21"/>
    <col min="4365" max="4365" width="2.109375" style="21" customWidth="1"/>
    <col min="4366" max="4608" width="11.5546875" style="21"/>
    <col min="4609" max="4609" width="13.109375" style="21" customWidth="1"/>
    <col min="4610" max="4610" width="9.44140625" style="21" customWidth="1"/>
    <col min="4611" max="4611" width="9.109375" style="21" customWidth="1"/>
    <col min="4612" max="4612" width="10.33203125" style="21" customWidth="1"/>
    <col min="4613" max="4613" width="11.5546875" style="21"/>
    <col min="4614" max="4614" width="10" style="21" customWidth="1"/>
    <col min="4615" max="4615" width="17.5546875" style="21" customWidth="1"/>
    <col min="4616" max="4616" width="5" style="21" customWidth="1"/>
    <col min="4617" max="4617" width="11.5546875" style="21"/>
    <col min="4618" max="4618" width="12.6640625" style="21" customWidth="1"/>
    <col min="4619" max="4620" width="11.5546875" style="21"/>
    <col min="4621" max="4621" width="2.109375" style="21" customWidth="1"/>
    <col min="4622" max="4864" width="11.5546875" style="21"/>
    <col min="4865" max="4865" width="13.109375" style="21" customWidth="1"/>
    <col min="4866" max="4866" width="9.44140625" style="21" customWidth="1"/>
    <col min="4867" max="4867" width="9.109375" style="21" customWidth="1"/>
    <col min="4868" max="4868" width="10.33203125" style="21" customWidth="1"/>
    <col min="4869" max="4869" width="11.5546875" style="21"/>
    <col min="4870" max="4870" width="10" style="21" customWidth="1"/>
    <col min="4871" max="4871" width="17.5546875" style="21" customWidth="1"/>
    <col min="4872" max="4872" width="5" style="21" customWidth="1"/>
    <col min="4873" max="4873" width="11.5546875" style="21"/>
    <col min="4874" max="4874" width="12.6640625" style="21" customWidth="1"/>
    <col min="4875" max="4876" width="11.5546875" style="21"/>
    <col min="4877" max="4877" width="2.109375" style="21" customWidth="1"/>
    <col min="4878" max="5120" width="11.5546875" style="21"/>
    <col min="5121" max="5121" width="13.109375" style="21" customWidth="1"/>
    <col min="5122" max="5122" width="9.44140625" style="21" customWidth="1"/>
    <col min="5123" max="5123" width="9.109375" style="21" customWidth="1"/>
    <col min="5124" max="5124" width="10.33203125" style="21" customWidth="1"/>
    <col min="5125" max="5125" width="11.5546875" style="21"/>
    <col min="5126" max="5126" width="10" style="21" customWidth="1"/>
    <col min="5127" max="5127" width="17.5546875" style="21" customWidth="1"/>
    <col min="5128" max="5128" width="5" style="21" customWidth="1"/>
    <col min="5129" max="5129" width="11.5546875" style="21"/>
    <col min="5130" max="5130" width="12.6640625" style="21" customWidth="1"/>
    <col min="5131" max="5132" width="11.5546875" style="21"/>
    <col min="5133" max="5133" width="2.109375" style="21" customWidth="1"/>
    <col min="5134" max="5376" width="11.5546875" style="21"/>
    <col min="5377" max="5377" width="13.109375" style="21" customWidth="1"/>
    <col min="5378" max="5378" width="9.44140625" style="21" customWidth="1"/>
    <col min="5379" max="5379" width="9.109375" style="21" customWidth="1"/>
    <col min="5380" max="5380" width="10.33203125" style="21" customWidth="1"/>
    <col min="5381" max="5381" width="11.5546875" style="21"/>
    <col min="5382" max="5382" width="10" style="21" customWidth="1"/>
    <col min="5383" max="5383" width="17.5546875" style="21" customWidth="1"/>
    <col min="5384" max="5384" width="5" style="21" customWidth="1"/>
    <col min="5385" max="5385" width="11.5546875" style="21"/>
    <col min="5386" max="5386" width="12.6640625" style="21" customWidth="1"/>
    <col min="5387" max="5388" width="11.5546875" style="21"/>
    <col min="5389" max="5389" width="2.109375" style="21" customWidth="1"/>
    <col min="5390" max="5632" width="11.5546875" style="21"/>
    <col min="5633" max="5633" width="13.109375" style="21" customWidth="1"/>
    <col min="5634" max="5634" width="9.44140625" style="21" customWidth="1"/>
    <col min="5635" max="5635" width="9.109375" style="21" customWidth="1"/>
    <col min="5636" max="5636" width="10.33203125" style="21" customWidth="1"/>
    <col min="5637" max="5637" width="11.5546875" style="21"/>
    <col min="5638" max="5638" width="10" style="21" customWidth="1"/>
    <col min="5639" max="5639" width="17.5546875" style="21" customWidth="1"/>
    <col min="5640" max="5640" width="5" style="21" customWidth="1"/>
    <col min="5641" max="5641" width="11.5546875" style="21"/>
    <col min="5642" max="5642" width="12.6640625" style="21" customWidth="1"/>
    <col min="5643" max="5644" width="11.5546875" style="21"/>
    <col min="5645" max="5645" width="2.109375" style="21" customWidth="1"/>
    <col min="5646" max="5888" width="11.5546875" style="21"/>
    <col min="5889" max="5889" width="13.109375" style="21" customWidth="1"/>
    <col min="5890" max="5890" width="9.44140625" style="21" customWidth="1"/>
    <col min="5891" max="5891" width="9.109375" style="21" customWidth="1"/>
    <col min="5892" max="5892" width="10.33203125" style="21" customWidth="1"/>
    <col min="5893" max="5893" width="11.5546875" style="21"/>
    <col min="5894" max="5894" width="10" style="21" customWidth="1"/>
    <col min="5895" max="5895" width="17.5546875" style="21" customWidth="1"/>
    <col min="5896" max="5896" width="5" style="21" customWidth="1"/>
    <col min="5897" max="5897" width="11.5546875" style="21"/>
    <col min="5898" max="5898" width="12.6640625" style="21" customWidth="1"/>
    <col min="5899" max="5900" width="11.5546875" style="21"/>
    <col min="5901" max="5901" width="2.109375" style="21" customWidth="1"/>
    <col min="5902" max="6144" width="11.5546875" style="21"/>
    <col min="6145" max="6145" width="13.109375" style="21" customWidth="1"/>
    <col min="6146" max="6146" width="9.44140625" style="21" customWidth="1"/>
    <col min="6147" max="6147" width="9.109375" style="21" customWidth="1"/>
    <col min="6148" max="6148" width="10.33203125" style="21" customWidth="1"/>
    <col min="6149" max="6149" width="11.5546875" style="21"/>
    <col min="6150" max="6150" width="10" style="21" customWidth="1"/>
    <col min="6151" max="6151" width="17.5546875" style="21" customWidth="1"/>
    <col min="6152" max="6152" width="5" style="21" customWidth="1"/>
    <col min="6153" max="6153" width="11.5546875" style="21"/>
    <col min="6154" max="6154" width="12.6640625" style="21" customWidth="1"/>
    <col min="6155" max="6156" width="11.5546875" style="21"/>
    <col min="6157" max="6157" width="2.109375" style="21" customWidth="1"/>
    <col min="6158" max="6400" width="11.5546875" style="21"/>
    <col min="6401" max="6401" width="13.109375" style="21" customWidth="1"/>
    <col min="6402" max="6402" width="9.44140625" style="21" customWidth="1"/>
    <col min="6403" max="6403" width="9.109375" style="21" customWidth="1"/>
    <col min="6404" max="6404" width="10.33203125" style="21" customWidth="1"/>
    <col min="6405" max="6405" width="11.5546875" style="21"/>
    <col min="6406" max="6406" width="10" style="21" customWidth="1"/>
    <col min="6407" max="6407" width="17.5546875" style="21" customWidth="1"/>
    <col min="6408" max="6408" width="5" style="21" customWidth="1"/>
    <col min="6409" max="6409" width="11.5546875" style="21"/>
    <col min="6410" max="6410" width="12.6640625" style="21" customWidth="1"/>
    <col min="6411" max="6412" width="11.5546875" style="21"/>
    <col min="6413" max="6413" width="2.109375" style="21" customWidth="1"/>
    <col min="6414" max="6656" width="11.5546875" style="21"/>
    <col min="6657" max="6657" width="13.109375" style="21" customWidth="1"/>
    <col min="6658" max="6658" width="9.44140625" style="21" customWidth="1"/>
    <col min="6659" max="6659" width="9.109375" style="21" customWidth="1"/>
    <col min="6660" max="6660" width="10.33203125" style="21" customWidth="1"/>
    <col min="6661" max="6661" width="11.5546875" style="21"/>
    <col min="6662" max="6662" width="10" style="21" customWidth="1"/>
    <col min="6663" max="6663" width="17.5546875" style="21" customWidth="1"/>
    <col min="6664" max="6664" width="5" style="21" customWidth="1"/>
    <col min="6665" max="6665" width="11.5546875" style="21"/>
    <col min="6666" max="6666" width="12.6640625" style="21" customWidth="1"/>
    <col min="6667" max="6668" width="11.5546875" style="21"/>
    <col min="6669" max="6669" width="2.109375" style="21" customWidth="1"/>
    <col min="6670" max="6912" width="11.5546875" style="21"/>
    <col min="6913" max="6913" width="13.109375" style="21" customWidth="1"/>
    <col min="6914" max="6914" width="9.44140625" style="21" customWidth="1"/>
    <col min="6915" max="6915" width="9.109375" style="21" customWidth="1"/>
    <col min="6916" max="6916" width="10.33203125" style="21" customWidth="1"/>
    <col min="6917" max="6917" width="11.5546875" style="21"/>
    <col min="6918" max="6918" width="10" style="21" customWidth="1"/>
    <col min="6919" max="6919" width="17.5546875" style="21" customWidth="1"/>
    <col min="6920" max="6920" width="5" style="21" customWidth="1"/>
    <col min="6921" max="6921" width="11.5546875" style="21"/>
    <col min="6922" max="6922" width="12.6640625" style="21" customWidth="1"/>
    <col min="6923" max="6924" width="11.5546875" style="21"/>
    <col min="6925" max="6925" width="2.109375" style="21" customWidth="1"/>
    <col min="6926" max="7168" width="11.5546875" style="21"/>
    <col min="7169" max="7169" width="13.109375" style="21" customWidth="1"/>
    <col min="7170" max="7170" width="9.44140625" style="21" customWidth="1"/>
    <col min="7171" max="7171" width="9.109375" style="21" customWidth="1"/>
    <col min="7172" max="7172" width="10.33203125" style="21" customWidth="1"/>
    <col min="7173" max="7173" width="11.5546875" style="21"/>
    <col min="7174" max="7174" width="10" style="21" customWidth="1"/>
    <col min="7175" max="7175" width="17.5546875" style="21" customWidth="1"/>
    <col min="7176" max="7176" width="5" style="21" customWidth="1"/>
    <col min="7177" max="7177" width="11.5546875" style="21"/>
    <col min="7178" max="7178" width="12.6640625" style="21" customWidth="1"/>
    <col min="7179" max="7180" width="11.5546875" style="21"/>
    <col min="7181" max="7181" width="2.109375" style="21" customWidth="1"/>
    <col min="7182" max="7424" width="11.5546875" style="21"/>
    <col min="7425" max="7425" width="13.109375" style="21" customWidth="1"/>
    <col min="7426" max="7426" width="9.44140625" style="21" customWidth="1"/>
    <col min="7427" max="7427" width="9.109375" style="21" customWidth="1"/>
    <col min="7428" max="7428" width="10.33203125" style="21" customWidth="1"/>
    <col min="7429" max="7429" width="11.5546875" style="21"/>
    <col min="7430" max="7430" width="10" style="21" customWidth="1"/>
    <col min="7431" max="7431" width="17.5546875" style="21" customWidth="1"/>
    <col min="7432" max="7432" width="5" style="21" customWidth="1"/>
    <col min="7433" max="7433" width="11.5546875" style="21"/>
    <col min="7434" max="7434" width="12.6640625" style="21" customWidth="1"/>
    <col min="7435" max="7436" width="11.5546875" style="21"/>
    <col min="7437" max="7437" width="2.109375" style="21" customWidth="1"/>
    <col min="7438" max="7680" width="11.5546875" style="21"/>
    <col min="7681" max="7681" width="13.109375" style="21" customWidth="1"/>
    <col min="7682" max="7682" width="9.44140625" style="21" customWidth="1"/>
    <col min="7683" max="7683" width="9.109375" style="21" customWidth="1"/>
    <col min="7684" max="7684" width="10.33203125" style="21" customWidth="1"/>
    <col min="7685" max="7685" width="11.5546875" style="21"/>
    <col min="7686" max="7686" width="10" style="21" customWidth="1"/>
    <col min="7687" max="7687" width="17.5546875" style="21" customWidth="1"/>
    <col min="7688" max="7688" width="5" style="21" customWidth="1"/>
    <col min="7689" max="7689" width="11.5546875" style="21"/>
    <col min="7690" max="7690" width="12.6640625" style="21" customWidth="1"/>
    <col min="7691" max="7692" width="11.5546875" style="21"/>
    <col min="7693" max="7693" width="2.109375" style="21" customWidth="1"/>
    <col min="7694" max="7936" width="11.5546875" style="21"/>
    <col min="7937" max="7937" width="13.109375" style="21" customWidth="1"/>
    <col min="7938" max="7938" width="9.44140625" style="21" customWidth="1"/>
    <col min="7939" max="7939" width="9.109375" style="21" customWidth="1"/>
    <col min="7940" max="7940" width="10.33203125" style="21" customWidth="1"/>
    <col min="7941" max="7941" width="11.5546875" style="21"/>
    <col min="7942" max="7942" width="10" style="21" customWidth="1"/>
    <col min="7943" max="7943" width="17.5546875" style="21" customWidth="1"/>
    <col min="7944" max="7944" width="5" style="21" customWidth="1"/>
    <col min="7945" max="7945" width="11.5546875" style="21"/>
    <col min="7946" max="7946" width="12.6640625" style="21" customWidth="1"/>
    <col min="7947" max="7948" width="11.5546875" style="21"/>
    <col min="7949" max="7949" width="2.109375" style="21" customWidth="1"/>
    <col min="7950" max="8192" width="11.5546875" style="21"/>
    <col min="8193" max="8193" width="13.109375" style="21" customWidth="1"/>
    <col min="8194" max="8194" width="9.44140625" style="21" customWidth="1"/>
    <col min="8195" max="8195" width="9.109375" style="21" customWidth="1"/>
    <col min="8196" max="8196" width="10.33203125" style="21" customWidth="1"/>
    <col min="8197" max="8197" width="11.5546875" style="21"/>
    <col min="8198" max="8198" width="10" style="21" customWidth="1"/>
    <col min="8199" max="8199" width="17.5546875" style="21" customWidth="1"/>
    <col min="8200" max="8200" width="5" style="21" customWidth="1"/>
    <col min="8201" max="8201" width="11.5546875" style="21"/>
    <col min="8202" max="8202" width="12.6640625" style="21" customWidth="1"/>
    <col min="8203" max="8204" width="11.5546875" style="21"/>
    <col min="8205" max="8205" width="2.109375" style="21" customWidth="1"/>
    <col min="8206" max="8448" width="11.5546875" style="21"/>
    <col min="8449" max="8449" width="13.109375" style="21" customWidth="1"/>
    <col min="8450" max="8450" width="9.44140625" style="21" customWidth="1"/>
    <col min="8451" max="8451" width="9.109375" style="21" customWidth="1"/>
    <col min="8452" max="8452" width="10.33203125" style="21" customWidth="1"/>
    <col min="8453" max="8453" width="11.5546875" style="21"/>
    <col min="8454" max="8454" width="10" style="21" customWidth="1"/>
    <col min="8455" max="8455" width="17.5546875" style="21" customWidth="1"/>
    <col min="8456" max="8456" width="5" style="21" customWidth="1"/>
    <col min="8457" max="8457" width="11.5546875" style="21"/>
    <col min="8458" max="8458" width="12.6640625" style="21" customWidth="1"/>
    <col min="8459" max="8460" width="11.5546875" style="21"/>
    <col min="8461" max="8461" width="2.109375" style="21" customWidth="1"/>
    <col min="8462" max="8704" width="11.5546875" style="21"/>
    <col min="8705" max="8705" width="13.109375" style="21" customWidth="1"/>
    <col min="8706" max="8706" width="9.44140625" style="21" customWidth="1"/>
    <col min="8707" max="8707" width="9.109375" style="21" customWidth="1"/>
    <col min="8708" max="8708" width="10.33203125" style="21" customWidth="1"/>
    <col min="8709" max="8709" width="11.5546875" style="21"/>
    <col min="8710" max="8710" width="10" style="21" customWidth="1"/>
    <col min="8711" max="8711" width="17.5546875" style="21" customWidth="1"/>
    <col min="8712" max="8712" width="5" style="21" customWidth="1"/>
    <col min="8713" max="8713" width="11.5546875" style="21"/>
    <col min="8714" max="8714" width="12.6640625" style="21" customWidth="1"/>
    <col min="8715" max="8716" width="11.5546875" style="21"/>
    <col min="8717" max="8717" width="2.109375" style="21" customWidth="1"/>
    <col min="8718" max="8960" width="11.5546875" style="21"/>
    <col min="8961" max="8961" width="13.109375" style="21" customWidth="1"/>
    <col min="8962" max="8962" width="9.44140625" style="21" customWidth="1"/>
    <col min="8963" max="8963" width="9.109375" style="21" customWidth="1"/>
    <col min="8964" max="8964" width="10.33203125" style="21" customWidth="1"/>
    <col min="8965" max="8965" width="11.5546875" style="21"/>
    <col min="8966" max="8966" width="10" style="21" customWidth="1"/>
    <col min="8967" max="8967" width="17.5546875" style="21" customWidth="1"/>
    <col min="8968" max="8968" width="5" style="21" customWidth="1"/>
    <col min="8969" max="8969" width="11.5546875" style="21"/>
    <col min="8970" max="8970" width="12.6640625" style="21" customWidth="1"/>
    <col min="8971" max="8972" width="11.5546875" style="21"/>
    <col min="8973" max="8973" width="2.109375" style="21" customWidth="1"/>
    <col min="8974" max="9216" width="11.5546875" style="21"/>
    <col min="9217" max="9217" width="13.109375" style="21" customWidth="1"/>
    <col min="9218" max="9218" width="9.44140625" style="21" customWidth="1"/>
    <col min="9219" max="9219" width="9.109375" style="21" customWidth="1"/>
    <col min="9220" max="9220" width="10.33203125" style="21" customWidth="1"/>
    <col min="9221" max="9221" width="11.5546875" style="21"/>
    <col min="9222" max="9222" width="10" style="21" customWidth="1"/>
    <col min="9223" max="9223" width="17.5546875" style="21" customWidth="1"/>
    <col min="9224" max="9224" width="5" style="21" customWidth="1"/>
    <col min="9225" max="9225" width="11.5546875" style="21"/>
    <col min="9226" max="9226" width="12.6640625" style="21" customWidth="1"/>
    <col min="9227" max="9228" width="11.5546875" style="21"/>
    <col min="9229" max="9229" width="2.109375" style="21" customWidth="1"/>
    <col min="9230" max="9472" width="11.5546875" style="21"/>
    <col min="9473" max="9473" width="13.109375" style="21" customWidth="1"/>
    <col min="9474" max="9474" width="9.44140625" style="21" customWidth="1"/>
    <col min="9475" max="9475" width="9.109375" style="21" customWidth="1"/>
    <col min="9476" max="9476" width="10.33203125" style="21" customWidth="1"/>
    <col min="9477" max="9477" width="11.5546875" style="21"/>
    <col min="9478" max="9478" width="10" style="21" customWidth="1"/>
    <col min="9479" max="9479" width="17.5546875" style="21" customWidth="1"/>
    <col min="9480" max="9480" width="5" style="21" customWidth="1"/>
    <col min="9481" max="9481" width="11.5546875" style="21"/>
    <col min="9482" max="9482" width="12.6640625" style="21" customWidth="1"/>
    <col min="9483" max="9484" width="11.5546875" style="21"/>
    <col min="9485" max="9485" width="2.109375" style="21" customWidth="1"/>
    <col min="9486" max="9728" width="11.5546875" style="21"/>
    <col min="9729" max="9729" width="13.109375" style="21" customWidth="1"/>
    <col min="9730" max="9730" width="9.44140625" style="21" customWidth="1"/>
    <col min="9731" max="9731" width="9.109375" style="21" customWidth="1"/>
    <col min="9732" max="9732" width="10.33203125" style="21" customWidth="1"/>
    <col min="9733" max="9733" width="11.5546875" style="21"/>
    <col min="9734" max="9734" width="10" style="21" customWidth="1"/>
    <col min="9735" max="9735" width="17.5546875" style="21" customWidth="1"/>
    <col min="9736" max="9736" width="5" style="21" customWidth="1"/>
    <col min="9737" max="9737" width="11.5546875" style="21"/>
    <col min="9738" max="9738" width="12.6640625" style="21" customWidth="1"/>
    <col min="9739" max="9740" width="11.5546875" style="21"/>
    <col min="9741" max="9741" width="2.109375" style="21" customWidth="1"/>
    <col min="9742" max="9984" width="11.5546875" style="21"/>
    <col min="9985" max="9985" width="13.109375" style="21" customWidth="1"/>
    <col min="9986" max="9986" width="9.44140625" style="21" customWidth="1"/>
    <col min="9987" max="9987" width="9.109375" style="21" customWidth="1"/>
    <col min="9988" max="9988" width="10.33203125" style="21" customWidth="1"/>
    <col min="9989" max="9989" width="11.5546875" style="21"/>
    <col min="9990" max="9990" width="10" style="21" customWidth="1"/>
    <col min="9991" max="9991" width="17.5546875" style="21" customWidth="1"/>
    <col min="9992" max="9992" width="5" style="21" customWidth="1"/>
    <col min="9993" max="9993" width="11.5546875" style="21"/>
    <col min="9994" max="9994" width="12.6640625" style="21" customWidth="1"/>
    <col min="9995" max="9996" width="11.5546875" style="21"/>
    <col min="9997" max="9997" width="2.109375" style="21" customWidth="1"/>
    <col min="9998" max="10240" width="11.5546875" style="21"/>
    <col min="10241" max="10241" width="13.109375" style="21" customWidth="1"/>
    <col min="10242" max="10242" width="9.44140625" style="21" customWidth="1"/>
    <col min="10243" max="10243" width="9.109375" style="21" customWidth="1"/>
    <col min="10244" max="10244" width="10.33203125" style="21" customWidth="1"/>
    <col min="10245" max="10245" width="11.5546875" style="21"/>
    <col min="10246" max="10246" width="10" style="21" customWidth="1"/>
    <col min="10247" max="10247" width="17.5546875" style="21" customWidth="1"/>
    <col min="10248" max="10248" width="5" style="21" customWidth="1"/>
    <col min="10249" max="10249" width="11.5546875" style="21"/>
    <col min="10250" max="10250" width="12.6640625" style="21" customWidth="1"/>
    <col min="10251" max="10252" width="11.5546875" style="21"/>
    <col min="10253" max="10253" width="2.109375" style="21" customWidth="1"/>
    <col min="10254" max="10496" width="11.5546875" style="21"/>
    <col min="10497" max="10497" width="13.109375" style="21" customWidth="1"/>
    <col min="10498" max="10498" width="9.44140625" style="21" customWidth="1"/>
    <col min="10499" max="10499" width="9.109375" style="21" customWidth="1"/>
    <col min="10500" max="10500" width="10.33203125" style="21" customWidth="1"/>
    <col min="10501" max="10501" width="11.5546875" style="21"/>
    <col min="10502" max="10502" width="10" style="21" customWidth="1"/>
    <col min="10503" max="10503" width="17.5546875" style="21" customWidth="1"/>
    <col min="10504" max="10504" width="5" style="21" customWidth="1"/>
    <col min="10505" max="10505" width="11.5546875" style="21"/>
    <col min="10506" max="10506" width="12.6640625" style="21" customWidth="1"/>
    <col min="10507" max="10508" width="11.5546875" style="21"/>
    <col min="10509" max="10509" width="2.109375" style="21" customWidth="1"/>
    <col min="10510" max="10752" width="11.5546875" style="21"/>
    <col min="10753" max="10753" width="13.109375" style="21" customWidth="1"/>
    <col min="10754" max="10754" width="9.44140625" style="21" customWidth="1"/>
    <col min="10755" max="10755" width="9.109375" style="21" customWidth="1"/>
    <col min="10756" max="10756" width="10.33203125" style="21" customWidth="1"/>
    <col min="10757" max="10757" width="11.5546875" style="21"/>
    <col min="10758" max="10758" width="10" style="21" customWidth="1"/>
    <col min="10759" max="10759" width="17.5546875" style="21" customWidth="1"/>
    <col min="10760" max="10760" width="5" style="21" customWidth="1"/>
    <col min="10761" max="10761" width="11.5546875" style="21"/>
    <col min="10762" max="10762" width="12.6640625" style="21" customWidth="1"/>
    <col min="10763" max="10764" width="11.5546875" style="21"/>
    <col min="10765" max="10765" width="2.109375" style="21" customWidth="1"/>
    <col min="10766" max="11008" width="11.5546875" style="21"/>
    <col min="11009" max="11009" width="13.109375" style="21" customWidth="1"/>
    <col min="11010" max="11010" width="9.44140625" style="21" customWidth="1"/>
    <col min="11011" max="11011" width="9.109375" style="21" customWidth="1"/>
    <col min="11012" max="11012" width="10.33203125" style="21" customWidth="1"/>
    <col min="11013" max="11013" width="11.5546875" style="21"/>
    <col min="11014" max="11014" width="10" style="21" customWidth="1"/>
    <col min="11015" max="11015" width="17.5546875" style="21" customWidth="1"/>
    <col min="11016" max="11016" width="5" style="21" customWidth="1"/>
    <col min="11017" max="11017" width="11.5546875" style="21"/>
    <col min="11018" max="11018" width="12.6640625" style="21" customWidth="1"/>
    <col min="11019" max="11020" width="11.5546875" style="21"/>
    <col min="11021" max="11021" width="2.109375" style="21" customWidth="1"/>
    <col min="11022" max="11264" width="11.5546875" style="21"/>
    <col min="11265" max="11265" width="13.109375" style="21" customWidth="1"/>
    <col min="11266" max="11266" width="9.44140625" style="21" customWidth="1"/>
    <col min="11267" max="11267" width="9.109375" style="21" customWidth="1"/>
    <col min="11268" max="11268" width="10.33203125" style="21" customWidth="1"/>
    <col min="11269" max="11269" width="11.5546875" style="21"/>
    <col min="11270" max="11270" width="10" style="21" customWidth="1"/>
    <col min="11271" max="11271" width="17.5546875" style="21" customWidth="1"/>
    <col min="11272" max="11272" width="5" style="21" customWidth="1"/>
    <col min="11273" max="11273" width="11.5546875" style="21"/>
    <col min="11274" max="11274" width="12.6640625" style="21" customWidth="1"/>
    <col min="11275" max="11276" width="11.5546875" style="21"/>
    <col min="11277" max="11277" width="2.109375" style="21" customWidth="1"/>
    <col min="11278" max="11520" width="11.5546875" style="21"/>
    <col min="11521" max="11521" width="13.109375" style="21" customWidth="1"/>
    <col min="11522" max="11522" width="9.44140625" style="21" customWidth="1"/>
    <col min="11523" max="11523" width="9.109375" style="21" customWidth="1"/>
    <col min="11524" max="11524" width="10.33203125" style="21" customWidth="1"/>
    <col min="11525" max="11525" width="11.5546875" style="21"/>
    <col min="11526" max="11526" width="10" style="21" customWidth="1"/>
    <col min="11527" max="11527" width="17.5546875" style="21" customWidth="1"/>
    <col min="11528" max="11528" width="5" style="21" customWidth="1"/>
    <col min="11529" max="11529" width="11.5546875" style="21"/>
    <col min="11530" max="11530" width="12.6640625" style="21" customWidth="1"/>
    <col min="11531" max="11532" width="11.5546875" style="21"/>
    <col min="11533" max="11533" width="2.109375" style="21" customWidth="1"/>
    <col min="11534" max="11776" width="11.5546875" style="21"/>
    <col min="11777" max="11777" width="13.109375" style="21" customWidth="1"/>
    <col min="11778" max="11778" width="9.44140625" style="21" customWidth="1"/>
    <col min="11779" max="11779" width="9.109375" style="21" customWidth="1"/>
    <col min="11780" max="11780" width="10.33203125" style="21" customWidth="1"/>
    <col min="11781" max="11781" width="11.5546875" style="21"/>
    <col min="11782" max="11782" width="10" style="21" customWidth="1"/>
    <col min="11783" max="11783" width="17.5546875" style="21" customWidth="1"/>
    <col min="11784" max="11784" width="5" style="21" customWidth="1"/>
    <col min="11785" max="11785" width="11.5546875" style="21"/>
    <col min="11786" max="11786" width="12.6640625" style="21" customWidth="1"/>
    <col min="11787" max="11788" width="11.5546875" style="21"/>
    <col min="11789" max="11789" width="2.109375" style="21" customWidth="1"/>
    <col min="11790" max="12032" width="11.5546875" style="21"/>
    <col min="12033" max="12033" width="13.109375" style="21" customWidth="1"/>
    <col min="12034" max="12034" width="9.44140625" style="21" customWidth="1"/>
    <col min="12035" max="12035" width="9.109375" style="21" customWidth="1"/>
    <col min="12036" max="12036" width="10.33203125" style="21" customWidth="1"/>
    <col min="12037" max="12037" width="11.5546875" style="21"/>
    <col min="12038" max="12038" width="10" style="21" customWidth="1"/>
    <col min="12039" max="12039" width="17.5546875" style="21" customWidth="1"/>
    <col min="12040" max="12040" width="5" style="21" customWidth="1"/>
    <col min="12041" max="12041" width="11.5546875" style="21"/>
    <col min="12042" max="12042" width="12.6640625" style="21" customWidth="1"/>
    <col min="12043" max="12044" width="11.5546875" style="21"/>
    <col min="12045" max="12045" width="2.109375" style="21" customWidth="1"/>
    <col min="12046" max="12288" width="11.5546875" style="21"/>
    <col min="12289" max="12289" width="13.109375" style="21" customWidth="1"/>
    <col min="12290" max="12290" width="9.44140625" style="21" customWidth="1"/>
    <col min="12291" max="12291" width="9.109375" style="21" customWidth="1"/>
    <col min="12292" max="12292" width="10.33203125" style="21" customWidth="1"/>
    <col min="12293" max="12293" width="11.5546875" style="21"/>
    <col min="12294" max="12294" width="10" style="21" customWidth="1"/>
    <col min="12295" max="12295" width="17.5546875" style="21" customWidth="1"/>
    <col min="12296" max="12296" width="5" style="21" customWidth="1"/>
    <col min="12297" max="12297" width="11.5546875" style="21"/>
    <col min="12298" max="12298" width="12.6640625" style="21" customWidth="1"/>
    <col min="12299" max="12300" width="11.5546875" style="21"/>
    <col min="12301" max="12301" width="2.109375" style="21" customWidth="1"/>
    <col min="12302" max="12544" width="11.5546875" style="21"/>
    <col min="12545" max="12545" width="13.109375" style="21" customWidth="1"/>
    <col min="12546" max="12546" width="9.44140625" style="21" customWidth="1"/>
    <col min="12547" max="12547" width="9.109375" style="21" customWidth="1"/>
    <col min="12548" max="12548" width="10.33203125" style="21" customWidth="1"/>
    <col min="12549" max="12549" width="11.5546875" style="21"/>
    <col min="12550" max="12550" width="10" style="21" customWidth="1"/>
    <col min="12551" max="12551" width="17.5546875" style="21" customWidth="1"/>
    <col min="12552" max="12552" width="5" style="21" customWidth="1"/>
    <col min="12553" max="12553" width="11.5546875" style="21"/>
    <col min="12554" max="12554" width="12.6640625" style="21" customWidth="1"/>
    <col min="12555" max="12556" width="11.5546875" style="21"/>
    <col min="12557" max="12557" width="2.109375" style="21" customWidth="1"/>
    <col min="12558" max="12800" width="11.5546875" style="21"/>
    <col min="12801" max="12801" width="13.109375" style="21" customWidth="1"/>
    <col min="12802" max="12802" width="9.44140625" style="21" customWidth="1"/>
    <col min="12803" max="12803" width="9.109375" style="21" customWidth="1"/>
    <col min="12804" max="12804" width="10.33203125" style="21" customWidth="1"/>
    <col min="12805" max="12805" width="11.5546875" style="21"/>
    <col min="12806" max="12806" width="10" style="21" customWidth="1"/>
    <col min="12807" max="12807" width="17.5546875" style="21" customWidth="1"/>
    <col min="12808" max="12808" width="5" style="21" customWidth="1"/>
    <col min="12809" max="12809" width="11.5546875" style="21"/>
    <col min="12810" max="12810" width="12.6640625" style="21" customWidth="1"/>
    <col min="12811" max="12812" width="11.5546875" style="21"/>
    <col min="12813" max="12813" width="2.109375" style="21" customWidth="1"/>
    <col min="12814" max="13056" width="11.5546875" style="21"/>
    <col min="13057" max="13057" width="13.109375" style="21" customWidth="1"/>
    <col min="13058" max="13058" width="9.44140625" style="21" customWidth="1"/>
    <col min="13059" max="13059" width="9.109375" style="21" customWidth="1"/>
    <col min="13060" max="13060" width="10.33203125" style="21" customWidth="1"/>
    <col min="13061" max="13061" width="11.5546875" style="21"/>
    <col min="13062" max="13062" width="10" style="21" customWidth="1"/>
    <col min="13063" max="13063" width="17.5546875" style="21" customWidth="1"/>
    <col min="13064" max="13064" width="5" style="21" customWidth="1"/>
    <col min="13065" max="13065" width="11.5546875" style="21"/>
    <col min="13066" max="13066" width="12.6640625" style="21" customWidth="1"/>
    <col min="13067" max="13068" width="11.5546875" style="21"/>
    <col min="13069" max="13069" width="2.109375" style="21" customWidth="1"/>
    <col min="13070" max="13312" width="11.5546875" style="21"/>
    <col min="13313" max="13313" width="13.109375" style="21" customWidth="1"/>
    <col min="13314" max="13314" width="9.44140625" style="21" customWidth="1"/>
    <col min="13315" max="13315" width="9.109375" style="21" customWidth="1"/>
    <col min="13316" max="13316" width="10.33203125" style="21" customWidth="1"/>
    <col min="13317" max="13317" width="11.5546875" style="21"/>
    <col min="13318" max="13318" width="10" style="21" customWidth="1"/>
    <col min="13319" max="13319" width="17.5546875" style="21" customWidth="1"/>
    <col min="13320" max="13320" width="5" style="21" customWidth="1"/>
    <col min="13321" max="13321" width="11.5546875" style="21"/>
    <col min="13322" max="13322" width="12.6640625" style="21" customWidth="1"/>
    <col min="13323" max="13324" width="11.5546875" style="21"/>
    <col min="13325" max="13325" width="2.109375" style="21" customWidth="1"/>
    <col min="13326" max="13568" width="11.5546875" style="21"/>
    <col min="13569" max="13569" width="13.109375" style="21" customWidth="1"/>
    <col min="13570" max="13570" width="9.44140625" style="21" customWidth="1"/>
    <col min="13571" max="13571" width="9.109375" style="21" customWidth="1"/>
    <col min="13572" max="13572" width="10.33203125" style="21" customWidth="1"/>
    <col min="13573" max="13573" width="11.5546875" style="21"/>
    <col min="13574" max="13574" width="10" style="21" customWidth="1"/>
    <col min="13575" max="13575" width="17.5546875" style="21" customWidth="1"/>
    <col min="13576" max="13576" width="5" style="21" customWidth="1"/>
    <col min="13577" max="13577" width="11.5546875" style="21"/>
    <col min="13578" max="13578" width="12.6640625" style="21" customWidth="1"/>
    <col min="13579" max="13580" width="11.5546875" style="21"/>
    <col min="13581" max="13581" width="2.109375" style="21" customWidth="1"/>
    <col min="13582" max="13824" width="11.5546875" style="21"/>
    <col min="13825" max="13825" width="13.109375" style="21" customWidth="1"/>
    <col min="13826" max="13826" width="9.44140625" style="21" customWidth="1"/>
    <col min="13827" max="13827" width="9.109375" style="21" customWidth="1"/>
    <col min="13828" max="13828" width="10.33203125" style="21" customWidth="1"/>
    <col min="13829" max="13829" width="11.5546875" style="21"/>
    <col min="13830" max="13830" width="10" style="21" customWidth="1"/>
    <col min="13831" max="13831" width="17.5546875" style="21" customWidth="1"/>
    <col min="13832" max="13832" width="5" style="21" customWidth="1"/>
    <col min="13833" max="13833" width="11.5546875" style="21"/>
    <col min="13834" max="13834" width="12.6640625" style="21" customWidth="1"/>
    <col min="13835" max="13836" width="11.5546875" style="21"/>
    <col min="13837" max="13837" width="2.109375" style="21" customWidth="1"/>
    <col min="13838" max="14080" width="11.5546875" style="21"/>
    <col min="14081" max="14081" width="13.109375" style="21" customWidth="1"/>
    <col min="14082" max="14082" width="9.44140625" style="21" customWidth="1"/>
    <col min="14083" max="14083" width="9.109375" style="21" customWidth="1"/>
    <col min="14084" max="14084" width="10.33203125" style="21" customWidth="1"/>
    <col min="14085" max="14085" width="11.5546875" style="21"/>
    <col min="14086" max="14086" width="10" style="21" customWidth="1"/>
    <col min="14087" max="14087" width="17.5546875" style="21" customWidth="1"/>
    <col min="14088" max="14088" width="5" style="21" customWidth="1"/>
    <col min="14089" max="14089" width="11.5546875" style="21"/>
    <col min="14090" max="14090" width="12.6640625" style="21" customWidth="1"/>
    <col min="14091" max="14092" width="11.5546875" style="21"/>
    <col min="14093" max="14093" width="2.109375" style="21" customWidth="1"/>
    <col min="14094" max="14336" width="11.5546875" style="21"/>
    <col min="14337" max="14337" width="13.109375" style="21" customWidth="1"/>
    <col min="14338" max="14338" width="9.44140625" style="21" customWidth="1"/>
    <col min="14339" max="14339" width="9.109375" style="21" customWidth="1"/>
    <col min="14340" max="14340" width="10.33203125" style="21" customWidth="1"/>
    <col min="14341" max="14341" width="11.5546875" style="21"/>
    <col min="14342" max="14342" width="10" style="21" customWidth="1"/>
    <col min="14343" max="14343" width="17.5546875" style="21" customWidth="1"/>
    <col min="14344" max="14344" width="5" style="21" customWidth="1"/>
    <col min="14345" max="14345" width="11.5546875" style="21"/>
    <col min="14346" max="14346" width="12.6640625" style="21" customWidth="1"/>
    <col min="14347" max="14348" width="11.5546875" style="21"/>
    <col min="14349" max="14349" width="2.109375" style="21" customWidth="1"/>
    <col min="14350" max="14592" width="11.5546875" style="21"/>
    <col min="14593" max="14593" width="13.109375" style="21" customWidth="1"/>
    <col min="14594" max="14594" width="9.44140625" style="21" customWidth="1"/>
    <col min="14595" max="14595" width="9.109375" style="21" customWidth="1"/>
    <col min="14596" max="14596" width="10.33203125" style="21" customWidth="1"/>
    <col min="14597" max="14597" width="11.5546875" style="21"/>
    <col min="14598" max="14598" width="10" style="21" customWidth="1"/>
    <col min="14599" max="14599" width="17.5546875" style="21" customWidth="1"/>
    <col min="14600" max="14600" width="5" style="21" customWidth="1"/>
    <col min="14601" max="14601" width="11.5546875" style="21"/>
    <col min="14602" max="14602" width="12.6640625" style="21" customWidth="1"/>
    <col min="14603" max="14604" width="11.5546875" style="21"/>
    <col min="14605" max="14605" width="2.109375" style="21" customWidth="1"/>
    <col min="14606" max="14848" width="11.5546875" style="21"/>
    <col min="14849" max="14849" width="13.109375" style="21" customWidth="1"/>
    <col min="14850" max="14850" width="9.44140625" style="21" customWidth="1"/>
    <col min="14851" max="14851" width="9.109375" style="21" customWidth="1"/>
    <col min="14852" max="14852" width="10.33203125" style="21" customWidth="1"/>
    <col min="14853" max="14853" width="11.5546875" style="21"/>
    <col min="14854" max="14854" width="10" style="21" customWidth="1"/>
    <col min="14855" max="14855" width="17.5546875" style="21" customWidth="1"/>
    <col min="14856" max="14856" width="5" style="21" customWidth="1"/>
    <col min="14857" max="14857" width="11.5546875" style="21"/>
    <col min="14858" max="14858" width="12.6640625" style="21" customWidth="1"/>
    <col min="14859" max="14860" width="11.5546875" style="21"/>
    <col min="14861" max="14861" width="2.109375" style="21" customWidth="1"/>
    <col min="14862" max="15104" width="11.5546875" style="21"/>
    <col min="15105" max="15105" width="13.109375" style="21" customWidth="1"/>
    <col min="15106" max="15106" width="9.44140625" style="21" customWidth="1"/>
    <col min="15107" max="15107" width="9.109375" style="21" customWidth="1"/>
    <col min="15108" max="15108" width="10.33203125" style="21" customWidth="1"/>
    <col min="15109" max="15109" width="11.5546875" style="21"/>
    <col min="15110" max="15110" width="10" style="21" customWidth="1"/>
    <col min="15111" max="15111" width="17.5546875" style="21" customWidth="1"/>
    <col min="15112" max="15112" width="5" style="21" customWidth="1"/>
    <col min="15113" max="15113" width="11.5546875" style="21"/>
    <col min="15114" max="15114" width="12.6640625" style="21" customWidth="1"/>
    <col min="15115" max="15116" width="11.5546875" style="21"/>
    <col min="15117" max="15117" width="2.109375" style="21" customWidth="1"/>
    <col min="15118" max="15360" width="11.5546875" style="21"/>
    <col min="15361" max="15361" width="13.109375" style="21" customWidth="1"/>
    <col min="15362" max="15362" width="9.44140625" style="21" customWidth="1"/>
    <col min="15363" max="15363" width="9.109375" style="21" customWidth="1"/>
    <col min="15364" max="15364" width="10.33203125" style="21" customWidth="1"/>
    <col min="15365" max="15365" width="11.5546875" style="21"/>
    <col min="15366" max="15366" width="10" style="21" customWidth="1"/>
    <col min="15367" max="15367" width="17.5546875" style="21" customWidth="1"/>
    <col min="15368" max="15368" width="5" style="21" customWidth="1"/>
    <col min="15369" max="15369" width="11.5546875" style="21"/>
    <col min="15370" max="15370" width="12.6640625" style="21" customWidth="1"/>
    <col min="15371" max="15372" width="11.5546875" style="21"/>
    <col min="15373" max="15373" width="2.109375" style="21" customWidth="1"/>
    <col min="15374" max="15616" width="11.5546875" style="21"/>
    <col min="15617" max="15617" width="13.109375" style="21" customWidth="1"/>
    <col min="15618" max="15618" width="9.44140625" style="21" customWidth="1"/>
    <col min="15619" max="15619" width="9.109375" style="21" customWidth="1"/>
    <col min="15620" max="15620" width="10.33203125" style="21" customWidth="1"/>
    <col min="15621" max="15621" width="11.5546875" style="21"/>
    <col min="15622" max="15622" width="10" style="21" customWidth="1"/>
    <col min="15623" max="15623" width="17.5546875" style="21" customWidth="1"/>
    <col min="15624" max="15624" width="5" style="21" customWidth="1"/>
    <col min="15625" max="15625" width="11.5546875" style="21"/>
    <col min="15626" max="15626" width="12.6640625" style="21" customWidth="1"/>
    <col min="15627" max="15628" width="11.5546875" style="21"/>
    <col min="15629" max="15629" width="2.109375" style="21" customWidth="1"/>
    <col min="15630" max="15872" width="11.5546875" style="21"/>
    <col min="15873" max="15873" width="13.109375" style="21" customWidth="1"/>
    <col min="15874" max="15874" width="9.44140625" style="21" customWidth="1"/>
    <col min="15875" max="15875" width="9.109375" style="21" customWidth="1"/>
    <col min="15876" max="15876" width="10.33203125" style="21" customWidth="1"/>
    <col min="15877" max="15877" width="11.5546875" style="21"/>
    <col min="15878" max="15878" width="10" style="21" customWidth="1"/>
    <col min="15879" max="15879" width="17.5546875" style="21" customWidth="1"/>
    <col min="15880" max="15880" width="5" style="21" customWidth="1"/>
    <col min="15881" max="15881" width="11.5546875" style="21"/>
    <col min="15882" max="15882" width="12.6640625" style="21" customWidth="1"/>
    <col min="15883" max="15884" width="11.5546875" style="21"/>
    <col min="15885" max="15885" width="2.109375" style="21" customWidth="1"/>
    <col min="15886" max="16128" width="11.5546875" style="21"/>
    <col min="16129" max="16129" width="13.109375" style="21" customWidth="1"/>
    <col min="16130" max="16130" width="9.44140625" style="21" customWidth="1"/>
    <col min="16131" max="16131" width="9.109375" style="21" customWidth="1"/>
    <col min="16132" max="16132" width="10.33203125" style="21" customWidth="1"/>
    <col min="16133" max="16133" width="11.5546875" style="21"/>
    <col min="16134" max="16134" width="10" style="21" customWidth="1"/>
    <col min="16135" max="16135" width="17.5546875" style="21" customWidth="1"/>
    <col min="16136" max="16136" width="5" style="21" customWidth="1"/>
    <col min="16137" max="16137" width="11.5546875" style="21"/>
    <col min="16138" max="16138" width="12.6640625" style="21" customWidth="1"/>
    <col min="16139" max="16140" width="11.5546875" style="21"/>
    <col min="16141" max="16141" width="2.109375" style="21" customWidth="1"/>
    <col min="16142" max="16384" width="11.5546875" style="21"/>
  </cols>
  <sheetData>
    <row r="1" spans="1:17" ht="13.1">
      <c r="A1" s="29" t="s">
        <v>59</v>
      </c>
    </row>
    <row r="2" spans="1:17" ht="13.1">
      <c r="A2" s="29" t="s">
        <v>60</v>
      </c>
    </row>
    <row r="3" spans="1:17" ht="13.1">
      <c r="A3" s="29" t="s">
        <v>61</v>
      </c>
    </row>
    <row r="4" spans="1:17" ht="13.1">
      <c r="A4" s="22"/>
    </row>
    <row r="5" spans="1:17" ht="13.1">
      <c r="A5" s="30" t="s">
        <v>87</v>
      </c>
    </row>
    <row r="6" spans="1:17" ht="13.1">
      <c r="A6" s="30"/>
    </row>
    <row r="7" spans="1:17">
      <c r="A7" s="24" t="s">
        <v>62</v>
      </c>
      <c r="B7" s="31"/>
      <c r="C7" s="227" t="s">
        <v>334</v>
      </c>
      <c r="D7" s="228"/>
      <c r="E7" s="229"/>
      <c r="F7" s="26"/>
      <c r="G7" s="24" t="s">
        <v>63</v>
      </c>
      <c r="H7" s="227" t="s">
        <v>333</v>
      </c>
      <c r="I7" s="228"/>
      <c r="J7" s="229"/>
    </row>
    <row r="8" spans="1:17">
      <c r="A8" s="24" t="s">
        <v>64</v>
      </c>
      <c r="B8" s="31"/>
      <c r="C8" s="230" t="s">
        <v>148</v>
      </c>
      <c r="D8" s="231"/>
      <c r="E8" s="232"/>
      <c r="F8" s="26"/>
      <c r="G8" s="24" t="s">
        <v>2</v>
      </c>
      <c r="H8" s="227" t="s">
        <v>332</v>
      </c>
      <c r="I8" s="228"/>
      <c r="J8" s="229"/>
    </row>
    <row r="9" spans="1:17">
      <c r="A9" s="24"/>
      <c r="B9" s="31"/>
      <c r="C9" s="108">
        <v>9</v>
      </c>
      <c r="D9" s="108">
        <v>1</v>
      </c>
      <c r="E9" s="109">
        <v>2025</v>
      </c>
      <c r="F9" s="26"/>
      <c r="G9" s="24" t="s">
        <v>88</v>
      </c>
      <c r="H9" s="108"/>
      <c r="I9" s="108"/>
      <c r="J9" s="109"/>
    </row>
    <row r="10" spans="1:17">
      <c r="A10" s="32"/>
      <c r="C10" s="34" t="s">
        <v>169</v>
      </c>
      <c r="D10" s="34" t="s">
        <v>116</v>
      </c>
      <c r="E10" s="34" t="s">
        <v>117</v>
      </c>
      <c r="F10" s="26"/>
      <c r="G10" s="32"/>
      <c r="H10" s="34" t="s">
        <v>169</v>
      </c>
      <c r="I10" s="34" t="s">
        <v>116</v>
      </c>
      <c r="J10" s="34" t="s">
        <v>117</v>
      </c>
    </row>
    <row r="11" spans="1:17" ht="13.1">
      <c r="A11" s="233" t="s">
        <v>89</v>
      </c>
      <c r="B11" s="233"/>
      <c r="C11" s="99"/>
      <c r="D11" s="99"/>
      <c r="E11" s="99"/>
      <c r="F11" s="99"/>
      <c r="G11" s="99"/>
      <c r="H11" s="99"/>
      <c r="I11" s="26"/>
    </row>
    <row r="12" spans="1:17" ht="13.1">
      <c r="A12" s="45" t="s">
        <v>93</v>
      </c>
      <c r="B12" s="45">
        <v>2</v>
      </c>
    </row>
    <row r="13" spans="1:17">
      <c r="A13" s="33" t="s">
        <v>322</v>
      </c>
      <c r="B13" s="33" t="s">
        <v>323</v>
      </c>
      <c r="C13" s="34"/>
      <c r="D13" s="220" t="s">
        <v>43</v>
      </c>
      <c r="E13" s="221"/>
      <c r="F13" s="221"/>
      <c r="G13" s="222"/>
      <c r="I13" s="223" t="s">
        <v>80</v>
      </c>
      <c r="J13" s="223"/>
      <c r="K13" s="223"/>
      <c r="L13" s="223"/>
      <c r="N13" s="224" t="s">
        <v>90</v>
      </c>
      <c r="O13" s="224"/>
      <c r="P13" s="224"/>
      <c r="Q13" s="224"/>
    </row>
    <row r="14" spans="1:17">
      <c r="A14" s="35">
        <v>45666</v>
      </c>
      <c r="B14" s="36">
        <v>2</v>
      </c>
      <c r="C14" s="86"/>
      <c r="D14" s="37" t="s">
        <v>91</v>
      </c>
      <c r="E14" s="37" t="s">
        <v>83</v>
      </c>
      <c r="F14" s="37" t="s">
        <v>84</v>
      </c>
      <c r="G14" s="37" t="s">
        <v>50</v>
      </c>
      <c r="H14" s="87"/>
      <c r="I14" s="225" t="s">
        <v>80</v>
      </c>
      <c r="J14" s="225"/>
      <c r="K14" s="37" t="s">
        <v>50</v>
      </c>
      <c r="L14" s="37" t="s">
        <v>42</v>
      </c>
      <c r="N14" s="226" t="s">
        <v>92</v>
      </c>
      <c r="O14" s="226"/>
      <c r="P14" s="33" t="s">
        <v>50</v>
      </c>
      <c r="Q14" s="33" t="s">
        <v>42</v>
      </c>
    </row>
    <row r="15" spans="1:17" ht="13.1" customHeight="1">
      <c r="A15" s="35"/>
      <c r="B15" s="36"/>
      <c r="C15" s="86"/>
      <c r="D15" s="38" t="s">
        <v>21</v>
      </c>
      <c r="E15" s="39">
        <v>0</v>
      </c>
      <c r="F15" s="39">
        <v>0</v>
      </c>
      <c r="G15" s="39">
        <v>0</v>
      </c>
      <c r="H15" s="87"/>
      <c r="I15" s="213" t="s">
        <v>352</v>
      </c>
      <c r="J15" s="214"/>
      <c r="K15" s="39">
        <v>2</v>
      </c>
      <c r="L15" s="80">
        <v>100</v>
      </c>
      <c r="N15" s="219" t="s">
        <v>148</v>
      </c>
      <c r="O15" s="219"/>
      <c r="P15" s="39">
        <v>2</v>
      </c>
      <c r="Q15" s="80">
        <v>100</v>
      </c>
    </row>
    <row r="16" spans="1:17">
      <c r="A16" s="35"/>
      <c r="B16" s="36"/>
      <c r="C16" s="86"/>
      <c r="D16" s="40" t="s">
        <v>22</v>
      </c>
      <c r="E16" s="39">
        <v>0</v>
      </c>
      <c r="F16" s="39">
        <v>0</v>
      </c>
      <c r="G16" s="39">
        <v>0</v>
      </c>
      <c r="H16" s="87"/>
      <c r="I16" s="213" t="s">
        <v>328</v>
      </c>
      <c r="J16" s="214"/>
      <c r="K16" s="39">
        <v>2</v>
      </c>
      <c r="L16" s="80">
        <v>100</v>
      </c>
      <c r="N16" s="219" t="s">
        <v>111</v>
      </c>
      <c r="O16" s="219"/>
      <c r="P16" s="39">
        <v>0</v>
      </c>
      <c r="Q16" s="80">
        <v>0</v>
      </c>
    </row>
    <row r="17" spans="1:17" ht="13.1" customHeight="1">
      <c r="A17" s="35"/>
      <c r="B17" s="36"/>
      <c r="C17" s="86"/>
      <c r="D17" s="41" t="s">
        <v>23</v>
      </c>
      <c r="E17" s="39">
        <v>0</v>
      </c>
      <c r="F17" s="39">
        <v>1</v>
      </c>
      <c r="G17" s="39">
        <v>0</v>
      </c>
      <c r="H17" s="87"/>
      <c r="I17" s="213" t="s">
        <v>329</v>
      </c>
      <c r="J17" s="214"/>
      <c r="K17" s="39">
        <v>2</v>
      </c>
      <c r="L17" s="80">
        <v>100</v>
      </c>
      <c r="N17" s="219" t="s">
        <v>150</v>
      </c>
      <c r="O17" s="219"/>
      <c r="P17" s="39">
        <v>0</v>
      </c>
      <c r="Q17" s="80">
        <v>0</v>
      </c>
    </row>
    <row r="18" spans="1:17" ht="13.1" customHeight="1">
      <c r="A18" s="35"/>
      <c r="B18" s="36"/>
      <c r="C18" s="86"/>
      <c r="D18" s="38" t="s">
        <v>24</v>
      </c>
      <c r="E18" s="39">
        <v>0</v>
      </c>
      <c r="F18" s="39">
        <v>0</v>
      </c>
      <c r="G18" s="39">
        <v>0</v>
      </c>
      <c r="H18" s="87"/>
      <c r="I18" s="213"/>
      <c r="J18" s="214"/>
      <c r="K18" s="39"/>
      <c r="L18" s="80"/>
      <c r="N18" s="219" t="s">
        <v>151</v>
      </c>
      <c r="O18" s="219"/>
      <c r="P18" s="39">
        <v>0</v>
      </c>
      <c r="Q18" s="80">
        <v>0</v>
      </c>
    </row>
    <row r="19" spans="1:17" ht="13.1" customHeight="1">
      <c r="A19" s="35"/>
      <c r="B19" s="36"/>
      <c r="C19" s="86"/>
      <c r="D19" s="38" t="s">
        <v>25</v>
      </c>
      <c r="E19" s="39">
        <v>0</v>
      </c>
      <c r="F19" s="39">
        <v>1</v>
      </c>
      <c r="G19" s="39">
        <v>0</v>
      </c>
      <c r="I19" s="213"/>
      <c r="J19" s="214"/>
      <c r="K19" s="39"/>
      <c r="L19" s="80"/>
      <c r="N19" s="219" t="s">
        <v>152</v>
      </c>
      <c r="O19" s="219"/>
      <c r="P19" s="39">
        <v>0</v>
      </c>
      <c r="Q19" s="80">
        <v>0</v>
      </c>
    </row>
    <row r="20" spans="1:17" ht="13.1" customHeight="1">
      <c r="A20" s="35"/>
      <c r="B20" s="36"/>
      <c r="C20" s="86"/>
      <c r="D20" s="38" t="s">
        <v>26</v>
      </c>
      <c r="E20" s="39">
        <v>0</v>
      </c>
      <c r="F20" s="39">
        <v>0</v>
      </c>
      <c r="G20" s="39">
        <v>0</v>
      </c>
      <c r="I20" s="213"/>
      <c r="J20" s="214"/>
      <c r="K20" s="39"/>
      <c r="L20" s="80"/>
      <c r="N20" s="219" t="s">
        <v>113</v>
      </c>
      <c r="O20" s="219"/>
      <c r="P20" s="39">
        <v>0</v>
      </c>
      <c r="Q20" s="80">
        <v>0</v>
      </c>
    </row>
    <row r="21" spans="1:17" ht="13.1" customHeight="1">
      <c r="A21" s="35"/>
      <c r="B21" s="36"/>
      <c r="C21" s="86"/>
      <c r="D21" s="38" t="s">
        <v>27</v>
      </c>
      <c r="E21" s="39">
        <v>0</v>
      </c>
      <c r="F21" s="39">
        <v>0</v>
      </c>
      <c r="G21" s="39">
        <v>0</v>
      </c>
      <c r="I21" s="213"/>
      <c r="J21" s="214"/>
      <c r="K21" s="39"/>
      <c r="L21" s="80"/>
      <c r="N21" s="218" t="s">
        <v>50</v>
      </c>
      <c r="O21" s="218"/>
      <c r="P21" s="42">
        <v>2</v>
      </c>
      <c r="Q21" s="81">
        <v>100</v>
      </c>
    </row>
    <row r="22" spans="1:17" ht="13.1" customHeight="1">
      <c r="A22" s="35"/>
      <c r="B22" s="36"/>
      <c r="C22" s="86"/>
      <c r="D22" s="38" t="s">
        <v>28</v>
      </c>
      <c r="E22" s="39">
        <v>0</v>
      </c>
      <c r="F22" s="39">
        <v>0</v>
      </c>
      <c r="G22" s="39">
        <v>0</v>
      </c>
      <c r="I22" s="213"/>
      <c r="J22" s="214"/>
      <c r="K22" s="39"/>
      <c r="L22" s="80"/>
      <c r="N22" s="215"/>
      <c r="O22" s="215"/>
      <c r="P22" s="26"/>
      <c r="Q22" s="43"/>
    </row>
    <row r="23" spans="1:17" ht="13.1" customHeight="1">
      <c r="A23" s="35"/>
      <c r="B23" s="36"/>
      <c r="C23" s="86"/>
      <c r="D23" s="44" t="s">
        <v>29</v>
      </c>
      <c r="E23" s="42">
        <v>0</v>
      </c>
      <c r="F23" s="42">
        <v>2</v>
      </c>
      <c r="G23" s="42">
        <v>2</v>
      </c>
      <c r="I23" s="213"/>
      <c r="J23" s="214"/>
      <c r="K23" s="39"/>
      <c r="L23" s="80"/>
      <c r="N23" s="215"/>
      <c r="O23" s="215"/>
      <c r="P23" s="26"/>
      <c r="Q23" s="43"/>
    </row>
    <row r="24" spans="1:17" ht="13.1" customHeight="1">
      <c r="A24" s="35"/>
      <c r="B24" s="36"/>
      <c r="C24" s="86"/>
      <c r="I24" s="216"/>
      <c r="J24" s="217"/>
      <c r="K24" s="39"/>
      <c r="L24" s="80"/>
    </row>
    <row r="25" spans="1:17" ht="13.1" customHeight="1">
      <c r="A25" s="35"/>
      <c r="B25" s="36"/>
      <c r="C25" s="86"/>
      <c r="I25" s="216"/>
      <c r="J25" s="217"/>
      <c r="K25" s="39"/>
      <c r="L25" s="80"/>
    </row>
    <row r="26" spans="1:17" ht="13.1" customHeight="1">
      <c r="A26" s="35"/>
      <c r="B26" s="36"/>
      <c r="C26" s="86"/>
      <c r="I26" s="216"/>
      <c r="J26" s="217"/>
      <c r="K26" s="39"/>
      <c r="L26" s="80"/>
    </row>
    <row r="27" spans="1:17" ht="13.1" customHeight="1">
      <c r="A27" s="35"/>
      <c r="B27" s="36"/>
      <c r="I27" s="216"/>
      <c r="J27" s="217"/>
      <c r="K27" s="39"/>
      <c r="L27" s="80"/>
    </row>
    <row r="28" spans="1:17" ht="13.1" customHeight="1">
      <c r="A28" s="35"/>
      <c r="B28" s="36"/>
      <c r="I28" s="216"/>
      <c r="J28" s="217"/>
      <c r="K28" s="39"/>
      <c r="L28" s="80"/>
    </row>
    <row r="29" spans="1:17" ht="13.1">
      <c r="A29" s="35"/>
      <c r="B29" s="36"/>
      <c r="I29" s="211" t="s">
        <v>50</v>
      </c>
      <c r="J29" s="212"/>
      <c r="K29" s="42">
        <v>2</v>
      </c>
      <c r="L29" s="82">
        <v>100</v>
      </c>
    </row>
    <row r="30" spans="1:17">
      <c r="A30" s="35"/>
      <c r="B30" s="36"/>
    </row>
    <row r="31" spans="1:17">
      <c r="A31" s="35"/>
      <c r="B31" s="36"/>
    </row>
    <row r="32" spans="1:17">
      <c r="A32" s="35"/>
      <c r="B32" s="36"/>
    </row>
    <row r="33" spans="1:2">
      <c r="A33" s="35"/>
      <c r="B33" s="36"/>
    </row>
    <row r="34" spans="1:2">
      <c r="A34" s="35"/>
      <c r="B34" s="36"/>
    </row>
    <row r="35" spans="1:2">
      <c r="A35" s="35"/>
      <c r="B35" s="36"/>
    </row>
    <row r="36" spans="1:2">
      <c r="A36" s="35"/>
      <c r="B36" s="36"/>
    </row>
    <row r="37" spans="1:2">
      <c r="A37" s="35"/>
      <c r="B37" s="36"/>
    </row>
    <row r="38" spans="1:2">
      <c r="A38" s="35"/>
      <c r="B38" s="36"/>
    </row>
    <row r="39" spans="1:2">
      <c r="A39" s="35"/>
      <c r="B39" s="36"/>
    </row>
    <row r="40" spans="1:2">
      <c r="A40" s="35"/>
      <c r="B40" s="36"/>
    </row>
    <row r="41" spans="1:2">
      <c r="A41" s="35"/>
      <c r="B41" s="36"/>
    </row>
    <row r="42" spans="1:2">
      <c r="A42" s="35"/>
      <c r="B42" s="36"/>
    </row>
    <row r="43" spans="1:2">
      <c r="A43" s="35"/>
      <c r="B43" s="36"/>
    </row>
    <row r="44" spans="1:2">
      <c r="A44" s="35"/>
      <c r="B44" s="36"/>
    </row>
    <row r="45" spans="1:2">
      <c r="A45" s="35"/>
      <c r="B45" s="36"/>
    </row>
    <row r="46" spans="1:2">
      <c r="A46" s="35"/>
      <c r="B46" s="36"/>
    </row>
    <row r="47" spans="1:2">
      <c r="A47" s="35"/>
      <c r="B47" s="36"/>
    </row>
    <row r="48" spans="1:2">
      <c r="A48" s="35"/>
      <c r="B48" s="36"/>
    </row>
    <row r="49" spans="1:2">
      <c r="A49" s="35"/>
      <c r="B49" s="36"/>
    </row>
    <row r="50" spans="1:2">
      <c r="A50" s="35"/>
      <c r="B50" s="36"/>
    </row>
    <row r="51" spans="1:2">
      <c r="A51" s="35"/>
      <c r="B51" s="36"/>
    </row>
    <row r="52" spans="1:2">
      <c r="A52" s="35"/>
      <c r="B52" s="36"/>
    </row>
    <row r="53" spans="1:2">
      <c r="A53" s="35"/>
      <c r="B53" s="36"/>
    </row>
    <row r="54" spans="1:2">
      <c r="A54" s="35"/>
      <c r="B54" s="36"/>
    </row>
    <row r="55" spans="1:2">
      <c r="A55" s="35"/>
      <c r="B55" s="36"/>
    </row>
    <row r="56" spans="1:2">
      <c r="A56" s="35"/>
      <c r="B56" s="36"/>
    </row>
    <row r="57" spans="1:2">
      <c r="A57" s="35"/>
      <c r="B57" s="36"/>
    </row>
    <row r="58" spans="1:2">
      <c r="A58" s="35"/>
      <c r="B58" s="36"/>
    </row>
    <row r="59" spans="1:2">
      <c r="A59" s="35"/>
      <c r="B59" s="36"/>
    </row>
    <row r="60" spans="1:2">
      <c r="A60" s="35"/>
      <c r="B60" s="36"/>
    </row>
    <row r="61" spans="1:2">
      <c r="A61" s="35"/>
      <c r="B61" s="36"/>
    </row>
    <row r="62" spans="1:2">
      <c r="A62" s="35"/>
      <c r="B62" s="36"/>
    </row>
    <row r="63" spans="1:2">
      <c r="A63" s="35"/>
      <c r="B63" s="36"/>
    </row>
    <row r="64" spans="1:2">
      <c r="A64" s="35"/>
      <c r="B64" s="36"/>
    </row>
    <row r="65" spans="1:2">
      <c r="A65" s="35"/>
      <c r="B65" s="36"/>
    </row>
    <row r="66" spans="1:2">
      <c r="A66" s="35"/>
      <c r="B66" s="36"/>
    </row>
    <row r="67" spans="1:2">
      <c r="A67" s="35"/>
      <c r="B67" s="36"/>
    </row>
    <row r="68" spans="1:2">
      <c r="A68" s="35"/>
      <c r="B68" s="36"/>
    </row>
    <row r="69" spans="1:2">
      <c r="A69" s="35"/>
      <c r="B69" s="36"/>
    </row>
    <row r="70" spans="1:2">
      <c r="A70" s="35"/>
      <c r="B70" s="36"/>
    </row>
    <row r="71" spans="1:2" ht="16.55" customHeight="1">
      <c r="A71" s="35"/>
      <c r="B71" s="36"/>
    </row>
    <row r="72" spans="1:2" ht="16.55" customHeight="1">
      <c r="A72" s="35"/>
      <c r="B72" s="36"/>
    </row>
    <row r="73" spans="1:2">
      <c r="A73" s="35"/>
      <c r="B73" s="36"/>
    </row>
    <row r="74" spans="1:2">
      <c r="A74" s="35"/>
      <c r="B74" s="36"/>
    </row>
    <row r="75" spans="1:2">
      <c r="A75" s="35"/>
      <c r="B75" s="36"/>
    </row>
    <row r="76" spans="1:2">
      <c r="A76" s="35"/>
      <c r="B76" s="36"/>
    </row>
    <row r="77" spans="1:2">
      <c r="A77" s="35"/>
      <c r="B77" s="36"/>
    </row>
    <row r="78" spans="1:2">
      <c r="A78" s="35"/>
      <c r="B78" s="36"/>
    </row>
    <row r="79" spans="1:2" ht="16.55" customHeight="1">
      <c r="A79" s="35"/>
      <c r="B79" s="36"/>
    </row>
    <row r="80" spans="1:2">
      <c r="A80" s="35"/>
      <c r="B80" s="36"/>
    </row>
    <row r="81" spans="1:2">
      <c r="A81" s="35"/>
      <c r="B81" s="36"/>
    </row>
    <row r="82" spans="1:2">
      <c r="A82" s="35"/>
      <c r="B82" s="36"/>
    </row>
    <row r="83" spans="1:2">
      <c r="A83" s="35"/>
      <c r="B83" s="36"/>
    </row>
    <row r="84" spans="1:2">
      <c r="A84" s="35"/>
      <c r="B84" s="36"/>
    </row>
    <row r="85" spans="1:2">
      <c r="A85" s="35"/>
      <c r="B85" s="36"/>
    </row>
    <row r="86" spans="1:2">
      <c r="A86" s="35"/>
      <c r="B86" s="36"/>
    </row>
    <row r="87" spans="1:2">
      <c r="A87" s="35"/>
      <c r="B87" s="36"/>
    </row>
    <row r="88" spans="1:2">
      <c r="A88" s="35"/>
      <c r="B88" s="36"/>
    </row>
    <row r="89" spans="1:2">
      <c r="A89" s="35"/>
      <c r="B89" s="36"/>
    </row>
    <row r="90" spans="1:2">
      <c r="A90" s="35"/>
      <c r="B90" s="36"/>
    </row>
    <row r="91" spans="1:2">
      <c r="A91" s="35"/>
      <c r="B91" s="36"/>
    </row>
    <row r="92" spans="1:2">
      <c r="A92" s="35"/>
      <c r="B92" s="36"/>
    </row>
    <row r="93" spans="1:2">
      <c r="A93" s="35"/>
      <c r="B93" s="36"/>
    </row>
    <row r="94" spans="1:2">
      <c r="A94" s="35"/>
      <c r="B94" s="36"/>
    </row>
    <row r="95" spans="1:2">
      <c r="A95" s="35"/>
      <c r="B95" s="36"/>
    </row>
    <row r="96" spans="1:2">
      <c r="A96" s="35"/>
      <c r="B96" s="36"/>
    </row>
    <row r="97" spans="1:2">
      <c r="A97" s="35"/>
      <c r="B97" s="36"/>
    </row>
    <row r="98" spans="1:2">
      <c r="A98" s="35"/>
      <c r="B98" s="36"/>
    </row>
    <row r="99" spans="1:2">
      <c r="A99" s="35"/>
      <c r="B99" s="36"/>
    </row>
    <row r="100" spans="1:2">
      <c r="A100" s="35"/>
      <c r="B100" s="36"/>
    </row>
  </sheetData>
  <dataConsolidate/>
  <mergeCells count="34">
    <mergeCell ref="C7:E7"/>
    <mergeCell ref="H7:J7"/>
    <mergeCell ref="C8:E8"/>
    <mergeCell ref="H8:J8"/>
    <mergeCell ref="A11:B11"/>
    <mergeCell ref="D13:G13"/>
    <mergeCell ref="I13:L13"/>
    <mergeCell ref="N13:Q13"/>
    <mergeCell ref="I14:J14"/>
    <mergeCell ref="N14:O14"/>
    <mergeCell ref="I15:J15"/>
    <mergeCell ref="N15:O15"/>
    <mergeCell ref="I16:J16"/>
    <mergeCell ref="N16:O16"/>
    <mergeCell ref="I17:J17"/>
    <mergeCell ref="N17:O17"/>
    <mergeCell ref="I18:J18"/>
    <mergeCell ref="N18:O18"/>
    <mergeCell ref="I19:J19"/>
    <mergeCell ref="N19:O19"/>
    <mergeCell ref="I20:J20"/>
    <mergeCell ref="N20:O20"/>
    <mergeCell ref="I29:J29"/>
    <mergeCell ref="I21:J21"/>
    <mergeCell ref="I22:J22"/>
    <mergeCell ref="N22:O22"/>
    <mergeCell ref="I23:J23"/>
    <mergeCell ref="N23:O23"/>
    <mergeCell ref="I24:J24"/>
    <mergeCell ref="I25:J25"/>
    <mergeCell ref="I26:J26"/>
    <mergeCell ref="I27:J27"/>
    <mergeCell ref="I28:J28"/>
    <mergeCell ref="N21:O21"/>
  </mergeCells>
  <dataValidations count="3">
    <dataValidation type="list" allowBlank="1" showInputMessage="1" showErrorMessage="1" sqref="E9 J9" xr:uid="{00000000-0002-0000-0200-000000000000}">
      <formula1>AÑO</formula1>
    </dataValidation>
    <dataValidation type="list" allowBlank="1" showInputMessage="1" showErrorMessage="1" sqref="I9 D9" xr:uid="{00000000-0002-0000-0200-000001000000}">
      <formula1>MES</formula1>
    </dataValidation>
    <dataValidation type="list" allowBlank="1" showInputMessage="1" showErrorMessage="1" sqref="H9 C9" xr:uid="{00000000-0002-0000-0200-000002000000}">
      <formula1>DIA</formula1>
    </dataValidation>
  </dataValidations>
  <pageMargins left="0.75" right="0.75" top="1" bottom="1" header="0" footer="0"/>
  <pageSetup scale="63"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Hoja3.ANALISIS_EPIDEMIOLOGICO">
                <anchor moveWithCells="1" sizeWithCells="1">
                  <from>
                    <xdr:col>2</xdr:col>
                    <xdr:colOff>739833</xdr:colOff>
                    <xdr:row>0</xdr:row>
                    <xdr:rowOff>49876</xdr:rowOff>
                  </from>
                  <to>
                    <xdr:col>4</xdr:col>
                    <xdr:colOff>199505</xdr:colOff>
                    <xdr:row>2</xdr:row>
                    <xdr:rowOff>49876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J61"/>
  <sheetViews>
    <sheetView showGridLines="0" view="pageBreakPreview" topLeftCell="A18" zoomScale="85" zoomScaleNormal="100" zoomScaleSheetLayoutView="85" workbookViewId="0">
      <selection activeCell="E67" sqref="E67"/>
    </sheetView>
  </sheetViews>
  <sheetFormatPr baseColWidth="10" defaultRowHeight="12.45"/>
  <cols>
    <col min="1" max="5" width="11.5546875" style="21"/>
    <col min="6" max="6" width="7.88671875" style="21" customWidth="1"/>
    <col min="7" max="7" width="17.5546875" style="21" customWidth="1"/>
    <col min="8" max="8" width="11.5546875" style="21"/>
    <col min="9" max="9" width="15.33203125" style="21" customWidth="1"/>
    <col min="10" max="261" width="11.5546875" style="21"/>
    <col min="262" max="262" width="7.88671875" style="21" customWidth="1"/>
    <col min="263" max="263" width="17.5546875" style="21" customWidth="1"/>
    <col min="264" max="517" width="11.5546875" style="21"/>
    <col min="518" max="518" width="7.88671875" style="21" customWidth="1"/>
    <col min="519" max="519" width="17.5546875" style="21" customWidth="1"/>
    <col min="520" max="773" width="11.5546875" style="21"/>
    <col min="774" max="774" width="7.88671875" style="21" customWidth="1"/>
    <col min="775" max="775" width="17.5546875" style="21" customWidth="1"/>
    <col min="776" max="1029" width="11.5546875" style="21"/>
    <col min="1030" max="1030" width="7.88671875" style="21" customWidth="1"/>
    <col min="1031" max="1031" width="17.5546875" style="21" customWidth="1"/>
    <col min="1032" max="1285" width="11.5546875" style="21"/>
    <col min="1286" max="1286" width="7.88671875" style="21" customWidth="1"/>
    <col min="1287" max="1287" width="17.5546875" style="21" customWidth="1"/>
    <col min="1288" max="1541" width="11.5546875" style="21"/>
    <col min="1542" max="1542" width="7.88671875" style="21" customWidth="1"/>
    <col min="1543" max="1543" width="17.5546875" style="21" customWidth="1"/>
    <col min="1544" max="1797" width="11.5546875" style="21"/>
    <col min="1798" max="1798" width="7.88671875" style="21" customWidth="1"/>
    <col min="1799" max="1799" width="17.5546875" style="21" customWidth="1"/>
    <col min="1800" max="2053" width="11.5546875" style="21"/>
    <col min="2054" max="2054" width="7.88671875" style="21" customWidth="1"/>
    <col min="2055" max="2055" width="17.5546875" style="21" customWidth="1"/>
    <col min="2056" max="2309" width="11.5546875" style="21"/>
    <col min="2310" max="2310" width="7.88671875" style="21" customWidth="1"/>
    <col min="2311" max="2311" width="17.5546875" style="21" customWidth="1"/>
    <col min="2312" max="2565" width="11.5546875" style="21"/>
    <col min="2566" max="2566" width="7.88671875" style="21" customWidth="1"/>
    <col min="2567" max="2567" width="17.5546875" style="21" customWidth="1"/>
    <col min="2568" max="2821" width="11.5546875" style="21"/>
    <col min="2822" max="2822" width="7.88671875" style="21" customWidth="1"/>
    <col min="2823" max="2823" width="17.5546875" style="21" customWidth="1"/>
    <col min="2824" max="3077" width="11.5546875" style="21"/>
    <col min="3078" max="3078" width="7.88671875" style="21" customWidth="1"/>
    <col min="3079" max="3079" width="17.5546875" style="21" customWidth="1"/>
    <col min="3080" max="3333" width="11.5546875" style="21"/>
    <col min="3334" max="3334" width="7.88671875" style="21" customWidth="1"/>
    <col min="3335" max="3335" width="17.5546875" style="21" customWidth="1"/>
    <col min="3336" max="3589" width="11.5546875" style="21"/>
    <col min="3590" max="3590" width="7.88671875" style="21" customWidth="1"/>
    <col min="3591" max="3591" width="17.5546875" style="21" customWidth="1"/>
    <col min="3592" max="3845" width="11.5546875" style="21"/>
    <col min="3846" max="3846" width="7.88671875" style="21" customWidth="1"/>
    <col min="3847" max="3847" width="17.5546875" style="21" customWidth="1"/>
    <col min="3848" max="4101" width="11.5546875" style="21"/>
    <col min="4102" max="4102" width="7.88671875" style="21" customWidth="1"/>
    <col min="4103" max="4103" width="17.5546875" style="21" customWidth="1"/>
    <col min="4104" max="4357" width="11.5546875" style="21"/>
    <col min="4358" max="4358" width="7.88671875" style="21" customWidth="1"/>
    <col min="4359" max="4359" width="17.5546875" style="21" customWidth="1"/>
    <col min="4360" max="4613" width="11.5546875" style="21"/>
    <col min="4614" max="4614" width="7.88671875" style="21" customWidth="1"/>
    <col min="4615" max="4615" width="17.5546875" style="21" customWidth="1"/>
    <col min="4616" max="4869" width="11.5546875" style="21"/>
    <col min="4870" max="4870" width="7.88671875" style="21" customWidth="1"/>
    <col min="4871" max="4871" width="17.5546875" style="21" customWidth="1"/>
    <col min="4872" max="5125" width="11.5546875" style="21"/>
    <col min="5126" max="5126" width="7.88671875" style="21" customWidth="1"/>
    <col min="5127" max="5127" width="17.5546875" style="21" customWidth="1"/>
    <col min="5128" max="5381" width="11.5546875" style="21"/>
    <col min="5382" max="5382" width="7.88671875" style="21" customWidth="1"/>
    <col min="5383" max="5383" width="17.5546875" style="21" customWidth="1"/>
    <col min="5384" max="5637" width="11.5546875" style="21"/>
    <col min="5638" max="5638" width="7.88671875" style="21" customWidth="1"/>
    <col min="5639" max="5639" width="17.5546875" style="21" customWidth="1"/>
    <col min="5640" max="5893" width="11.5546875" style="21"/>
    <col min="5894" max="5894" width="7.88671875" style="21" customWidth="1"/>
    <col min="5895" max="5895" width="17.5546875" style="21" customWidth="1"/>
    <col min="5896" max="6149" width="11.5546875" style="21"/>
    <col min="6150" max="6150" width="7.88671875" style="21" customWidth="1"/>
    <col min="6151" max="6151" width="17.5546875" style="21" customWidth="1"/>
    <col min="6152" max="6405" width="11.5546875" style="21"/>
    <col min="6406" max="6406" width="7.88671875" style="21" customWidth="1"/>
    <col min="6407" max="6407" width="17.5546875" style="21" customWidth="1"/>
    <col min="6408" max="6661" width="11.5546875" style="21"/>
    <col min="6662" max="6662" width="7.88671875" style="21" customWidth="1"/>
    <col min="6663" max="6663" width="17.5546875" style="21" customWidth="1"/>
    <col min="6664" max="6917" width="11.5546875" style="21"/>
    <col min="6918" max="6918" width="7.88671875" style="21" customWidth="1"/>
    <col min="6919" max="6919" width="17.5546875" style="21" customWidth="1"/>
    <col min="6920" max="7173" width="11.5546875" style="21"/>
    <col min="7174" max="7174" width="7.88671875" style="21" customWidth="1"/>
    <col min="7175" max="7175" width="17.5546875" style="21" customWidth="1"/>
    <col min="7176" max="7429" width="11.5546875" style="21"/>
    <col min="7430" max="7430" width="7.88671875" style="21" customWidth="1"/>
    <col min="7431" max="7431" width="17.5546875" style="21" customWidth="1"/>
    <col min="7432" max="7685" width="11.5546875" style="21"/>
    <col min="7686" max="7686" width="7.88671875" style="21" customWidth="1"/>
    <col min="7687" max="7687" width="17.5546875" style="21" customWidth="1"/>
    <col min="7688" max="7941" width="11.5546875" style="21"/>
    <col min="7942" max="7942" width="7.88671875" style="21" customWidth="1"/>
    <col min="7943" max="7943" width="17.5546875" style="21" customWidth="1"/>
    <col min="7944" max="8197" width="11.5546875" style="21"/>
    <col min="8198" max="8198" width="7.88671875" style="21" customWidth="1"/>
    <col min="8199" max="8199" width="17.5546875" style="21" customWidth="1"/>
    <col min="8200" max="8453" width="11.5546875" style="21"/>
    <col min="8454" max="8454" width="7.88671875" style="21" customWidth="1"/>
    <col min="8455" max="8455" width="17.5546875" style="21" customWidth="1"/>
    <col min="8456" max="8709" width="11.5546875" style="21"/>
    <col min="8710" max="8710" width="7.88671875" style="21" customWidth="1"/>
    <col min="8711" max="8711" width="17.5546875" style="21" customWidth="1"/>
    <col min="8712" max="8965" width="11.5546875" style="21"/>
    <col min="8966" max="8966" width="7.88671875" style="21" customWidth="1"/>
    <col min="8967" max="8967" width="17.5546875" style="21" customWidth="1"/>
    <col min="8968" max="9221" width="11.5546875" style="21"/>
    <col min="9222" max="9222" width="7.88671875" style="21" customWidth="1"/>
    <col min="9223" max="9223" width="17.5546875" style="21" customWidth="1"/>
    <col min="9224" max="9477" width="11.5546875" style="21"/>
    <col min="9478" max="9478" width="7.88671875" style="21" customWidth="1"/>
    <col min="9479" max="9479" width="17.5546875" style="21" customWidth="1"/>
    <col min="9480" max="9733" width="11.5546875" style="21"/>
    <col min="9734" max="9734" width="7.88671875" style="21" customWidth="1"/>
    <col min="9735" max="9735" width="17.5546875" style="21" customWidth="1"/>
    <col min="9736" max="9989" width="11.5546875" style="21"/>
    <col min="9990" max="9990" width="7.88671875" style="21" customWidth="1"/>
    <col min="9991" max="9991" width="17.5546875" style="21" customWidth="1"/>
    <col min="9992" max="10245" width="11.5546875" style="21"/>
    <col min="10246" max="10246" width="7.88671875" style="21" customWidth="1"/>
    <col min="10247" max="10247" width="17.5546875" style="21" customWidth="1"/>
    <col min="10248" max="10501" width="11.5546875" style="21"/>
    <col min="10502" max="10502" width="7.88671875" style="21" customWidth="1"/>
    <col min="10503" max="10503" width="17.5546875" style="21" customWidth="1"/>
    <col min="10504" max="10757" width="11.5546875" style="21"/>
    <col min="10758" max="10758" width="7.88671875" style="21" customWidth="1"/>
    <col min="10759" max="10759" width="17.5546875" style="21" customWidth="1"/>
    <col min="10760" max="11013" width="11.5546875" style="21"/>
    <col min="11014" max="11014" width="7.88671875" style="21" customWidth="1"/>
    <col min="11015" max="11015" width="17.5546875" style="21" customWidth="1"/>
    <col min="11016" max="11269" width="11.5546875" style="21"/>
    <col min="11270" max="11270" width="7.88671875" style="21" customWidth="1"/>
    <col min="11271" max="11271" width="17.5546875" style="21" customWidth="1"/>
    <col min="11272" max="11525" width="11.5546875" style="21"/>
    <col min="11526" max="11526" width="7.88671875" style="21" customWidth="1"/>
    <col min="11527" max="11527" width="17.5546875" style="21" customWidth="1"/>
    <col min="11528" max="11781" width="11.5546875" style="21"/>
    <col min="11782" max="11782" width="7.88671875" style="21" customWidth="1"/>
    <col min="11783" max="11783" width="17.5546875" style="21" customWidth="1"/>
    <col min="11784" max="12037" width="11.5546875" style="21"/>
    <col min="12038" max="12038" width="7.88671875" style="21" customWidth="1"/>
    <col min="12039" max="12039" width="17.5546875" style="21" customWidth="1"/>
    <col min="12040" max="12293" width="11.5546875" style="21"/>
    <col min="12294" max="12294" width="7.88671875" style="21" customWidth="1"/>
    <col min="12295" max="12295" width="17.5546875" style="21" customWidth="1"/>
    <col min="12296" max="12549" width="11.5546875" style="21"/>
    <col min="12550" max="12550" width="7.88671875" style="21" customWidth="1"/>
    <col min="12551" max="12551" width="17.5546875" style="21" customWidth="1"/>
    <col min="12552" max="12805" width="11.5546875" style="21"/>
    <col min="12806" max="12806" width="7.88671875" style="21" customWidth="1"/>
    <col min="12807" max="12807" width="17.5546875" style="21" customWidth="1"/>
    <col min="12808" max="13061" width="11.5546875" style="21"/>
    <col min="13062" max="13062" width="7.88671875" style="21" customWidth="1"/>
    <col min="13063" max="13063" width="17.5546875" style="21" customWidth="1"/>
    <col min="13064" max="13317" width="11.5546875" style="21"/>
    <col min="13318" max="13318" width="7.88671875" style="21" customWidth="1"/>
    <col min="13319" max="13319" width="17.5546875" style="21" customWidth="1"/>
    <col min="13320" max="13573" width="11.5546875" style="21"/>
    <col min="13574" max="13574" width="7.88671875" style="21" customWidth="1"/>
    <col min="13575" max="13575" width="17.5546875" style="21" customWidth="1"/>
    <col min="13576" max="13829" width="11.5546875" style="21"/>
    <col min="13830" max="13830" width="7.88671875" style="21" customWidth="1"/>
    <col min="13831" max="13831" width="17.5546875" style="21" customWidth="1"/>
    <col min="13832" max="14085" width="11.5546875" style="21"/>
    <col min="14086" max="14086" width="7.88671875" style="21" customWidth="1"/>
    <col min="14087" max="14087" width="17.5546875" style="21" customWidth="1"/>
    <col min="14088" max="14341" width="11.5546875" style="21"/>
    <col min="14342" max="14342" width="7.88671875" style="21" customWidth="1"/>
    <col min="14343" max="14343" width="17.5546875" style="21" customWidth="1"/>
    <col min="14344" max="14597" width="11.5546875" style="21"/>
    <col min="14598" max="14598" width="7.88671875" style="21" customWidth="1"/>
    <col min="14599" max="14599" width="17.5546875" style="21" customWidth="1"/>
    <col min="14600" max="14853" width="11.5546875" style="21"/>
    <col min="14854" max="14854" width="7.88671875" style="21" customWidth="1"/>
    <col min="14855" max="14855" width="17.5546875" style="21" customWidth="1"/>
    <col min="14856" max="15109" width="11.5546875" style="21"/>
    <col min="15110" max="15110" width="7.88671875" style="21" customWidth="1"/>
    <col min="15111" max="15111" width="17.5546875" style="21" customWidth="1"/>
    <col min="15112" max="15365" width="11.5546875" style="21"/>
    <col min="15366" max="15366" width="7.88671875" style="21" customWidth="1"/>
    <col min="15367" max="15367" width="17.5546875" style="21" customWidth="1"/>
    <col min="15368" max="15621" width="11.5546875" style="21"/>
    <col min="15622" max="15622" width="7.88671875" style="21" customWidth="1"/>
    <col min="15623" max="15623" width="17.5546875" style="21" customWidth="1"/>
    <col min="15624" max="15877" width="11.5546875" style="21"/>
    <col min="15878" max="15878" width="7.88671875" style="21" customWidth="1"/>
    <col min="15879" max="15879" width="17.5546875" style="21" customWidth="1"/>
    <col min="15880" max="16133" width="11.5546875" style="21"/>
    <col min="16134" max="16134" width="7.88671875" style="21" customWidth="1"/>
    <col min="16135" max="16135" width="17.5546875" style="21" customWidth="1"/>
    <col min="16136" max="16384" width="11.5546875" style="21"/>
  </cols>
  <sheetData>
    <row r="1" spans="1:10" ht="13.1">
      <c r="A1" s="46"/>
      <c r="B1" s="46"/>
      <c r="C1" s="46"/>
      <c r="D1" s="46"/>
      <c r="E1" s="46"/>
      <c r="F1" s="46"/>
      <c r="G1" s="46"/>
      <c r="H1" s="46"/>
      <c r="I1" s="46"/>
    </row>
    <row r="3" spans="1:10" ht="13.1">
      <c r="A3" s="240" t="s">
        <v>59</v>
      </c>
      <c r="B3" s="240"/>
      <c r="C3" s="240"/>
      <c r="D3" s="240"/>
      <c r="E3" s="240"/>
      <c r="F3" s="240"/>
      <c r="G3" s="240"/>
      <c r="H3" s="240"/>
      <c r="I3" s="240"/>
    </row>
    <row r="4" spans="1:10" ht="13.1">
      <c r="A4" s="240" t="s">
        <v>60</v>
      </c>
      <c r="B4" s="240"/>
      <c r="C4" s="240"/>
      <c r="D4" s="240"/>
      <c r="E4" s="240"/>
      <c r="F4" s="240"/>
      <c r="G4" s="240"/>
      <c r="H4" s="240"/>
      <c r="I4" s="240"/>
    </row>
    <row r="5" spans="1:10" ht="13.1">
      <c r="A5" s="240" t="s">
        <v>61</v>
      </c>
      <c r="B5" s="240"/>
      <c r="C5" s="240"/>
      <c r="D5" s="240"/>
      <c r="E5" s="240"/>
      <c r="F5" s="240"/>
      <c r="G5" s="240"/>
      <c r="H5" s="240"/>
      <c r="I5" s="240"/>
    </row>
    <row r="6" spans="1:10" ht="13.1">
      <c r="A6" s="22"/>
    </row>
    <row r="7" spans="1:10" ht="13.1">
      <c r="A7" s="241" t="s">
        <v>94</v>
      </c>
      <c r="B7" s="241"/>
      <c r="C7" s="241"/>
      <c r="D7" s="241"/>
      <c r="E7" s="241"/>
      <c r="F7" s="241"/>
      <c r="G7" s="241"/>
      <c r="H7" s="241"/>
      <c r="I7" s="241"/>
    </row>
    <row r="9" spans="1:10">
      <c r="A9" s="24" t="s">
        <v>62</v>
      </c>
      <c r="B9" s="31"/>
      <c r="C9" s="230" t="s">
        <v>334</v>
      </c>
      <c r="D9" s="231"/>
      <c r="E9" s="232"/>
      <c r="F9" s="26"/>
      <c r="G9" s="24" t="s">
        <v>63</v>
      </c>
      <c r="H9" s="230" t="s">
        <v>333</v>
      </c>
      <c r="I9" s="231"/>
      <c r="J9" s="232"/>
    </row>
    <row r="10" spans="1:10">
      <c r="A10" s="24" t="s">
        <v>64</v>
      </c>
      <c r="B10" s="31"/>
      <c r="C10" s="230" t="s">
        <v>148</v>
      </c>
      <c r="D10" s="231"/>
      <c r="E10" s="232"/>
      <c r="F10" s="26"/>
      <c r="G10" s="24" t="s">
        <v>2</v>
      </c>
      <c r="H10" s="230" t="s">
        <v>332</v>
      </c>
      <c r="I10" s="231"/>
      <c r="J10" s="232"/>
    </row>
    <row r="11" spans="1:10" ht="13.95" customHeight="1">
      <c r="A11" s="24" t="s">
        <v>65</v>
      </c>
      <c r="B11" s="31"/>
      <c r="C11" s="108">
        <v>9</v>
      </c>
      <c r="D11" s="108">
        <v>1</v>
      </c>
      <c r="E11" s="109">
        <v>2025</v>
      </c>
      <c r="F11" s="26"/>
      <c r="G11" s="24" t="s">
        <v>88</v>
      </c>
      <c r="H11" s="108"/>
      <c r="I11" s="108"/>
      <c r="J11" s="109"/>
    </row>
    <row r="12" spans="1:10">
      <c r="C12" s="34" t="s">
        <v>169</v>
      </c>
      <c r="D12" s="34" t="s">
        <v>116</v>
      </c>
      <c r="E12" s="34" t="s">
        <v>117</v>
      </c>
      <c r="H12" s="34" t="s">
        <v>169</v>
      </c>
      <c r="I12" s="34" t="s">
        <v>116</v>
      </c>
      <c r="J12" s="34" t="s">
        <v>117</v>
      </c>
    </row>
    <row r="13" spans="1:10" ht="12.8" customHeight="1">
      <c r="A13" s="238" t="s">
        <v>353</v>
      </c>
      <c r="B13" s="239"/>
      <c r="C13" s="239"/>
      <c r="D13" s="239"/>
      <c r="E13" s="239"/>
      <c r="F13" s="239"/>
      <c r="G13" s="239"/>
      <c r="H13" s="239"/>
      <c r="I13" s="239"/>
      <c r="J13" s="239"/>
    </row>
    <row r="14" spans="1:10" ht="12.8" customHeight="1">
      <c r="A14" s="238"/>
      <c r="B14" s="239"/>
      <c r="C14" s="239"/>
      <c r="D14" s="239"/>
      <c r="E14" s="239"/>
      <c r="F14" s="239"/>
      <c r="G14" s="239"/>
      <c r="H14" s="239"/>
      <c r="I14" s="239"/>
      <c r="J14" s="239"/>
    </row>
    <row r="15" spans="1:10" ht="12.8" customHeight="1">
      <c r="A15" s="238"/>
      <c r="B15" s="239"/>
      <c r="C15" s="239"/>
      <c r="D15" s="239"/>
      <c r="E15" s="239"/>
      <c r="F15" s="239"/>
      <c r="G15" s="239"/>
      <c r="H15" s="239"/>
      <c r="I15" s="239"/>
      <c r="J15" s="239"/>
    </row>
    <row r="16" spans="1:10" ht="12.8" customHeight="1">
      <c r="A16" s="238"/>
      <c r="B16" s="239"/>
      <c r="C16" s="239"/>
      <c r="D16" s="239"/>
      <c r="E16" s="239"/>
      <c r="F16" s="239"/>
      <c r="G16" s="239"/>
      <c r="H16" s="239"/>
      <c r="I16" s="239"/>
      <c r="J16" s="239"/>
    </row>
    <row r="17" spans="1:10" ht="12.8" customHeight="1">
      <c r="A17" s="238"/>
      <c r="B17" s="239"/>
      <c r="C17" s="239"/>
      <c r="D17" s="239"/>
      <c r="E17" s="239"/>
      <c r="F17" s="239"/>
      <c r="G17" s="239"/>
      <c r="H17" s="239"/>
      <c r="I17" s="239"/>
      <c r="J17" s="239"/>
    </row>
    <row r="18" spans="1:10" ht="12.8" customHeight="1">
      <c r="A18" s="238"/>
      <c r="B18" s="239"/>
      <c r="C18" s="239"/>
      <c r="D18" s="239"/>
      <c r="E18" s="239"/>
      <c r="F18" s="239"/>
      <c r="G18" s="239"/>
      <c r="H18" s="239"/>
      <c r="I18" s="239"/>
      <c r="J18" s="239"/>
    </row>
    <row r="19" spans="1:10" ht="12.8" customHeight="1">
      <c r="A19" s="238"/>
      <c r="B19" s="239"/>
      <c r="C19" s="239"/>
      <c r="D19" s="239"/>
      <c r="E19" s="239"/>
      <c r="F19" s="239"/>
      <c r="G19" s="239"/>
      <c r="H19" s="239"/>
      <c r="I19" s="239"/>
      <c r="J19" s="239"/>
    </row>
    <row r="20" spans="1:10" ht="12.8" customHeight="1">
      <c r="A20" s="238"/>
      <c r="B20" s="239"/>
      <c r="C20" s="239"/>
      <c r="D20" s="239"/>
      <c r="E20" s="239"/>
      <c r="F20" s="239"/>
      <c r="G20" s="239"/>
      <c r="H20" s="239"/>
      <c r="I20" s="239"/>
      <c r="J20" s="239"/>
    </row>
    <row r="21" spans="1:10" ht="12.8" customHeight="1">
      <c r="A21" s="238"/>
      <c r="B21" s="239"/>
      <c r="C21" s="239"/>
      <c r="D21" s="239"/>
      <c r="E21" s="239"/>
      <c r="F21" s="239"/>
      <c r="G21" s="239"/>
      <c r="H21" s="239"/>
      <c r="I21" s="239"/>
      <c r="J21" s="239"/>
    </row>
    <row r="22" spans="1:10" ht="12.8" customHeight="1">
      <c r="A22" s="238"/>
      <c r="B22" s="239"/>
      <c r="C22" s="239"/>
      <c r="D22" s="239"/>
      <c r="E22" s="239"/>
      <c r="F22" s="239"/>
      <c r="G22" s="239"/>
      <c r="H22" s="239"/>
      <c r="I22" s="239"/>
      <c r="J22" s="239"/>
    </row>
    <row r="23" spans="1:10" ht="12.8" customHeight="1">
      <c r="A23" s="238"/>
      <c r="B23" s="239"/>
      <c r="C23" s="239"/>
      <c r="D23" s="239"/>
      <c r="E23" s="239"/>
      <c r="F23" s="239"/>
      <c r="G23" s="239"/>
      <c r="H23" s="239"/>
      <c r="I23" s="239"/>
      <c r="J23" s="239"/>
    </row>
    <row r="24" spans="1:10" ht="12.8" customHeight="1">
      <c r="A24" s="238"/>
      <c r="B24" s="239"/>
      <c r="C24" s="239"/>
      <c r="D24" s="239"/>
      <c r="E24" s="239"/>
      <c r="F24" s="239"/>
      <c r="G24" s="239"/>
      <c r="H24" s="239"/>
      <c r="I24" s="239"/>
      <c r="J24" s="239"/>
    </row>
    <row r="25" spans="1:10" ht="12.8" customHeight="1">
      <c r="A25" s="238"/>
      <c r="B25" s="239"/>
      <c r="C25" s="239"/>
      <c r="D25" s="239"/>
      <c r="E25" s="239"/>
      <c r="F25" s="239"/>
      <c r="G25" s="239"/>
      <c r="H25" s="239"/>
      <c r="I25" s="239"/>
      <c r="J25" s="239"/>
    </row>
    <row r="26" spans="1:10" ht="12.8" customHeight="1">
      <c r="A26" s="238"/>
      <c r="B26" s="239"/>
      <c r="C26" s="239"/>
      <c r="D26" s="239"/>
      <c r="E26" s="239"/>
      <c r="F26" s="239"/>
      <c r="G26" s="239"/>
      <c r="H26" s="239"/>
      <c r="I26" s="239"/>
      <c r="J26" s="239"/>
    </row>
    <row r="27" spans="1:10" ht="12.8" customHeight="1">
      <c r="A27" s="238"/>
      <c r="B27" s="239"/>
      <c r="C27" s="239"/>
      <c r="D27" s="239"/>
      <c r="E27" s="239"/>
      <c r="F27" s="239"/>
      <c r="G27" s="239"/>
      <c r="H27" s="239"/>
      <c r="I27" s="239"/>
      <c r="J27" s="239"/>
    </row>
    <row r="28" spans="1:10" ht="12.8" customHeight="1">
      <c r="A28" s="238"/>
      <c r="B28" s="239"/>
      <c r="C28" s="239"/>
      <c r="D28" s="239"/>
      <c r="E28" s="239"/>
      <c r="F28" s="239"/>
      <c r="G28" s="239"/>
      <c r="H28" s="239"/>
      <c r="I28" s="239"/>
      <c r="J28" s="239"/>
    </row>
    <row r="29" spans="1:10" ht="12.8" customHeight="1">
      <c r="A29" s="238"/>
      <c r="B29" s="239"/>
      <c r="C29" s="239"/>
      <c r="D29" s="239"/>
      <c r="E29" s="239"/>
      <c r="F29" s="239"/>
      <c r="G29" s="239"/>
      <c r="H29" s="239"/>
      <c r="I29" s="239"/>
      <c r="J29" s="239"/>
    </row>
    <row r="30" spans="1:10" ht="12.8" customHeight="1">
      <c r="A30" s="238"/>
      <c r="B30" s="239"/>
      <c r="C30" s="239"/>
      <c r="D30" s="239"/>
      <c r="E30" s="239"/>
      <c r="F30" s="239"/>
      <c r="G30" s="239"/>
      <c r="H30" s="239"/>
      <c r="I30" s="239"/>
      <c r="J30" s="239"/>
    </row>
    <row r="31" spans="1:10" ht="12.8" customHeight="1">
      <c r="A31" s="238"/>
      <c r="B31" s="239"/>
      <c r="C31" s="239"/>
      <c r="D31" s="239"/>
      <c r="E31" s="239"/>
      <c r="F31" s="239"/>
      <c r="G31" s="239"/>
      <c r="H31" s="239"/>
      <c r="I31" s="239"/>
      <c r="J31" s="239"/>
    </row>
    <row r="32" spans="1:10" ht="12.8" customHeight="1">
      <c r="A32" s="238"/>
      <c r="B32" s="239"/>
      <c r="C32" s="239"/>
      <c r="D32" s="239"/>
      <c r="E32" s="239"/>
      <c r="F32" s="239"/>
      <c r="G32" s="239"/>
      <c r="H32" s="239"/>
      <c r="I32" s="239"/>
      <c r="J32" s="239"/>
    </row>
    <row r="33" spans="1:10" ht="12.8" customHeight="1">
      <c r="A33" s="238"/>
      <c r="B33" s="239"/>
      <c r="C33" s="239"/>
      <c r="D33" s="239"/>
      <c r="E33" s="239"/>
      <c r="F33" s="239"/>
      <c r="G33" s="239"/>
      <c r="H33" s="239"/>
      <c r="I33" s="239"/>
      <c r="J33" s="239"/>
    </row>
    <row r="34" spans="1:10" ht="12.8" customHeight="1">
      <c r="A34" s="238"/>
      <c r="B34" s="239"/>
      <c r="C34" s="239"/>
      <c r="D34" s="239"/>
      <c r="E34" s="239"/>
      <c r="F34" s="239"/>
      <c r="G34" s="239"/>
      <c r="H34" s="239"/>
      <c r="I34" s="239"/>
      <c r="J34" s="239"/>
    </row>
    <row r="35" spans="1:10" ht="12.8" customHeight="1">
      <c r="A35" s="238"/>
      <c r="B35" s="239"/>
      <c r="C35" s="239"/>
      <c r="D35" s="239"/>
      <c r="E35" s="239"/>
      <c r="F35" s="239"/>
      <c r="G35" s="239"/>
      <c r="H35" s="239"/>
      <c r="I35" s="239"/>
      <c r="J35" s="239"/>
    </row>
    <row r="36" spans="1:10" ht="12.8" customHeight="1">
      <c r="A36" s="238"/>
      <c r="B36" s="239"/>
      <c r="C36" s="239"/>
      <c r="D36" s="239"/>
      <c r="E36" s="239"/>
      <c r="F36" s="239"/>
      <c r="G36" s="239"/>
      <c r="H36" s="239"/>
      <c r="I36" s="239"/>
      <c r="J36" s="239"/>
    </row>
    <row r="37" spans="1:10" ht="12.8" customHeight="1">
      <c r="A37" s="238"/>
      <c r="B37" s="239"/>
      <c r="C37" s="239"/>
      <c r="D37" s="239"/>
      <c r="E37" s="239"/>
      <c r="F37" s="239"/>
      <c r="G37" s="239"/>
      <c r="H37" s="239"/>
      <c r="I37" s="239"/>
      <c r="J37" s="239"/>
    </row>
    <row r="38" spans="1:10" ht="12.8" customHeight="1">
      <c r="A38" s="238"/>
      <c r="B38" s="239"/>
      <c r="C38" s="239"/>
      <c r="D38" s="239"/>
      <c r="E38" s="239"/>
      <c r="F38" s="239"/>
      <c r="G38" s="239"/>
      <c r="H38" s="239"/>
      <c r="I38" s="239"/>
      <c r="J38" s="239"/>
    </row>
    <row r="39" spans="1:10" ht="12.8" customHeight="1">
      <c r="A39" s="238"/>
      <c r="B39" s="239"/>
      <c r="C39" s="239"/>
      <c r="D39" s="239"/>
      <c r="E39" s="239"/>
      <c r="F39" s="239"/>
      <c r="G39" s="239"/>
      <c r="H39" s="239"/>
      <c r="I39" s="239"/>
      <c r="J39" s="239"/>
    </row>
    <row r="40" spans="1:10" ht="12.8" customHeight="1">
      <c r="A40" s="238"/>
      <c r="B40" s="239"/>
      <c r="C40" s="239"/>
      <c r="D40" s="239"/>
      <c r="E40" s="239"/>
      <c r="F40" s="239"/>
      <c r="G40" s="239"/>
      <c r="H40" s="239"/>
      <c r="I40" s="239"/>
      <c r="J40" s="239"/>
    </row>
    <row r="41" spans="1:10" ht="12.8" customHeight="1">
      <c r="A41" s="238"/>
      <c r="B41" s="239"/>
      <c r="C41" s="239"/>
      <c r="D41" s="239"/>
      <c r="E41" s="239"/>
      <c r="F41" s="239"/>
      <c r="G41" s="239"/>
      <c r="H41" s="239"/>
      <c r="I41" s="239"/>
      <c r="J41" s="239"/>
    </row>
    <row r="42" spans="1:10" ht="12.8" customHeight="1">
      <c r="A42" s="238"/>
      <c r="B42" s="239"/>
      <c r="C42" s="239"/>
      <c r="D42" s="239"/>
      <c r="E42" s="239"/>
      <c r="F42" s="239"/>
      <c r="G42" s="239"/>
      <c r="H42" s="239"/>
      <c r="I42" s="239"/>
      <c r="J42" s="239"/>
    </row>
    <row r="43" spans="1:10" ht="12.8" customHeight="1">
      <c r="A43" s="238"/>
      <c r="B43" s="239"/>
      <c r="C43" s="239"/>
      <c r="D43" s="239"/>
      <c r="E43" s="239"/>
      <c r="F43" s="239"/>
      <c r="G43" s="239"/>
      <c r="H43" s="239"/>
      <c r="I43" s="239"/>
      <c r="J43" s="239"/>
    </row>
    <row r="44" spans="1:10" ht="12.8" customHeight="1">
      <c r="A44" s="238"/>
      <c r="B44" s="239"/>
      <c r="C44" s="239"/>
      <c r="D44" s="239"/>
      <c r="E44" s="239"/>
      <c r="F44" s="239"/>
      <c r="G44" s="239"/>
      <c r="H44" s="239"/>
      <c r="I44" s="239"/>
      <c r="J44" s="239"/>
    </row>
    <row r="45" spans="1:10" ht="12.8" customHeight="1">
      <c r="A45" s="238"/>
      <c r="B45" s="239"/>
      <c r="C45" s="239"/>
      <c r="D45" s="239"/>
      <c r="E45" s="239"/>
      <c r="F45" s="239"/>
      <c r="G45" s="239"/>
      <c r="H45" s="239"/>
      <c r="I45" s="239"/>
      <c r="J45" s="239"/>
    </row>
    <row r="46" spans="1:10" ht="12.8" customHeight="1">
      <c r="A46" s="238"/>
      <c r="B46" s="239"/>
      <c r="C46" s="239"/>
      <c r="D46" s="239"/>
      <c r="E46" s="239"/>
      <c r="F46" s="239"/>
      <c r="G46" s="239"/>
      <c r="H46" s="239"/>
      <c r="I46" s="239"/>
      <c r="J46" s="239"/>
    </row>
    <row r="47" spans="1:10" ht="12.8" customHeight="1">
      <c r="A47" s="238"/>
      <c r="B47" s="239"/>
      <c r="C47" s="239"/>
      <c r="D47" s="239"/>
      <c r="E47" s="239"/>
      <c r="F47" s="239"/>
      <c r="G47" s="239"/>
      <c r="H47" s="239"/>
      <c r="I47" s="239"/>
      <c r="J47" s="239"/>
    </row>
    <row r="48" spans="1:10" ht="12.8" customHeight="1">
      <c r="A48" s="238"/>
      <c r="B48" s="239"/>
      <c r="C48" s="239"/>
      <c r="D48" s="239"/>
      <c r="E48" s="239"/>
      <c r="F48" s="239"/>
      <c r="G48" s="239"/>
      <c r="H48" s="239"/>
      <c r="I48" s="239"/>
      <c r="J48" s="239"/>
    </row>
    <row r="49" spans="1:10" ht="12.8" customHeight="1">
      <c r="A49" s="238"/>
      <c r="B49" s="239"/>
      <c r="C49" s="239"/>
      <c r="D49" s="239"/>
      <c r="E49" s="239"/>
      <c r="F49" s="239"/>
      <c r="G49" s="239"/>
      <c r="H49" s="239"/>
      <c r="I49" s="239"/>
      <c r="J49" s="239"/>
    </row>
    <row r="50" spans="1:10" ht="12.8" customHeight="1">
      <c r="A50" s="238"/>
      <c r="B50" s="239"/>
      <c r="C50" s="239"/>
      <c r="D50" s="239"/>
      <c r="E50" s="239"/>
      <c r="F50" s="239"/>
      <c r="G50" s="239"/>
      <c r="H50" s="239"/>
      <c r="I50" s="239"/>
      <c r="J50" s="239"/>
    </row>
    <row r="51" spans="1:10" ht="12.8" customHeight="1">
      <c r="A51" s="238"/>
      <c r="B51" s="239"/>
      <c r="C51" s="239"/>
      <c r="D51" s="239"/>
      <c r="E51" s="239"/>
      <c r="F51" s="239"/>
      <c r="G51" s="239"/>
      <c r="H51" s="239"/>
      <c r="I51" s="239"/>
      <c r="J51" s="239"/>
    </row>
    <row r="52" spans="1:10" ht="12.8" customHeight="1">
      <c r="A52" s="238"/>
      <c r="B52" s="239"/>
      <c r="C52" s="239"/>
      <c r="D52" s="239"/>
      <c r="E52" s="239"/>
      <c r="F52" s="239"/>
      <c r="G52" s="239"/>
      <c r="H52" s="239"/>
      <c r="I52" s="239"/>
      <c r="J52" s="239"/>
    </row>
    <row r="53" spans="1:10" ht="12.8" customHeight="1">
      <c r="A53" s="238"/>
      <c r="B53" s="239"/>
      <c r="C53" s="239"/>
      <c r="D53" s="239"/>
      <c r="E53" s="239"/>
      <c r="F53" s="239"/>
      <c r="G53" s="239"/>
      <c r="H53" s="239"/>
      <c r="I53" s="239"/>
      <c r="J53" s="239"/>
    </row>
    <row r="54" spans="1:10">
      <c r="A54" s="47" t="s">
        <v>330</v>
      </c>
      <c r="B54" s="48"/>
      <c r="C54" s="101">
        <v>14</v>
      </c>
      <c r="D54" s="101">
        <v>1</v>
      </c>
      <c r="E54" s="100">
        <v>2025</v>
      </c>
    </row>
    <row r="55" spans="1:10">
      <c r="A55" s="21" t="s">
        <v>68</v>
      </c>
      <c r="C55" s="34" t="s">
        <v>169</v>
      </c>
      <c r="D55" s="34" t="s">
        <v>116</v>
      </c>
      <c r="E55" s="34" t="s">
        <v>117</v>
      </c>
    </row>
    <row r="59" spans="1:10" ht="13.1">
      <c r="A59" s="234" t="s">
        <v>96</v>
      </c>
      <c r="B59" s="234"/>
      <c r="C59" s="234"/>
      <c r="D59" s="234"/>
      <c r="E59" s="49"/>
      <c r="F59" s="234" t="s">
        <v>97</v>
      </c>
      <c r="G59" s="234"/>
      <c r="H59" s="234"/>
      <c r="I59" s="46"/>
    </row>
    <row r="60" spans="1:10" ht="13.1">
      <c r="A60" s="235" t="s">
        <v>339</v>
      </c>
      <c r="B60" s="236"/>
      <c r="C60" s="236"/>
      <c r="D60" s="237"/>
      <c r="E60" s="49"/>
      <c r="F60" s="235" t="s">
        <v>359</v>
      </c>
      <c r="G60" s="236"/>
      <c r="H60" s="237"/>
      <c r="I60" s="46"/>
    </row>
    <row r="61" spans="1:10" ht="13.1">
      <c r="A61" s="234" t="s">
        <v>98</v>
      </c>
      <c r="B61" s="234"/>
      <c r="C61" s="234"/>
      <c r="D61" s="234"/>
      <c r="E61" s="49"/>
      <c r="F61" s="234" t="s">
        <v>98</v>
      </c>
      <c r="G61" s="234"/>
      <c r="H61" s="234"/>
      <c r="I61" s="46"/>
    </row>
  </sheetData>
  <mergeCells count="15">
    <mergeCell ref="C10:E10"/>
    <mergeCell ref="H10:J10"/>
    <mergeCell ref="H9:J9"/>
    <mergeCell ref="A13:J53"/>
    <mergeCell ref="A3:I3"/>
    <mergeCell ref="A4:I4"/>
    <mergeCell ref="A5:I5"/>
    <mergeCell ref="A7:I7"/>
    <mergeCell ref="C9:E9"/>
    <mergeCell ref="A59:D59"/>
    <mergeCell ref="F59:H59"/>
    <mergeCell ref="A60:D60"/>
    <mergeCell ref="F60:H60"/>
    <mergeCell ref="A61:D61"/>
    <mergeCell ref="F61:H61"/>
  </mergeCells>
  <dataValidations count="3">
    <dataValidation type="list" allowBlank="1" showInputMessage="1" showErrorMessage="1" sqref="C54 C11 H11" xr:uid="{00000000-0002-0000-0300-000000000000}">
      <formula1>DIA</formula1>
    </dataValidation>
    <dataValidation type="list" allowBlank="1" showInputMessage="1" showErrorMessage="1" sqref="D54 D11 I11" xr:uid="{00000000-0002-0000-0300-000001000000}">
      <formula1>MES</formula1>
    </dataValidation>
    <dataValidation type="list" allowBlank="1" showInputMessage="1" showErrorMessage="1" sqref="E54 E11 J11" xr:uid="{00000000-0002-0000-0300-000002000000}">
      <formula1>AÑO</formula1>
    </dataValidation>
  </dataValidations>
  <printOptions horizontalCentered="1" verticalCentered="1"/>
  <pageMargins left="0.23622047244094491" right="0.27559055118110237" top="0.43" bottom="0.46" header="0" footer="0"/>
  <pageSetup scale="83"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Hoja4.INFORME_NARRATIVO">
                <anchor moveWithCells="1" sizeWithCells="1">
                  <from>
                    <xdr:col>10</xdr:col>
                    <xdr:colOff>257695</xdr:colOff>
                    <xdr:row>1</xdr:row>
                    <xdr:rowOff>58189</xdr:rowOff>
                  </from>
                  <to>
                    <xdr:col>12</xdr:col>
                    <xdr:colOff>149629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M61"/>
  <sheetViews>
    <sheetView showGridLines="0" view="pageBreakPreview" topLeftCell="B1" zoomScale="70" zoomScaleNormal="100" zoomScaleSheetLayoutView="70" workbookViewId="0">
      <selection activeCell="B56" sqref="B56"/>
    </sheetView>
  </sheetViews>
  <sheetFormatPr baseColWidth="10" defaultRowHeight="12.45"/>
  <cols>
    <col min="1" max="1" width="3.33203125" style="21" customWidth="1"/>
    <col min="2" max="2" width="18.33203125" style="21" customWidth="1"/>
    <col min="3" max="6" width="11.6640625" style="21" customWidth="1"/>
    <col min="7" max="7" width="17.109375" style="21" customWidth="1"/>
    <col min="8" max="10" width="11.6640625" style="21" customWidth="1"/>
    <col min="11" max="11" width="5.109375" style="21" customWidth="1"/>
    <col min="12" max="12" width="12.33203125" style="21" customWidth="1"/>
    <col min="13" max="257" width="11.5546875" style="21"/>
    <col min="258" max="258" width="3.33203125" style="21" customWidth="1"/>
    <col min="259" max="266" width="11.6640625" style="21" customWidth="1"/>
    <col min="267" max="267" width="5.109375" style="21" customWidth="1"/>
    <col min="268" max="268" width="12.33203125" style="21" customWidth="1"/>
    <col min="269" max="513" width="11.5546875" style="21"/>
    <col min="514" max="514" width="3.33203125" style="21" customWidth="1"/>
    <col min="515" max="522" width="11.6640625" style="21" customWidth="1"/>
    <col min="523" max="523" width="5.109375" style="21" customWidth="1"/>
    <col min="524" max="524" width="12.33203125" style="21" customWidth="1"/>
    <col min="525" max="769" width="11.5546875" style="21"/>
    <col min="770" max="770" width="3.33203125" style="21" customWidth="1"/>
    <col min="771" max="778" width="11.6640625" style="21" customWidth="1"/>
    <col min="779" max="779" width="5.109375" style="21" customWidth="1"/>
    <col min="780" max="780" width="12.33203125" style="21" customWidth="1"/>
    <col min="781" max="1025" width="11.5546875" style="21"/>
    <col min="1026" max="1026" width="3.33203125" style="21" customWidth="1"/>
    <col min="1027" max="1034" width="11.6640625" style="21" customWidth="1"/>
    <col min="1035" max="1035" width="5.109375" style="21" customWidth="1"/>
    <col min="1036" max="1036" width="12.33203125" style="21" customWidth="1"/>
    <col min="1037" max="1281" width="11.5546875" style="21"/>
    <col min="1282" max="1282" width="3.33203125" style="21" customWidth="1"/>
    <col min="1283" max="1290" width="11.6640625" style="21" customWidth="1"/>
    <col min="1291" max="1291" width="5.109375" style="21" customWidth="1"/>
    <col min="1292" max="1292" width="12.33203125" style="21" customWidth="1"/>
    <col min="1293" max="1537" width="11.5546875" style="21"/>
    <col min="1538" max="1538" width="3.33203125" style="21" customWidth="1"/>
    <col min="1539" max="1546" width="11.6640625" style="21" customWidth="1"/>
    <col min="1547" max="1547" width="5.109375" style="21" customWidth="1"/>
    <col min="1548" max="1548" width="12.33203125" style="21" customWidth="1"/>
    <col min="1549" max="1793" width="11.5546875" style="21"/>
    <col min="1794" max="1794" width="3.33203125" style="21" customWidth="1"/>
    <col min="1795" max="1802" width="11.6640625" style="21" customWidth="1"/>
    <col min="1803" max="1803" width="5.109375" style="21" customWidth="1"/>
    <col min="1804" max="1804" width="12.33203125" style="21" customWidth="1"/>
    <col min="1805" max="2049" width="11.5546875" style="21"/>
    <col min="2050" max="2050" width="3.33203125" style="21" customWidth="1"/>
    <col min="2051" max="2058" width="11.6640625" style="21" customWidth="1"/>
    <col min="2059" max="2059" width="5.109375" style="21" customWidth="1"/>
    <col min="2060" max="2060" width="12.33203125" style="21" customWidth="1"/>
    <col min="2061" max="2305" width="11.5546875" style="21"/>
    <col min="2306" max="2306" width="3.33203125" style="21" customWidth="1"/>
    <col min="2307" max="2314" width="11.6640625" style="21" customWidth="1"/>
    <col min="2315" max="2315" width="5.109375" style="21" customWidth="1"/>
    <col min="2316" max="2316" width="12.33203125" style="21" customWidth="1"/>
    <col min="2317" max="2561" width="11.5546875" style="21"/>
    <col min="2562" max="2562" width="3.33203125" style="21" customWidth="1"/>
    <col min="2563" max="2570" width="11.6640625" style="21" customWidth="1"/>
    <col min="2571" max="2571" width="5.109375" style="21" customWidth="1"/>
    <col min="2572" max="2572" width="12.33203125" style="21" customWidth="1"/>
    <col min="2573" max="2817" width="11.5546875" style="21"/>
    <col min="2818" max="2818" width="3.33203125" style="21" customWidth="1"/>
    <col min="2819" max="2826" width="11.6640625" style="21" customWidth="1"/>
    <col min="2827" max="2827" width="5.109375" style="21" customWidth="1"/>
    <col min="2828" max="2828" width="12.33203125" style="21" customWidth="1"/>
    <col min="2829" max="3073" width="11.5546875" style="21"/>
    <col min="3074" max="3074" width="3.33203125" style="21" customWidth="1"/>
    <col min="3075" max="3082" width="11.6640625" style="21" customWidth="1"/>
    <col min="3083" max="3083" width="5.109375" style="21" customWidth="1"/>
    <col min="3084" max="3084" width="12.33203125" style="21" customWidth="1"/>
    <col min="3085" max="3329" width="11.5546875" style="21"/>
    <col min="3330" max="3330" width="3.33203125" style="21" customWidth="1"/>
    <col min="3331" max="3338" width="11.6640625" style="21" customWidth="1"/>
    <col min="3339" max="3339" width="5.109375" style="21" customWidth="1"/>
    <col min="3340" max="3340" width="12.33203125" style="21" customWidth="1"/>
    <col min="3341" max="3585" width="11.5546875" style="21"/>
    <col min="3586" max="3586" width="3.33203125" style="21" customWidth="1"/>
    <col min="3587" max="3594" width="11.6640625" style="21" customWidth="1"/>
    <col min="3595" max="3595" width="5.109375" style="21" customWidth="1"/>
    <col min="3596" max="3596" width="12.33203125" style="21" customWidth="1"/>
    <col min="3597" max="3841" width="11.5546875" style="21"/>
    <col min="3842" max="3842" width="3.33203125" style="21" customWidth="1"/>
    <col min="3843" max="3850" width="11.6640625" style="21" customWidth="1"/>
    <col min="3851" max="3851" width="5.109375" style="21" customWidth="1"/>
    <col min="3852" max="3852" width="12.33203125" style="21" customWidth="1"/>
    <col min="3853" max="4097" width="11.5546875" style="21"/>
    <col min="4098" max="4098" width="3.33203125" style="21" customWidth="1"/>
    <col min="4099" max="4106" width="11.6640625" style="21" customWidth="1"/>
    <col min="4107" max="4107" width="5.109375" style="21" customWidth="1"/>
    <col min="4108" max="4108" width="12.33203125" style="21" customWidth="1"/>
    <col min="4109" max="4353" width="11.5546875" style="21"/>
    <col min="4354" max="4354" width="3.33203125" style="21" customWidth="1"/>
    <col min="4355" max="4362" width="11.6640625" style="21" customWidth="1"/>
    <col min="4363" max="4363" width="5.109375" style="21" customWidth="1"/>
    <col min="4364" max="4364" width="12.33203125" style="21" customWidth="1"/>
    <col min="4365" max="4609" width="11.5546875" style="21"/>
    <col min="4610" max="4610" width="3.33203125" style="21" customWidth="1"/>
    <col min="4611" max="4618" width="11.6640625" style="21" customWidth="1"/>
    <col min="4619" max="4619" width="5.109375" style="21" customWidth="1"/>
    <col min="4620" max="4620" width="12.33203125" style="21" customWidth="1"/>
    <col min="4621" max="4865" width="11.5546875" style="21"/>
    <col min="4866" max="4866" width="3.33203125" style="21" customWidth="1"/>
    <col min="4867" max="4874" width="11.6640625" style="21" customWidth="1"/>
    <col min="4875" max="4875" width="5.109375" style="21" customWidth="1"/>
    <col min="4876" max="4876" width="12.33203125" style="21" customWidth="1"/>
    <col min="4877" max="5121" width="11.5546875" style="21"/>
    <col min="5122" max="5122" width="3.33203125" style="21" customWidth="1"/>
    <col min="5123" max="5130" width="11.6640625" style="21" customWidth="1"/>
    <col min="5131" max="5131" width="5.109375" style="21" customWidth="1"/>
    <col min="5132" max="5132" width="12.33203125" style="21" customWidth="1"/>
    <col min="5133" max="5377" width="11.5546875" style="21"/>
    <col min="5378" max="5378" width="3.33203125" style="21" customWidth="1"/>
    <col min="5379" max="5386" width="11.6640625" style="21" customWidth="1"/>
    <col min="5387" max="5387" width="5.109375" style="21" customWidth="1"/>
    <col min="5388" max="5388" width="12.33203125" style="21" customWidth="1"/>
    <col min="5389" max="5633" width="11.5546875" style="21"/>
    <col min="5634" max="5634" width="3.33203125" style="21" customWidth="1"/>
    <col min="5635" max="5642" width="11.6640625" style="21" customWidth="1"/>
    <col min="5643" max="5643" width="5.109375" style="21" customWidth="1"/>
    <col min="5644" max="5644" width="12.33203125" style="21" customWidth="1"/>
    <col min="5645" max="5889" width="11.5546875" style="21"/>
    <col min="5890" max="5890" width="3.33203125" style="21" customWidth="1"/>
    <col min="5891" max="5898" width="11.6640625" style="21" customWidth="1"/>
    <col min="5899" max="5899" width="5.109375" style="21" customWidth="1"/>
    <col min="5900" max="5900" width="12.33203125" style="21" customWidth="1"/>
    <col min="5901" max="6145" width="11.5546875" style="21"/>
    <col min="6146" max="6146" width="3.33203125" style="21" customWidth="1"/>
    <col min="6147" max="6154" width="11.6640625" style="21" customWidth="1"/>
    <col min="6155" max="6155" width="5.109375" style="21" customWidth="1"/>
    <col min="6156" max="6156" width="12.33203125" style="21" customWidth="1"/>
    <col min="6157" max="6401" width="11.5546875" style="21"/>
    <col min="6402" max="6402" width="3.33203125" style="21" customWidth="1"/>
    <col min="6403" max="6410" width="11.6640625" style="21" customWidth="1"/>
    <col min="6411" max="6411" width="5.109375" style="21" customWidth="1"/>
    <col min="6412" max="6412" width="12.33203125" style="21" customWidth="1"/>
    <col min="6413" max="6657" width="11.5546875" style="21"/>
    <col min="6658" max="6658" width="3.33203125" style="21" customWidth="1"/>
    <col min="6659" max="6666" width="11.6640625" style="21" customWidth="1"/>
    <col min="6667" max="6667" width="5.109375" style="21" customWidth="1"/>
    <col min="6668" max="6668" width="12.33203125" style="21" customWidth="1"/>
    <col min="6669" max="6913" width="11.5546875" style="21"/>
    <col min="6914" max="6914" width="3.33203125" style="21" customWidth="1"/>
    <col min="6915" max="6922" width="11.6640625" style="21" customWidth="1"/>
    <col min="6923" max="6923" width="5.109375" style="21" customWidth="1"/>
    <col min="6924" max="6924" width="12.33203125" style="21" customWidth="1"/>
    <col min="6925" max="7169" width="11.5546875" style="21"/>
    <col min="7170" max="7170" width="3.33203125" style="21" customWidth="1"/>
    <col min="7171" max="7178" width="11.6640625" style="21" customWidth="1"/>
    <col min="7179" max="7179" width="5.109375" style="21" customWidth="1"/>
    <col min="7180" max="7180" width="12.33203125" style="21" customWidth="1"/>
    <col min="7181" max="7425" width="11.5546875" style="21"/>
    <col min="7426" max="7426" width="3.33203125" style="21" customWidth="1"/>
    <col min="7427" max="7434" width="11.6640625" style="21" customWidth="1"/>
    <col min="7435" max="7435" width="5.109375" style="21" customWidth="1"/>
    <col min="7436" max="7436" width="12.33203125" style="21" customWidth="1"/>
    <col min="7437" max="7681" width="11.5546875" style="21"/>
    <col min="7682" max="7682" width="3.33203125" style="21" customWidth="1"/>
    <col min="7683" max="7690" width="11.6640625" style="21" customWidth="1"/>
    <col min="7691" max="7691" width="5.109375" style="21" customWidth="1"/>
    <col min="7692" max="7692" width="12.33203125" style="21" customWidth="1"/>
    <col min="7693" max="7937" width="11.5546875" style="21"/>
    <col min="7938" max="7938" width="3.33203125" style="21" customWidth="1"/>
    <col min="7939" max="7946" width="11.6640625" style="21" customWidth="1"/>
    <col min="7947" max="7947" width="5.109375" style="21" customWidth="1"/>
    <col min="7948" max="7948" width="12.33203125" style="21" customWidth="1"/>
    <col min="7949" max="8193" width="11.5546875" style="21"/>
    <col min="8194" max="8194" width="3.33203125" style="21" customWidth="1"/>
    <col min="8195" max="8202" width="11.6640625" style="21" customWidth="1"/>
    <col min="8203" max="8203" width="5.109375" style="21" customWidth="1"/>
    <col min="8204" max="8204" width="12.33203125" style="21" customWidth="1"/>
    <col min="8205" max="8449" width="11.5546875" style="21"/>
    <col min="8450" max="8450" width="3.33203125" style="21" customWidth="1"/>
    <col min="8451" max="8458" width="11.6640625" style="21" customWidth="1"/>
    <col min="8459" max="8459" width="5.109375" style="21" customWidth="1"/>
    <col min="8460" max="8460" width="12.33203125" style="21" customWidth="1"/>
    <col min="8461" max="8705" width="11.5546875" style="21"/>
    <col min="8706" max="8706" width="3.33203125" style="21" customWidth="1"/>
    <col min="8707" max="8714" width="11.6640625" style="21" customWidth="1"/>
    <col min="8715" max="8715" width="5.109375" style="21" customWidth="1"/>
    <col min="8716" max="8716" width="12.33203125" style="21" customWidth="1"/>
    <col min="8717" max="8961" width="11.5546875" style="21"/>
    <col min="8962" max="8962" width="3.33203125" style="21" customWidth="1"/>
    <col min="8963" max="8970" width="11.6640625" style="21" customWidth="1"/>
    <col min="8971" max="8971" width="5.109375" style="21" customWidth="1"/>
    <col min="8972" max="8972" width="12.33203125" style="21" customWidth="1"/>
    <col min="8973" max="9217" width="11.5546875" style="21"/>
    <col min="9218" max="9218" width="3.33203125" style="21" customWidth="1"/>
    <col min="9219" max="9226" width="11.6640625" style="21" customWidth="1"/>
    <col min="9227" max="9227" width="5.109375" style="21" customWidth="1"/>
    <col min="9228" max="9228" width="12.33203125" style="21" customWidth="1"/>
    <col min="9229" max="9473" width="11.5546875" style="21"/>
    <col min="9474" max="9474" width="3.33203125" style="21" customWidth="1"/>
    <col min="9475" max="9482" width="11.6640625" style="21" customWidth="1"/>
    <col min="9483" max="9483" width="5.109375" style="21" customWidth="1"/>
    <col min="9484" max="9484" width="12.33203125" style="21" customWidth="1"/>
    <col min="9485" max="9729" width="11.5546875" style="21"/>
    <col min="9730" max="9730" width="3.33203125" style="21" customWidth="1"/>
    <col min="9731" max="9738" width="11.6640625" style="21" customWidth="1"/>
    <col min="9739" max="9739" width="5.109375" style="21" customWidth="1"/>
    <col min="9740" max="9740" width="12.33203125" style="21" customWidth="1"/>
    <col min="9741" max="9985" width="11.5546875" style="21"/>
    <col min="9986" max="9986" width="3.33203125" style="21" customWidth="1"/>
    <col min="9987" max="9994" width="11.6640625" style="21" customWidth="1"/>
    <col min="9995" max="9995" width="5.109375" style="21" customWidth="1"/>
    <col min="9996" max="9996" width="12.33203125" style="21" customWidth="1"/>
    <col min="9997" max="10241" width="11.5546875" style="21"/>
    <col min="10242" max="10242" width="3.33203125" style="21" customWidth="1"/>
    <col min="10243" max="10250" width="11.6640625" style="21" customWidth="1"/>
    <col min="10251" max="10251" width="5.109375" style="21" customWidth="1"/>
    <col min="10252" max="10252" width="12.33203125" style="21" customWidth="1"/>
    <col min="10253" max="10497" width="11.5546875" style="21"/>
    <col min="10498" max="10498" width="3.33203125" style="21" customWidth="1"/>
    <col min="10499" max="10506" width="11.6640625" style="21" customWidth="1"/>
    <col min="10507" max="10507" width="5.109375" style="21" customWidth="1"/>
    <col min="10508" max="10508" width="12.33203125" style="21" customWidth="1"/>
    <col min="10509" max="10753" width="11.5546875" style="21"/>
    <col min="10754" max="10754" width="3.33203125" style="21" customWidth="1"/>
    <col min="10755" max="10762" width="11.6640625" style="21" customWidth="1"/>
    <col min="10763" max="10763" width="5.109375" style="21" customWidth="1"/>
    <col min="10764" max="10764" width="12.33203125" style="21" customWidth="1"/>
    <col min="10765" max="11009" width="11.5546875" style="21"/>
    <col min="11010" max="11010" width="3.33203125" style="21" customWidth="1"/>
    <col min="11011" max="11018" width="11.6640625" style="21" customWidth="1"/>
    <col min="11019" max="11019" width="5.109375" style="21" customWidth="1"/>
    <col min="11020" max="11020" width="12.33203125" style="21" customWidth="1"/>
    <col min="11021" max="11265" width="11.5546875" style="21"/>
    <col min="11266" max="11266" width="3.33203125" style="21" customWidth="1"/>
    <col min="11267" max="11274" width="11.6640625" style="21" customWidth="1"/>
    <col min="11275" max="11275" width="5.109375" style="21" customWidth="1"/>
    <col min="11276" max="11276" width="12.33203125" style="21" customWidth="1"/>
    <col min="11277" max="11521" width="11.5546875" style="21"/>
    <col min="11522" max="11522" width="3.33203125" style="21" customWidth="1"/>
    <col min="11523" max="11530" width="11.6640625" style="21" customWidth="1"/>
    <col min="11531" max="11531" width="5.109375" style="21" customWidth="1"/>
    <col min="11532" max="11532" width="12.33203125" style="21" customWidth="1"/>
    <col min="11533" max="11777" width="11.5546875" style="21"/>
    <col min="11778" max="11778" width="3.33203125" style="21" customWidth="1"/>
    <col min="11779" max="11786" width="11.6640625" style="21" customWidth="1"/>
    <col min="11787" max="11787" width="5.109375" style="21" customWidth="1"/>
    <col min="11788" max="11788" width="12.33203125" style="21" customWidth="1"/>
    <col min="11789" max="12033" width="11.5546875" style="21"/>
    <col min="12034" max="12034" width="3.33203125" style="21" customWidth="1"/>
    <col min="12035" max="12042" width="11.6640625" style="21" customWidth="1"/>
    <col min="12043" max="12043" width="5.109375" style="21" customWidth="1"/>
    <col min="12044" max="12044" width="12.33203125" style="21" customWidth="1"/>
    <col min="12045" max="12289" width="11.5546875" style="21"/>
    <col min="12290" max="12290" width="3.33203125" style="21" customWidth="1"/>
    <col min="12291" max="12298" width="11.6640625" style="21" customWidth="1"/>
    <col min="12299" max="12299" width="5.109375" style="21" customWidth="1"/>
    <col min="12300" max="12300" width="12.33203125" style="21" customWidth="1"/>
    <col min="12301" max="12545" width="11.5546875" style="21"/>
    <col min="12546" max="12546" width="3.33203125" style="21" customWidth="1"/>
    <col min="12547" max="12554" width="11.6640625" style="21" customWidth="1"/>
    <col min="12555" max="12555" width="5.109375" style="21" customWidth="1"/>
    <col min="12556" max="12556" width="12.33203125" style="21" customWidth="1"/>
    <col min="12557" max="12801" width="11.5546875" style="21"/>
    <col min="12802" max="12802" width="3.33203125" style="21" customWidth="1"/>
    <col min="12803" max="12810" width="11.6640625" style="21" customWidth="1"/>
    <col min="12811" max="12811" width="5.109375" style="21" customWidth="1"/>
    <col min="12812" max="12812" width="12.33203125" style="21" customWidth="1"/>
    <col min="12813" max="13057" width="11.5546875" style="21"/>
    <col min="13058" max="13058" width="3.33203125" style="21" customWidth="1"/>
    <col min="13059" max="13066" width="11.6640625" style="21" customWidth="1"/>
    <col min="13067" max="13067" width="5.109375" style="21" customWidth="1"/>
    <col min="13068" max="13068" width="12.33203125" style="21" customWidth="1"/>
    <col min="13069" max="13313" width="11.5546875" style="21"/>
    <col min="13314" max="13314" width="3.33203125" style="21" customWidth="1"/>
    <col min="13315" max="13322" width="11.6640625" style="21" customWidth="1"/>
    <col min="13323" max="13323" width="5.109375" style="21" customWidth="1"/>
    <col min="13324" max="13324" width="12.33203125" style="21" customWidth="1"/>
    <col min="13325" max="13569" width="11.5546875" style="21"/>
    <col min="13570" max="13570" width="3.33203125" style="21" customWidth="1"/>
    <col min="13571" max="13578" width="11.6640625" style="21" customWidth="1"/>
    <col min="13579" max="13579" width="5.109375" style="21" customWidth="1"/>
    <col min="13580" max="13580" width="12.33203125" style="21" customWidth="1"/>
    <col min="13581" max="13825" width="11.5546875" style="21"/>
    <col min="13826" max="13826" width="3.33203125" style="21" customWidth="1"/>
    <col min="13827" max="13834" width="11.6640625" style="21" customWidth="1"/>
    <col min="13835" max="13835" width="5.109375" style="21" customWidth="1"/>
    <col min="13836" max="13836" width="12.33203125" style="21" customWidth="1"/>
    <col min="13837" max="14081" width="11.5546875" style="21"/>
    <col min="14082" max="14082" width="3.33203125" style="21" customWidth="1"/>
    <col min="14083" max="14090" width="11.6640625" style="21" customWidth="1"/>
    <col min="14091" max="14091" width="5.109375" style="21" customWidth="1"/>
    <col min="14092" max="14092" width="12.33203125" style="21" customWidth="1"/>
    <col min="14093" max="14337" width="11.5546875" style="21"/>
    <col min="14338" max="14338" width="3.33203125" style="21" customWidth="1"/>
    <col min="14339" max="14346" width="11.6640625" style="21" customWidth="1"/>
    <col min="14347" max="14347" width="5.109375" style="21" customWidth="1"/>
    <col min="14348" max="14348" width="12.33203125" style="21" customWidth="1"/>
    <col min="14349" max="14593" width="11.5546875" style="21"/>
    <col min="14594" max="14594" width="3.33203125" style="21" customWidth="1"/>
    <col min="14595" max="14602" width="11.6640625" style="21" customWidth="1"/>
    <col min="14603" max="14603" width="5.109375" style="21" customWidth="1"/>
    <col min="14604" max="14604" width="12.33203125" style="21" customWidth="1"/>
    <col min="14605" max="14849" width="11.5546875" style="21"/>
    <col min="14850" max="14850" width="3.33203125" style="21" customWidth="1"/>
    <col min="14851" max="14858" width="11.6640625" style="21" customWidth="1"/>
    <col min="14859" max="14859" width="5.109375" style="21" customWidth="1"/>
    <col min="14860" max="14860" width="12.33203125" style="21" customWidth="1"/>
    <col min="14861" max="15105" width="11.5546875" style="21"/>
    <col min="15106" max="15106" width="3.33203125" style="21" customWidth="1"/>
    <col min="15107" max="15114" width="11.6640625" style="21" customWidth="1"/>
    <col min="15115" max="15115" width="5.109375" style="21" customWidth="1"/>
    <col min="15116" max="15116" width="12.33203125" style="21" customWidth="1"/>
    <col min="15117" max="15361" width="11.5546875" style="21"/>
    <col min="15362" max="15362" width="3.33203125" style="21" customWidth="1"/>
    <col min="15363" max="15370" width="11.6640625" style="21" customWidth="1"/>
    <col min="15371" max="15371" width="5.109375" style="21" customWidth="1"/>
    <col min="15372" max="15372" width="12.33203125" style="21" customWidth="1"/>
    <col min="15373" max="15617" width="11.5546875" style="21"/>
    <col min="15618" max="15618" width="3.33203125" style="21" customWidth="1"/>
    <col min="15619" max="15626" width="11.6640625" style="21" customWidth="1"/>
    <col min="15627" max="15627" width="5.109375" style="21" customWidth="1"/>
    <col min="15628" max="15628" width="12.33203125" style="21" customWidth="1"/>
    <col min="15629" max="15873" width="11.5546875" style="21"/>
    <col min="15874" max="15874" width="3.33203125" style="21" customWidth="1"/>
    <col min="15875" max="15882" width="11.6640625" style="21" customWidth="1"/>
    <col min="15883" max="15883" width="5.109375" style="21" customWidth="1"/>
    <col min="15884" max="15884" width="12.33203125" style="21" customWidth="1"/>
    <col min="15885" max="16129" width="11.5546875" style="21"/>
    <col min="16130" max="16130" width="3.33203125" style="21" customWidth="1"/>
    <col min="16131" max="16138" width="11.6640625" style="21" customWidth="1"/>
    <col min="16139" max="16139" width="5.109375" style="21" customWidth="1"/>
    <col min="16140" max="16140" width="12.33203125" style="21" customWidth="1"/>
    <col min="16141" max="16384" width="11.5546875" style="21"/>
  </cols>
  <sheetData>
    <row r="1" spans="2:12" ht="13.1">
      <c r="B1" s="46"/>
      <c r="C1" s="46"/>
      <c r="D1" s="46"/>
      <c r="E1" s="46"/>
      <c r="F1" s="46"/>
      <c r="G1" s="46"/>
      <c r="H1" s="46"/>
      <c r="I1" s="46"/>
      <c r="J1" s="46"/>
    </row>
    <row r="3" spans="2:12" ht="13.1">
      <c r="B3" s="240" t="s">
        <v>59</v>
      </c>
      <c r="C3" s="240"/>
      <c r="D3" s="240"/>
      <c r="E3" s="240"/>
      <c r="F3" s="240"/>
      <c r="G3" s="240"/>
      <c r="H3" s="240"/>
      <c r="I3" s="240"/>
      <c r="J3" s="240"/>
    </row>
    <row r="4" spans="2:12" ht="13.1">
      <c r="B4" s="240" t="s">
        <v>60</v>
      </c>
      <c r="C4" s="240"/>
      <c r="D4" s="240"/>
      <c r="E4" s="240"/>
      <c r="F4" s="240"/>
      <c r="G4" s="240"/>
      <c r="H4" s="240"/>
      <c r="I4" s="240"/>
      <c r="J4" s="240"/>
    </row>
    <row r="5" spans="2:12" ht="13.1">
      <c r="B5" s="240" t="s">
        <v>61</v>
      </c>
      <c r="C5" s="240"/>
      <c r="D5" s="240"/>
      <c r="E5" s="240"/>
      <c r="F5" s="240"/>
      <c r="G5" s="240"/>
      <c r="H5" s="240"/>
      <c r="I5" s="240"/>
      <c r="J5" s="240"/>
    </row>
    <row r="6" spans="2:12" ht="13.1">
      <c r="B6" s="22"/>
    </row>
    <row r="7" spans="2:12" ht="13.1">
      <c r="B7" s="241" t="s">
        <v>99</v>
      </c>
      <c r="C7" s="241"/>
      <c r="D7" s="241"/>
      <c r="E7" s="241"/>
      <c r="F7" s="241"/>
      <c r="G7" s="241"/>
      <c r="H7" s="241"/>
      <c r="I7" s="241"/>
      <c r="J7" s="241"/>
    </row>
    <row r="9" spans="2:12">
      <c r="B9" s="24" t="s">
        <v>62</v>
      </c>
      <c r="C9" s="251" t="s">
        <v>334</v>
      </c>
      <c r="D9" s="251"/>
      <c r="E9" s="251"/>
      <c r="F9" s="50"/>
      <c r="G9" s="24" t="s">
        <v>63</v>
      </c>
      <c r="H9" s="252" t="s">
        <v>333</v>
      </c>
      <c r="I9" s="252"/>
      <c r="J9" s="252"/>
    </row>
    <row r="10" spans="2:12">
      <c r="B10" s="24" t="s">
        <v>64</v>
      </c>
      <c r="C10" s="252" t="s">
        <v>148</v>
      </c>
      <c r="D10" s="252"/>
      <c r="E10" s="252"/>
      <c r="F10" s="51"/>
      <c r="G10" s="24" t="s">
        <v>2</v>
      </c>
      <c r="H10" s="252" t="s">
        <v>332</v>
      </c>
      <c r="I10" s="252"/>
      <c r="J10" s="252"/>
    </row>
    <row r="11" spans="2:12">
      <c r="B11" s="24" t="s">
        <v>65</v>
      </c>
      <c r="C11" s="83">
        <v>9</v>
      </c>
      <c r="D11" s="77">
        <v>1</v>
      </c>
      <c r="E11" s="62">
        <v>2025</v>
      </c>
      <c r="F11" s="50"/>
      <c r="G11" s="24" t="s">
        <v>88</v>
      </c>
      <c r="H11" s="83"/>
      <c r="I11" s="77"/>
      <c r="J11" s="62"/>
    </row>
    <row r="12" spans="2:12" ht="13.1" thickBot="1">
      <c r="C12" s="34" t="s">
        <v>169</v>
      </c>
      <c r="D12" s="34" t="s">
        <v>116</v>
      </c>
      <c r="E12" s="34" t="s">
        <v>117</v>
      </c>
      <c r="H12" s="34" t="s">
        <v>169</v>
      </c>
      <c r="I12" s="34" t="s">
        <v>116</v>
      </c>
      <c r="J12" s="34" t="s">
        <v>117</v>
      </c>
    </row>
    <row r="13" spans="2:12" ht="12.8" customHeight="1">
      <c r="B13" s="242"/>
      <c r="C13" s="243"/>
      <c r="D13" s="243"/>
      <c r="E13" s="243"/>
      <c r="F13" s="243"/>
      <c r="G13" s="243"/>
      <c r="H13" s="243"/>
      <c r="I13" s="243"/>
      <c r="J13" s="244"/>
    </row>
    <row r="14" spans="2:12" ht="12.8" customHeight="1">
      <c r="B14" s="245"/>
      <c r="C14" s="246"/>
      <c r="D14" s="246"/>
      <c r="E14" s="246"/>
      <c r="F14" s="246"/>
      <c r="G14" s="246"/>
      <c r="H14" s="246"/>
      <c r="I14" s="246"/>
      <c r="J14" s="247"/>
    </row>
    <row r="15" spans="2:12" ht="12.8" customHeight="1">
      <c r="B15" s="245"/>
      <c r="C15" s="246"/>
      <c r="D15" s="246"/>
      <c r="E15" s="246"/>
      <c r="F15" s="246"/>
      <c r="G15" s="246"/>
      <c r="H15" s="246"/>
      <c r="I15" s="246"/>
      <c r="J15" s="247"/>
      <c r="L15" s="52" t="s">
        <v>100</v>
      </c>
    </row>
    <row r="16" spans="2:12" ht="12.8" customHeight="1">
      <c r="B16" s="245"/>
      <c r="C16" s="246"/>
      <c r="D16" s="246"/>
      <c r="E16" s="246"/>
      <c r="F16" s="246"/>
      <c r="G16" s="246"/>
      <c r="H16" s="246"/>
      <c r="I16" s="246"/>
      <c r="J16" s="247"/>
      <c r="L16" s="52"/>
    </row>
    <row r="17" spans="2:13" ht="12.8" customHeight="1">
      <c r="B17" s="245"/>
      <c r="C17" s="246"/>
      <c r="D17" s="246"/>
      <c r="E17" s="246"/>
      <c r="F17" s="246"/>
      <c r="G17" s="246"/>
      <c r="H17" s="246"/>
      <c r="I17" s="246"/>
      <c r="J17" s="247"/>
      <c r="L17" s="52" t="s">
        <v>101</v>
      </c>
    </row>
    <row r="18" spans="2:13" ht="12.8" customHeight="1">
      <c r="B18" s="245"/>
      <c r="C18" s="246"/>
      <c r="D18" s="246"/>
      <c r="E18" s="246"/>
      <c r="F18" s="246"/>
      <c r="G18" s="246"/>
      <c r="H18" s="246"/>
      <c r="I18" s="246"/>
      <c r="J18" s="247"/>
      <c r="L18" s="52"/>
    </row>
    <row r="19" spans="2:13" ht="12.8" customHeight="1">
      <c r="B19" s="245"/>
      <c r="C19" s="246"/>
      <c r="D19" s="246"/>
      <c r="E19" s="246"/>
      <c r="F19" s="246"/>
      <c r="G19" s="246"/>
      <c r="H19" s="246"/>
      <c r="I19" s="246"/>
      <c r="J19" s="247"/>
      <c r="L19" s="52" t="s">
        <v>102</v>
      </c>
    </row>
    <row r="20" spans="2:13" ht="12.8" customHeight="1">
      <c r="B20" s="245"/>
      <c r="C20" s="246"/>
      <c r="D20" s="246"/>
      <c r="E20" s="246"/>
      <c r="F20" s="246"/>
      <c r="G20" s="246"/>
      <c r="H20" s="246"/>
      <c r="I20" s="246"/>
      <c r="J20" s="247"/>
    </row>
    <row r="21" spans="2:13" ht="12.8" customHeight="1">
      <c r="B21" s="245"/>
      <c r="C21" s="246"/>
      <c r="D21" s="246"/>
      <c r="E21" s="246"/>
      <c r="F21" s="246"/>
      <c r="G21" s="246"/>
      <c r="H21" s="246"/>
      <c r="I21" s="246"/>
      <c r="J21" s="247"/>
    </row>
    <row r="22" spans="2:13" ht="12.8" customHeight="1">
      <c r="B22" s="245"/>
      <c r="C22" s="246"/>
      <c r="D22" s="246"/>
      <c r="E22" s="246"/>
      <c r="F22" s="246"/>
      <c r="G22" s="246"/>
      <c r="H22" s="246"/>
      <c r="I22" s="246"/>
      <c r="J22" s="247"/>
    </row>
    <row r="23" spans="2:13" ht="12.8" customHeight="1">
      <c r="B23" s="245"/>
      <c r="C23" s="246"/>
      <c r="D23" s="246"/>
      <c r="E23" s="246"/>
      <c r="F23" s="246"/>
      <c r="G23" s="246"/>
      <c r="H23" s="246"/>
      <c r="I23" s="246"/>
      <c r="J23" s="247"/>
    </row>
    <row r="24" spans="2:13" ht="12.8" customHeight="1">
      <c r="B24" s="245"/>
      <c r="C24" s="246"/>
      <c r="D24" s="246"/>
      <c r="E24" s="246"/>
      <c r="F24" s="246"/>
      <c r="G24" s="246"/>
      <c r="H24" s="246"/>
      <c r="I24" s="246"/>
      <c r="J24" s="247"/>
    </row>
    <row r="25" spans="2:13" ht="12.8" customHeight="1">
      <c r="B25" s="245"/>
      <c r="C25" s="246"/>
      <c r="D25" s="246"/>
      <c r="E25" s="246"/>
      <c r="F25" s="246"/>
      <c r="G25" s="246"/>
      <c r="H25" s="246"/>
      <c r="I25" s="246"/>
      <c r="J25" s="247"/>
      <c r="M25" s="21" t="s">
        <v>324</v>
      </c>
    </row>
    <row r="26" spans="2:13" ht="12.8" customHeight="1">
      <c r="B26" s="245"/>
      <c r="C26" s="246"/>
      <c r="D26" s="246"/>
      <c r="E26" s="246"/>
      <c r="F26" s="246"/>
      <c r="G26" s="246"/>
      <c r="H26" s="246"/>
      <c r="I26" s="246"/>
      <c r="J26" s="247"/>
    </row>
    <row r="27" spans="2:13" ht="12.8" customHeight="1">
      <c r="B27" s="245"/>
      <c r="C27" s="246"/>
      <c r="D27" s="246"/>
      <c r="E27" s="246"/>
      <c r="F27" s="246"/>
      <c r="G27" s="246"/>
      <c r="H27" s="246"/>
      <c r="I27" s="246"/>
      <c r="J27" s="247"/>
    </row>
    <row r="28" spans="2:13" ht="12.8" customHeight="1">
      <c r="B28" s="245"/>
      <c r="C28" s="246"/>
      <c r="D28" s="246"/>
      <c r="E28" s="246"/>
      <c r="F28" s="246"/>
      <c r="G28" s="246"/>
      <c r="H28" s="246"/>
      <c r="I28" s="246"/>
      <c r="J28" s="247"/>
    </row>
    <row r="29" spans="2:13" ht="12.8" customHeight="1">
      <c r="B29" s="245"/>
      <c r="C29" s="246"/>
      <c r="D29" s="246"/>
      <c r="E29" s="246"/>
      <c r="F29" s="246"/>
      <c r="G29" s="246"/>
      <c r="H29" s="246"/>
      <c r="I29" s="246"/>
      <c r="J29" s="247"/>
      <c r="M29" s="21" t="s">
        <v>325</v>
      </c>
    </row>
    <row r="30" spans="2:13" ht="12.8" customHeight="1">
      <c r="B30" s="245"/>
      <c r="C30" s="246"/>
      <c r="D30" s="246"/>
      <c r="E30" s="246"/>
      <c r="F30" s="246"/>
      <c r="G30" s="246"/>
      <c r="H30" s="246"/>
      <c r="I30" s="246"/>
      <c r="J30" s="247"/>
    </row>
    <row r="31" spans="2:13" ht="12.8" customHeight="1">
      <c r="B31" s="245"/>
      <c r="C31" s="246"/>
      <c r="D31" s="246"/>
      <c r="E31" s="246"/>
      <c r="F31" s="246"/>
      <c r="G31" s="246"/>
      <c r="H31" s="246"/>
      <c r="I31" s="246"/>
      <c r="J31" s="247"/>
    </row>
    <row r="32" spans="2:13" ht="12.8" customHeight="1">
      <c r="B32" s="245"/>
      <c r="C32" s="246"/>
      <c r="D32" s="246"/>
      <c r="E32" s="246"/>
      <c r="F32" s="246"/>
      <c r="G32" s="246"/>
      <c r="H32" s="246"/>
      <c r="I32" s="246"/>
      <c r="J32" s="247"/>
    </row>
    <row r="33" spans="2:10" ht="12.8" customHeight="1">
      <c r="B33" s="245"/>
      <c r="C33" s="246"/>
      <c r="D33" s="246"/>
      <c r="E33" s="246"/>
      <c r="F33" s="246"/>
      <c r="G33" s="246"/>
      <c r="H33" s="246"/>
      <c r="I33" s="246"/>
      <c r="J33" s="247"/>
    </row>
    <row r="34" spans="2:10" ht="12.8" customHeight="1">
      <c r="B34" s="245"/>
      <c r="C34" s="246"/>
      <c r="D34" s="246"/>
      <c r="E34" s="246"/>
      <c r="F34" s="246"/>
      <c r="G34" s="246"/>
      <c r="H34" s="246"/>
      <c r="I34" s="246"/>
      <c r="J34" s="247"/>
    </row>
    <row r="35" spans="2:10" ht="12.8" customHeight="1">
      <c r="B35" s="245"/>
      <c r="C35" s="246"/>
      <c r="D35" s="246"/>
      <c r="E35" s="246"/>
      <c r="F35" s="246"/>
      <c r="G35" s="246"/>
      <c r="H35" s="246"/>
      <c r="I35" s="246"/>
      <c r="J35" s="247"/>
    </row>
    <row r="36" spans="2:10" ht="12.8" customHeight="1">
      <c r="B36" s="245"/>
      <c r="C36" s="246"/>
      <c r="D36" s="246"/>
      <c r="E36" s="246"/>
      <c r="F36" s="246"/>
      <c r="G36" s="246"/>
      <c r="H36" s="246"/>
      <c r="I36" s="246"/>
      <c r="J36" s="247"/>
    </row>
    <row r="37" spans="2:10" ht="12.8" customHeight="1">
      <c r="B37" s="245"/>
      <c r="C37" s="246"/>
      <c r="D37" s="246"/>
      <c r="E37" s="246"/>
      <c r="F37" s="246"/>
      <c r="G37" s="246"/>
      <c r="H37" s="246"/>
      <c r="I37" s="246"/>
      <c r="J37" s="247"/>
    </row>
    <row r="38" spans="2:10" ht="12.8" customHeight="1">
      <c r="B38" s="245"/>
      <c r="C38" s="246"/>
      <c r="D38" s="246"/>
      <c r="E38" s="246"/>
      <c r="F38" s="246"/>
      <c r="G38" s="246"/>
      <c r="H38" s="246"/>
      <c r="I38" s="246"/>
      <c r="J38" s="247"/>
    </row>
    <row r="39" spans="2:10" ht="12.8" customHeight="1">
      <c r="B39" s="245"/>
      <c r="C39" s="246"/>
      <c r="D39" s="246"/>
      <c r="E39" s="246"/>
      <c r="F39" s="246"/>
      <c r="G39" s="246"/>
      <c r="H39" s="246"/>
      <c r="I39" s="246"/>
      <c r="J39" s="247"/>
    </row>
    <row r="40" spans="2:10" ht="12.8" customHeight="1">
      <c r="B40" s="245"/>
      <c r="C40" s="246"/>
      <c r="D40" s="246"/>
      <c r="E40" s="246"/>
      <c r="F40" s="246"/>
      <c r="G40" s="246"/>
      <c r="H40" s="246"/>
      <c r="I40" s="246"/>
      <c r="J40" s="247"/>
    </row>
    <row r="41" spans="2:10" ht="12.8" customHeight="1">
      <c r="B41" s="245"/>
      <c r="C41" s="246"/>
      <c r="D41" s="246"/>
      <c r="E41" s="246"/>
      <c r="F41" s="246"/>
      <c r="G41" s="246"/>
      <c r="H41" s="246"/>
      <c r="I41" s="246"/>
      <c r="J41" s="247"/>
    </row>
    <row r="42" spans="2:10" ht="12.8" customHeight="1">
      <c r="B42" s="245"/>
      <c r="C42" s="246"/>
      <c r="D42" s="246"/>
      <c r="E42" s="246"/>
      <c r="F42" s="246"/>
      <c r="G42" s="246"/>
      <c r="H42" s="246"/>
      <c r="I42" s="246"/>
      <c r="J42" s="247"/>
    </row>
    <row r="43" spans="2:10" ht="12.8" customHeight="1">
      <c r="B43" s="245"/>
      <c r="C43" s="246"/>
      <c r="D43" s="246"/>
      <c r="E43" s="246"/>
      <c r="F43" s="246"/>
      <c r="G43" s="246"/>
      <c r="H43" s="246"/>
      <c r="I43" s="246"/>
      <c r="J43" s="247"/>
    </row>
    <row r="44" spans="2:10" ht="12.8" customHeight="1">
      <c r="B44" s="245"/>
      <c r="C44" s="246"/>
      <c r="D44" s="246"/>
      <c r="E44" s="246"/>
      <c r="F44" s="246"/>
      <c r="G44" s="246"/>
      <c r="H44" s="246"/>
      <c r="I44" s="246"/>
      <c r="J44" s="247"/>
    </row>
    <row r="45" spans="2:10" ht="12.8" customHeight="1">
      <c r="B45" s="245"/>
      <c r="C45" s="246"/>
      <c r="D45" s="246"/>
      <c r="E45" s="246"/>
      <c r="F45" s="246"/>
      <c r="G45" s="246"/>
      <c r="H45" s="246"/>
      <c r="I45" s="246"/>
      <c r="J45" s="247"/>
    </row>
    <row r="46" spans="2:10" ht="12.8" customHeight="1">
      <c r="B46" s="245"/>
      <c r="C46" s="246"/>
      <c r="D46" s="246"/>
      <c r="E46" s="246"/>
      <c r="F46" s="246"/>
      <c r="G46" s="246"/>
      <c r="H46" s="246"/>
      <c r="I46" s="246"/>
      <c r="J46" s="247"/>
    </row>
    <row r="47" spans="2:10" ht="12.8" customHeight="1">
      <c r="B47" s="245"/>
      <c r="C47" s="246"/>
      <c r="D47" s="246"/>
      <c r="E47" s="246"/>
      <c r="F47" s="246"/>
      <c r="G47" s="246"/>
      <c r="H47" s="246"/>
      <c r="I47" s="246"/>
      <c r="J47" s="247"/>
    </row>
    <row r="48" spans="2:10" ht="12.8" customHeight="1">
      <c r="B48" s="245"/>
      <c r="C48" s="246"/>
      <c r="D48" s="246"/>
      <c r="E48" s="246"/>
      <c r="F48" s="246"/>
      <c r="G48" s="246"/>
      <c r="H48" s="246"/>
      <c r="I48" s="246"/>
      <c r="J48" s="247"/>
    </row>
    <row r="49" spans="2:10" ht="12.8" customHeight="1">
      <c r="B49" s="245"/>
      <c r="C49" s="246"/>
      <c r="D49" s="246"/>
      <c r="E49" s="246"/>
      <c r="F49" s="246"/>
      <c r="G49" s="246"/>
      <c r="H49" s="246"/>
      <c r="I49" s="246"/>
      <c r="J49" s="247"/>
    </row>
    <row r="50" spans="2:10" ht="12.8" customHeight="1">
      <c r="B50" s="245"/>
      <c r="C50" s="246"/>
      <c r="D50" s="246"/>
      <c r="E50" s="246"/>
      <c r="F50" s="246"/>
      <c r="G50" s="246"/>
      <c r="H50" s="246"/>
      <c r="I50" s="246"/>
      <c r="J50" s="247"/>
    </row>
    <row r="51" spans="2:10" ht="12.8" customHeight="1">
      <c r="B51" s="245"/>
      <c r="C51" s="246"/>
      <c r="D51" s="246"/>
      <c r="E51" s="246"/>
      <c r="F51" s="246"/>
      <c r="G51" s="246"/>
      <c r="H51" s="246"/>
      <c r="I51" s="246"/>
      <c r="J51" s="247"/>
    </row>
    <row r="52" spans="2:10" ht="12.8" customHeight="1">
      <c r="B52" s="245"/>
      <c r="C52" s="246"/>
      <c r="D52" s="246"/>
      <c r="E52" s="246"/>
      <c r="F52" s="246"/>
      <c r="G52" s="246"/>
      <c r="H52" s="246"/>
      <c r="I52" s="246"/>
      <c r="J52" s="247"/>
    </row>
    <row r="53" spans="2:10" ht="12.8" customHeight="1" thickBot="1">
      <c r="B53" s="248"/>
      <c r="C53" s="249"/>
      <c r="D53" s="249"/>
      <c r="E53" s="249"/>
      <c r="F53" s="249"/>
      <c r="G53" s="249"/>
      <c r="H53" s="249"/>
      <c r="I53" s="249"/>
      <c r="J53" s="250"/>
    </row>
    <row r="54" spans="2:10">
      <c r="B54" s="98" t="s">
        <v>95</v>
      </c>
      <c r="C54" s="101">
        <v>14</v>
      </c>
      <c r="D54" s="101">
        <v>1</v>
      </c>
      <c r="E54" s="100">
        <v>2025</v>
      </c>
      <c r="F54" s="97"/>
    </row>
    <row r="55" spans="2:10">
      <c r="B55" s="21" t="s">
        <v>68</v>
      </c>
      <c r="C55" s="34" t="s">
        <v>169</v>
      </c>
      <c r="D55" s="34" t="s">
        <v>116</v>
      </c>
      <c r="E55" s="34" t="s">
        <v>117</v>
      </c>
    </row>
    <row r="59" spans="2:10" ht="13.1">
      <c r="B59" s="234" t="s">
        <v>96</v>
      </c>
      <c r="C59" s="234"/>
      <c r="D59" s="234"/>
      <c r="E59" s="234"/>
      <c r="F59" s="234"/>
      <c r="G59" s="49"/>
      <c r="H59" s="234" t="s">
        <v>97</v>
      </c>
      <c r="I59" s="234"/>
      <c r="J59" s="46"/>
    </row>
    <row r="60" spans="2:10">
      <c r="B60" s="235" t="s">
        <v>339</v>
      </c>
      <c r="C60" s="236"/>
      <c r="D60" s="236"/>
      <c r="E60" s="236"/>
      <c r="F60" s="237"/>
      <c r="G60" s="49"/>
      <c r="H60" s="235" t="s">
        <v>358</v>
      </c>
      <c r="I60" s="236"/>
      <c r="J60" s="237"/>
    </row>
    <row r="61" spans="2:10" ht="13.1">
      <c r="B61" s="234" t="s">
        <v>98</v>
      </c>
      <c r="C61" s="234"/>
      <c r="D61" s="234"/>
      <c r="E61" s="234"/>
      <c r="F61" s="234"/>
      <c r="G61" s="49"/>
      <c r="H61" s="234" t="s">
        <v>98</v>
      </c>
      <c r="I61" s="234"/>
      <c r="J61" s="46"/>
    </row>
  </sheetData>
  <mergeCells count="15">
    <mergeCell ref="B3:J3"/>
    <mergeCell ref="B4:J4"/>
    <mergeCell ref="B5:J5"/>
    <mergeCell ref="B7:J7"/>
    <mergeCell ref="B13:J53"/>
    <mergeCell ref="C9:E9"/>
    <mergeCell ref="C10:E10"/>
    <mergeCell ref="H10:J10"/>
    <mergeCell ref="H9:J9"/>
    <mergeCell ref="B59:F59"/>
    <mergeCell ref="H59:I59"/>
    <mergeCell ref="B60:F60"/>
    <mergeCell ref="B61:F61"/>
    <mergeCell ref="H61:I61"/>
    <mergeCell ref="H60:J60"/>
  </mergeCells>
  <dataValidations count="3">
    <dataValidation type="list" allowBlank="1" showInputMessage="1" showErrorMessage="1" sqref="E11 J11 E54" xr:uid="{00000000-0002-0000-0400-000000000000}">
      <formula1>AÑO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C11 H11 C54" xr:uid="{00000000-0002-0000-0400-000002000000}">
      <formula1>DIA</formula1>
    </dataValidation>
  </dataValidations>
  <pageMargins left="0.70866141732283472" right="0.70866141732283472" top="0.74803149606299213" bottom="0.74803149606299213" header="0.31496062992125984" footer="0.31496062992125984"/>
  <pageSetup scale="65" orientation="portrait" r:id="rId1"/>
  <colBreaks count="1" manualBreakCount="1">
    <brk id="8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ColWidth="11.44140625" defaultRowHeight="15.05"/>
  <cols>
    <col min="1" max="1" width="18.6640625" style="107" customWidth="1"/>
    <col min="2" max="2" width="26" style="107" customWidth="1"/>
    <col min="3" max="3" width="20.5546875" style="107" bestFit="1" customWidth="1"/>
    <col min="4" max="4" width="16.88671875" style="107" customWidth="1"/>
    <col min="5" max="5" width="15.5546875" style="107" bestFit="1" customWidth="1"/>
    <col min="6" max="6" width="21.109375" style="107" customWidth="1"/>
    <col min="7" max="7" width="18.109375" style="107" customWidth="1"/>
    <col min="8" max="52" width="11.44140625" style="107"/>
    <col min="53" max="53" width="23.44140625" style="107" customWidth="1"/>
    <col min="54" max="54" width="14.109375" style="107" customWidth="1"/>
    <col min="55" max="16384" width="11.44140625" style="107"/>
  </cols>
  <sheetData>
    <row r="1" spans="1:80">
      <c r="BB1" s="102">
        <v>1</v>
      </c>
      <c r="BC1" s="103">
        <v>2</v>
      </c>
      <c r="BD1" s="103">
        <v>3</v>
      </c>
      <c r="BE1" s="102">
        <v>4</v>
      </c>
      <c r="BF1" s="103">
        <v>5</v>
      </c>
      <c r="BG1" s="103">
        <v>6</v>
      </c>
      <c r="BH1" s="102">
        <v>7</v>
      </c>
      <c r="BI1" s="103">
        <v>8</v>
      </c>
      <c r="BJ1" s="103">
        <v>9</v>
      </c>
      <c r="BK1" s="102">
        <v>10</v>
      </c>
      <c r="BL1" s="103">
        <v>11</v>
      </c>
      <c r="BM1" s="103">
        <v>12</v>
      </c>
      <c r="BN1" s="102">
        <v>13</v>
      </c>
      <c r="BO1" s="103">
        <v>14</v>
      </c>
      <c r="BP1" s="103">
        <v>15</v>
      </c>
      <c r="BQ1" s="102">
        <v>16</v>
      </c>
      <c r="BR1" s="103">
        <v>17</v>
      </c>
      <c r="BS1" s="103">
        <v>18</v>
      </c>
      <c r="BT1" s="102">
        <v>19</v>
      </c>
      <c r="BU1" s="103">
        <v>20</v>
      </c>
      <c r="BV1" s="103">
        <v>21</v>
      </c>
      <c r="BW1" s="102">
        <v>22</v>
      </c>
      <c r="BX1" s="103">
        <v>23</v>
      </c>
      <c r="BY1" s="103">
        <v>24</v>
      </c>
      <c r="BZ1" s="102">
        <v>25</v>
      </c>
    </row>
    <row r="2" spans="1:80" s="102" customFormat="1" ht="46.5" customHeight="1">
      <c r="A2" s="103" t="s">
        <v>166</v>
      </c>
      <c r="B2" s="103" t="s">
        <v>167</v>
      </c>
      <c r="C2" s="104" t="s">
        <v>157</v>
      </c>
      <c r="D2" s="104" t="s">
        <v>154</v>
      </c>
      <c r="E2" s="104" t="s">
        <v>155</v>
      </c>
      <c r="F2" s="104" t="s">
        <v>112</v>
      </c>
      <c r="G2" s="104" t="s">
        <v>156</v>
      </c>
      <c r="H2" s="105" t="s">
        <v>254</v>
      </c>
      <c r="I2" s="105" t="s">
        <v>158</v>
      </c>
      <c r="J2" s="105" t="s">
        <v>159</v>
      </c>
      <c r="K2" s="105" t="s">
        <v>160</v>
      </c>
      <c r="L2" s="105" t="s">
        <v>161</v>
      </c>
      <c r="M2" s="105" t="s">
        <v>162</v>
      </c>
      <c r="N2" s="105" t="s">
        <v>27</v>
      </c>
      <c r="O2" s="105" t="s">
        <v>254</v>
      </c>
      <c r="P2" s="105" t="s">
        <v>158</v>
      </c>
      <c r="Q2" s="105" t="s">
        <v>159</v>
      </c>
      <c r="R2" s="105" t="s">
        <v>160</v>
      </c>
      <c r="S2" s="105" t="s">
        <v>161</v>
      </c>
      <c r="T2" s="105" t="s">
        <v>162</v>
      </c>
      <c r="U2" s="105" t="s">
        <v>27</v>
      </c>
      <c r="V2" s="105" t="s">
        <v>43</v>
      </c>
      <c r="W2" s="105" t="s">
        <v>254</v>
      </c>
      <c r="X2" s="105" t="s">
        <v>158</v>
      </c>
      <c r="Y2" s="105" t="s">
        <v>159</v>
      </c>
      <c r="Z2" s="105" t="s">
        <v>160</v>
      </c>
      <c r="AA2" s="105" t="s">
        <v>161</v>
      </c>
      <c r="AB2" s="105" t="s">
        <v>162</v>
      </c>
      <c r="AC2" s="105" t="s">
        <v>27</v>
      </c>
      <c r="AD2" s="105" t="s">
        <v>254</v>
      </c>
      <c r="AE2" s="105" t="s">
        <v>158</v>
      </c>
      <c r="AF2" s="105" t="s">
        <v>159</v>
      </c>
      <c r="AG2" s="105" t="s">
        <v>160</v>
      </c>
      <c r="AH2" s="105" t="s">
        <v>161</v>
      </c>
      <c r="AI2" s="105" t="s">
        <v>162</v>
      </c>
      <c r="AJ2" s="105" t="s">
        <v>27</v>
      </c>
      <c r="AK2" s="105" t="s">
        <v>163</v>
      </c>
      <c r="AL2" s="105" t="s">
        <v>254</v>
      </c>
      <c r="AM2" s="105" t="s">
        <v>158</v>
      </c>
      <c r="AN2" s="105" t="s">
        <v>159</v>
      </c>
      <c r="AO2" s="105" t="s">
        <v>160</v>
      </c>
      <c r="AP2" s="105" t="s">
        <v>161</v>
      </c>
      <c r="AQ2" s="105" t="s">
        <v>162</v>
      </c>
      <c r="AR2" s="105" t="s">
        <v>27</v>
      </c>
      <c r="AS2" s="105" t="s">
        <v>254</v>
      </c>
      <c r="AT2" s="105" t="s">
        <v>158</v>
      </c>
      <c r="AU2" s="105" t="s">
        <v>159</v>
      </c>
      <c r="AV2" s="105" t="s">
        <v>160</v>
      </c>
      <c r="AW2" s="105" t="s">
        <v>161</v>
      </c>
      <c r="AX2" s="105" t="s">
        <v>162</v>
      </c>
      <c r="AY2" s="105" t="s">
        <v>27</v>
      </c>
      <c r="AZ2" s="105" t="s">
        <v>164</v>
      </c>
      <c r="BA2" s="102" t="s">
        <v>165</v>
      </c>
      <c r="BB2" s="106" t="s">
        <v>168</v>
      </c>
      <c r="BC2" s="106" t="s">
        <v>168</v>
      </c>
      <c r="BD2" s="106" t="s">
        <v>168</v>
      </c>
      <c r="BE2" s="106" t="s">
        <v>168</v>
      </c>
      <c r="BF2" s="106" t="s">
        <v>168</v>
      </c>
      <c r="BG2" s="106" t="s">
        <v>168</v>
      </c>
      <c r="BH2" s="106" t="s">
        <v>168</v>
      </c>
      <c r="BI2" s="106" t="s">
        <v>168</v>
      </c>
      <c r="BJ2" s="106" t="s">
        <v>168</v>
      </c>
      <c r="BK2" s="106" t="s">
        <v>168</v>
      </c>
      <c r="BL2" s="106" t="s">
        <v>168</v>
      </c>
      <c r="BM2" s="106" t="s">
        <v>168</v>
      </c>
      <c r="BN2" s="106" t="s">
        <v>168</v>
      </c>
      <c r="BO2" s="106" t="s">
        <v>168</v>
      </c>
      <c r="BP2" s="106" t="s">
        <v>168</v>
      </c>
      <c r="BQ2" s="106" t="s">
        <v>168</v>
      </c>
      <c r="BR2" s="106" t="s">
        <v>168</v>
      </c>
      <c r="BS2" s="106" t="s">
        <v>168</v>
      </c>
      <c r="BT2" s="106" t="s">
        <v>168</v>
      </c>
      <c r="BU2" s="106" t="s">
        <v>168</v>
      </c>
      <c r="BV2" s="106" t="s">
        <v>168</v>
      </c>
      <c r="BW2" s="106" t="s">
        <v>168</v>
      </c>
      <c r="BX2" s="106" t="s">
        <v>168</v>
      </c>
      <c r="BY2" s="106" t="s">
        <v>168</v>
      </c>
      <c r="BZ2" s="106" t="s">
        <v>168</v>
      </c>
      <c r="CA2" s="103"/>
      <c r="CB2" s="106"/>
    </row>
    <row r="3" spans="1:80">
      <c r="A3" s="107" t="str">
        <f>INF_INICIAL!F13</f>
        <v>OTRAS</v>
      </c>
      <c r="B3" s="111">
        <f>MAX(VARIABLES!AB14:AB500)</f>
        <v>45666</v>
      </c>
      <c r="C3" s="110" t="str">
        <f>INF_INICIAL!G18</f>
        <v>ENFERMEDAD RESPIRATORIA VIRAL</v>
      </c>
      <c r="D3" s="110" t="str">
        <f>CONCATENATE(LISTADO_NOM!C9,"/",LISTADO_NOM!D9,"/",LISTADO_NOM!E9)</f>
        <v>9/1/2025</v>
      </c>
      <c r="E3" s="110" t="str">
        <f>LISTADO_NOM!C7</f>
        <v>JUR 14 TEPEJI</v>
      </c>
      <c r="F3" s="110" t="str">
        <f>LISTADO_NOM!I7</f>
        <v>63 TEPEJI DEL RIO DE OCAMPO</v>
      </c>
      <c r="G3" s="110" t="str">
        <f>LISTADO_NOM!I8</f>
        <v>SAN IGNACIO NOPALA</v>
      </c>
      <c r="H3" s="110">
        <f>COUNTIFS(Sexo_LN,"M",Edad,"&lt;"&amp;1,NOTIFICACION,0)</f>
        <v>0</v>
      </c>
      <c r="I3" s="110">
        <f>COUNTIFS(Sexo_LN,"M",Edad,"&gt;="&amp;1,Edad,"&lt;="&amp;4,NOTIFICACION,0)</f>
        <v>0</v>
      </c>
      <c r="J3" s="110">
        <f>COUNTIFS(Sexo_LN,"M",Edad,"&gt;="&amp;5,Edad,"&lt;="&amp;14,NOTIFICACION,0)</f>
        <v>0</v>
      </c>
      <c r="K3" s="110">
        <f>COUNTIFS(Sexo_LN,"M",Edad,"&gt;="&amp;15,Edad,"&lt;="&amp;24,NOTIFICACION,0)</f>
        <v>0</v>
      </c>
      <c r="L3" s="110">
        <f>COUNTIFS(Sexo_LN,"M",Edad,"&gt;="&amp;25,Edad,"&lt;="&amp;44,NOTIFICACION,0)</f>
        <v>0</v>
      </c>
      <c r="M3" s="110">
        <f>COUNTIFS(Sexo_LN,"M",Edad,"&gt;="&amp;45,Edad,"&lt;="&amp;64,NOTIFICACION,0)</f>
        <v>0</v>
      </c>
      <c r="N3" s="110">
        <f>COUNTIFS(Sexo_LN,"M",Edad,"&gt;="&amp;65,NOTIFICACION,0)</f>
        <v>0</v>
      </c>
      <c r="O3" s="110">
        <f>COUNTIFS(Sexo_LN,"F",Edad,"&lt;"&amp;1,NOTIFICACION,0)</f>
        <v>0</v>
      </c>
      <c r="P3" s="110">
        <f>COUNTIFS(Sexo_LN,"F",Edad,"&gt;="&amp;1,Edad,"&lt;="&amp;4,NOTIFICACION,0)</f>
        <v>0</v>
      </c>
      <c r="Q3" s="110">
        <f>COUNTIFS(Sexo_LN,"F",Edad,"&gt;="&amp;5,Edad,"&lt;="&amp;14,NOTIFICACION,0)</f>
        <v>0</v>
      </c>
      <c r="R3" s="110">
        <f>COUNTIFS(Sexo_LN,"F",Edad,"&gt;="&amp;15,Edad,"&lt;="&amp;24,NOTIFICACION,0)</f>
        <v>0</v>
      </c>
      <c r="S3" s="110">
        <f>COUNTIFS(Sexo_LN,"F",Edad,"&gt;="&amp;25,Edad,"&lt;="&amp;44,NOTIFICACION,0)</f>
        <v>0</v>
      </c>
      <c r="T3" s="110">
        <f>COUNTIFS(Sexo_LN,"F",Edad,"&gt;="&amp;45,Edad,"&lt;="&amp;64,NOTIFICACION,0)</f>
        <v>0</v>
      </c>
      <c r="U3" s="110">
        <f>COUNTIFS(Sexo_LN,"F",Edad,"&gt;="&amp;65,NOTIFICACION,0)</f>
        <v>0</v>
      </c>
      <c r="V3" s="110">
        <f>SUM(H3:U3)</f>
        <v>0</v>
      </c>
      <c r="W3" s="110">
        <f>COUNTIFS(Sexo_LN,"M",Edad,"&lt;"&amp;1,NOTIFICACION,"&lt;&gt;"&amp;0)</f>
        <v>0</v>
      </c>
      <c r="X3" s="110">
        <f>COUNTIFS(Sexo_LN,"M",Edad,"&gt;="&amp;1,Edad,"&lt;="&amp;4,NOTIFICACION,"&lt;&gt;"&amp;0)</f>
        <v>0</v>
      </c>
      <c r="Y3" s="110">
        <f>COUNTIFS(Sexo_LN,"M",Edad,"&gt;="&amp;5,Edad,"&lt;="&amp;14,NOTIFICACION,"&lt;&gt;"&amp;0)</f>
        <v>0</v>
      </c>
      <c r="Z3" s="110">
        <f>COUNTIFS(Sexo_LN,"M",Edad,"&gt;="&amp;15,Edad,"&lt;="&amp;24,NOTIFICACION,"&lt;&gt;"&amp;0)</f>
        <v>0</v>
      </c>
      <c r="AA3" s="110">
        <f>COUNTIFS(Sexo_LN,"M",Edad,"&gt;="&amp;25,Edad,"&lt;="&amp;44,NOTIFICACION,"&lt;&gt;"&amp;0)</f>
        <v>0</v>
      </c>
      <c r="AB3" s="110">
        <f>COUNTIFS(Sexo_LN,"M",Edad,"&gt;="&amp;45,Edad,"&lt;="&amp;64,NOTIFICACION,"&lt;&gt;"&amp;0)</f>
        <v>0</v>
      </c>
      <c r="AC3" s="110">
        <f>COUNTIFS(Sexo_LN,"M",Edad,"&gt;="&amp;65,NOTIFICACION,"&lt;&gt;"&amp;0)</f>
        <v>0</v>
      </c>
      <c r="AD3" s="110">
        <f>COUNTIFS(Sexo_LN,"F",Edad,"&lt;"&amp;1,NOTIFICACION,"&lt;&gt;"&amp;0)</f>
        <v>0</v>
      </c>
      <c r="AE3" s="110">
        <f>COUNTIFS(Sexo_LN,"F",Edad,"&gt;="&amp;1,Edad,"&lt;="&amp;4,NOTIFICACION,"&lt;&gt;"&amp;0)</f>
        <v>0</v>
      </c>
      <c r="AF3" s="110">
        <f>COUNTIFS(Sexo_LN,"F",Edad,"&gt;="&amp;5,Edad,"&lt;="&amp;14,NOTIFICACION,"&lt;&gt;"&amp;0)</f>
        <v>1</v>
      </c>
      <c r="AG3" s="110">
        <f>COUNTIFS(Sexo_LN,"F",Edad,"&gt;="&amp;15,Edad,"&lt;="&amp;24,NOTIFICACION,"&lt;&gt;"&amp;0)</f>
        <v>0</v>
      </c>
      <c r="AH3" s="110">
        <f>COUNTIFS(Sexo_LN,"F",Edad,"&gt;="&amp;25,Edad,"&lt;="&amp;44,NOTIFICACION,"&lt;&gt;"&amp;0)</f>
        <v>1</v>
      </c>
      <c r="AI3" s="110">
        <f>COUNTIFS(Sexo_LN,"F",Edad,"&gt;="&amp;45,Edad,"&lt;="&amp;64,NOTIFICACION,"&lt;&gt;"&amp;0)</f>
        <v>0</v>
      </c>
      <c r="AJ3" s="110">
        <f>COUNTIFS(Sexo_LN,"F",Edad,"&gt;="&amp;65,NOTIFICACION,"&lt;&gt;"&amp;0)</f>
        <v>0</v>
      </c>
      <c r="AK3" s="110">
        <f>SUM(W3:AJ3)</f>
        <v>2</v>
      </c>
      <c r="AL3" s="110">
        <f t="shared" ref="AL3:AR3" si="0">W3+H3</f>
        <v>0</v>
      </c>
      <c r="AM3" s="110">
        <f t="shared" si="0"/>
        <v>0</v>
      </c>
      <c r="AN3" s="110">
        <f t="shared" si="0"/>
        <v>0</v>
      </c>
      <c r="AO3" s="110">
        <f t="shared" si="0"/>
        <v>0</v>
      </c>
      <c r="AP3" s="110">
        <f t="shared" si="0"/>
        <v>0</v>
      </c>
      <c r="AQ3" s="110">
        <f t="shared" si="0"/>
        <v>0</v>
      </c>
      <c r="AR3" s="110">
        <f t="shared" si="0"/>
        <v>0</v>
      </c>
      <c r="AS3" s="110">
        <f>O3+AD3</f>
        <v>0</v>
      </c>
      <c r="AT3" s="110">
        <f t="shared" ref="AT3:AY3" si="1">P3+AE3</f>
        <v>0</v>
      </c>
      <c r="AU3" s="110">
        <f t="shared" si="1"/>
        <v>1</v>
      </c>
      <c r="AV3" s="110">
        <f t="shared" si="1"/>
        <v>0</v>
      </c>
      <c r="AW3" s="110">
        <f t="shared" si="1"/>
        <v>1</v>
      </c>
      <c r="AX3" s="110">
        <f t="shared" si="1"/>
        <v>0</v>
      </c>
      <c r="AY3" s="110">
        <f t="shared" si="1"/>
        <v>0</v>
      </c>
      <c r="AZ3" s="110">
        <f>SUM(AL3:AY3)</f>
        <v>2</v>
      </c>
      <c r="BA3" s="107" t="str">
        <f>LISTADO_NOM!C8</f>
        <v>FAMILIAR</v>
      </c>
      <c r="BB3" s="107">
        <f t="shared" ref="BB3:BZ3" si="2">COUNTIF(NOTIFICACION,BB1)</f>
        <v>0</v>
      </c>
      <c r="BC3" s="107">
        <f t="shared" si="2"/>
        <v>0</v>
      </c>
      <c r="BD3" s="107">
        <f t="shared" si="2"/>
        <v>0</v>
      </c>
      <c r="BE3" s="107">
        <f t="shared" si="2"/>
        <v>0</v>
      </c>
      <c r="BF3" s="107">
        <f t="shared" si="2"/>
        <v>0</v>
      </c>
      <c r="BG3" s="107">
        <f t="shared" si="2"/>
        <v>0</v>
      </c>
      <c r="BH3" s="107">
        <f t="shared" si="2"/>
        <v>0</v>
      </c>
      <c r="BI3" s="107">
        <f t="shared" si="2"/>
        <v>0</v>
      </c>
      <c r="BJ3" s="107">
        <f t="shared" si="2"/>
        <v>0</v>
      </c>
      <c r="BK3" s="107">
        <f t="shared" si="2"/>
        <v>0</v>
      </c>
      <c r="BL3" s="107">
        <f t="shared" si="2"/>
        <v>0</v>
      </c>
      <c r="BM3" s="107">
        <f t="shared" si="2"/>
        <v>0</v>
      </c>
      <c r="BN3" s="107">
        <f t="shared" si="2"/>
        <v>0</v>
      </c>
      <c r="BO3" s="107">
        <f t="shared" si="2"/>
        <v>0</v>
      </c>
      <c r="BP3" s="107">
        <f t="shared" si="2"/>
        <v>0</v>
      </c>
      <c r="BQ3" s="107">
        <f t="shared" si="2"/>
        <v>0</v>
      </c>
      <c r="BR3" s="107">
        <f t="shared" si="2"/>
        <v>0</v>
      </c>
      <c r="BS3" s="107">
        <f t="shared" si="2"/>
        <v>0</v>
      </c>
      <c r="BT3" s="107">
        <f t="shared" si="2"/>
        <v>0</v>
      </c>
      <c r="BU3" s="107">
        <f t="shared" si="2"/>
        <v>0</v>
      </c>
      <c r="BV3" s="107">
        <f t="shared" si="2"/>
        <v>0</v>
      </c>
      <c r="BW3" s="107">
        <f t="shared" si="2"/>
        <v>0</v>
      </c>
      <c r="BX3" s="107">
        <f t="shared" si="2"/>
        <v>0</v>
      </c>
      <c r="BY3" s="107">
        <f t="shared" si="2"/>
        <v>0</v>
      </c>
      <c r="BZ3" s="107">
        <f t="shared" si="2"/>
        <v>0</v>
      </c>
    </row>
  </sheetData>
  <dataValidations disablePrompts="1"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RowHeight="15.05"/>
  <cols>
    <col min="3" max="3" width="19.109375" customWidth="1"/>
    <col min="20" max="20" width="44" bestFit="1" customWidth="1"/>
    <col min="21" max="21" width="20.5546875" bestFit="1" customWidth="1"/>
    <col min="23" max="23" width="18.109375" customWidth="1"/>
    <col min="26" max="26" width="12.33203125" customWidth="1"/>
    <col min="27" max="27" width="17" style="88" bestFit="1" customWidth="1"/>
    <col min="28" max="28" width="17" style="88" customWidth="1"/>
  </cols>
  <sheetData>
    <row r="1" spans="1:31">
      <c r="A1" s="63" t="s">
        <v>85</v>
      </c>
      <c r="B1" t="s">
        <v>114</v>
      </c>
      <c r="C1" t="s">
        <v>262</v>
      </c>
      <c r="K1" t="s">
        <v>272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s="63" t="s">
        <v>109</v>
      </c>
      <c r="T1" t="s">
        <v>170</v>
      </c>
      <c r="U1" t="s">
        <v>304</v>
      </c>
    </row>
    <row r="2" spans="1:31" ht="18.350000000000001">
      <c r="A2">
        <v>0.01</v>
      </c>
      <c r="B2">
        <v>0</v>
      </c>
      <c r="C2" t="s">
        <v>120</v>
      </c>
      <c r="D2">
        <v>0</v>
      </c>
      <c r="K2">
        <v>1</v>
      </c>
      <c r="L2">
        <v>1</v>
      </c>
      <c r="M2">
        <v>1</v>
      </c>
      <c r="N2">
        <v>2018</v>
      </c>
      <c r="O2" t="s">
        <v>121</v>
      </c>
      <c r="P2" t="s">
        <v>170</v>
      </c>
      <c r="Q2" s="63" t="s">
        <v>122</v>
      </c>
      <c r="T2" t="s">
        <v>171</v>
      </c>
      <c r="U2" t="s">
        <v>305</v>
      </c>
      <c r="W2" t="s">
        <v>148</v>
      </c>
      <c r="AE2" s="89"/>
    </row>
    <row r="3" spans="1:31">
      <c r="A3">
        <v>0.02</v>
      </c>
      <c r="B3">
        <v>1</v>
      </c>
      <c r="C3" t="s">
        <v>273</v>
      </c>
      <c r="D3">
        <v>1</v>
      </c>
      <c r="K3">
        <v>2</v>
      </c>
      <c r="L3">
        <v>2</v>
      </c>
      <c r="M3">
        <v>2</v>
      </c>
      <c r="N3">
        <v>2019</v>
      </c>
      <c r="O3" t="s">
        <v>123</v>
      </c>
      <c r="P3" t="s">
        <v>171</v>
      </c>
      <c r="Q3" s="63" t="s">
        <v>124</v>
      </c>
      <c r="T3" t="s">
        <v>172</v>
      </c>
      <c r="U3" t="s">
        <v>306</v>
      </c>
      <c r="W3" t="s">
        <v>111</v>
      </c>
      <c r="X3" t="s">
        <v>263</v>
      </c>
    </row>
    <row r="4" spans="1:31">
      <c r="A4">
        <v>0.03</v>
      </c>
      <c r="C4" t="s">
        <v>274</v>
      </c>
      <c r="D4">
        <v>2</v>
      </c>
      <c r="K4">
        <v>3</v>
      </c>
      <c r="L4">
        <v>3</v>
      </c>
      <c r="M4">
        <v>3</v>
      </c>
      <c r="N4">
        <v>2020</v>
      </c>
      <c r="O4" t="s">
        <v>125</v>
      </c>
      <c r="P4" t="s">
        <v>172</v>
      </c>
      <c r="Q4" s="63" t="s">
        <v>126</v>
      </c>
      <c r="T4" t="s">
        <v>173</v>
      </c>
      <c r="U4" t="s">
        <v>305</v>
      </c>
      <c r="W4" t="s">
        <v>150</v>
      </c>
      <c r="X4" t="s">
        <v>264</v>
      </c>
    </row>
    <row r="5" spans="1:31">
      <c r="A5">
        <v>0.04</v>
      </c>
      <c r="C5" t="s">
        <v>275</v>
      </c>
      <c r="D5">
        <v>3</v>
      </c>
      <c r="K5">
        <v>4</v>
      </c>
      <c r="L5">
        <v>4</v>
      </c>
      <c r="M5">
        <v>4</v>
      </c>
      <c r="N5">
        <v>2021</v>
      </c>
      <c r="O5" t="s">
        <v>127</v>
      </c>
      <c r="P5" t="s">
        <v>173</v>
      </c>
      <c r="Q5" s="63" t="s">
        <v>128</v>
      </c>
      <c r="T5" t="s">
        <v>174</v>
      </c>
      <c r="U5" t="s">
        <v>307</v>
      </c>
      <c r="W5" t="s">
        <v>151</v>
      </c>
      <c r="X5" t="s">
        <v>265</v>
      </c>
    </row>
    <row r="6" spans="1:31">
      <c r="A6">
        <v>0.05</v>
      </c>
      <c r="C6" t="s">
        <v>276</v>
      </c>
      <c r="D6">
        <v>4</v>
      </c>
      <c r="K6">
        <v>5</v>
      </c>
      <c r="L6">
        <v>5</v>
      </c>
      <c r="M6">
        <v>5</v>
      </c>
      <c r="N6">
        <v>2022</v>
      </c>
      <c r="O6" t="s">
        <v>129</v>
      </c>
      <c r="P6" t="s">
        <v>174</v>
      </c>
      <c r="Q6" s="63" t="s">
        <v>130</v>
      </c>
      <c r="T6" t="s">
        <v>175</v>
      </c>
      <c r="U6" t="s">
        <v>308</v>
      </c>
      <c r="W6" t="s">
        <v>152</v>
      </c>
      <c r="X6" t="s">
        <v>266</v>
      </c>
    </row>
    <row r="7" spans="1:31">
      <c r="A7">
        <v>0.06</v>
      </c>
      <c r="C7" t="s">
        <v>277</v>
      </c>
      <c r="D7">
        <v>5</v>
      </c>
      <c r="K7">
        <v>6</v>
      </c>
      <c r="L7">
        <v>6</v>
      </c>
      <c r="M7">
        <v>6</v>
      </c>
      <c r="N7">
        <v>2023</v>
      </c>
      <c r="O7" t="s">
        <v>131</v>
      </c>
      <c r="P7" t="s">
        <v>175</v>
      </c>
      <c r="Q7" s="63" t="s">
        <v>132</v>
      </c>
      <c r="T7" t="s">
        <v>176</v>
      </c>
      <c r="U7" t="s">
        <v>309</v>
      </c>
      <c r="W7" t="s">
        <v>113</v>
      </c>
      <c r="X7" t="s">
        <v>321</v>
      </c>
    </row>
    <row r="8" spans="1:31">
      <c r="A8">
        <v>7.0000000000000007E-2</v>
      </c>
      <c r="C8" t="s">
        <v>278</v>
      </c>
      <c r="D8">
        <v>6</v>
      </c>
      <c r="K8">
        <v>7</v>
      </c>
      <c r="L8">
        <v>7</v>
      </c>
      <c r="M8">
        <v>7</v>
      </c>
      <c r="N8">
        <v>2024</v>
      </c>
      <c r="O8" t="s">
        <v>133</v>
      </c>
      <c r="P8" t="s">
        <v>176</v>
      </c>
      <c r="Q8" s="63" t="s">
        <v>134</v>
      </c>
      <c r="T8" t="s">
        <v>177</v>
      </c>
      <c r="U8" t="s">
        <v>309</v>
      </c>
      <c r="X8" t="s">
        <v>267</v>
      </c>
    </row>
    <row r="9" spans="1:31">
      <c r="A9">
        <v>0.08</v>
      </c>
      <c r="C9" t="s">
        <v>279</v>
      </c>
      <c r="D9">
        <v>7</v>
      </c>
      <c r="K9">
        <v>8</v>
      </c>
      <c r="L9">
        <v>8</v>
      </c>
      <c r="M9">
        <v>8</v>
      </c>
      <c r="N9">
        <v>2025</v>
      </c>
      <c r="O9" t="s">
        <v>135</v>
      </c>
      <c r="P9" t="s">
        <v>177</v>
      </c>
      <c r="Q9" s="63" t="s">
        <v>136</v>
      </c>
      <c r="T9" t="s">
        <v>178</v>
      </c>
      <c r="U9" t="s">
        <v>306</v>
      </c>
      <c r="X9" t="s">
        <v>268</v>
      </c>
    </row>
    <row r="10" spans="1:31">
      <c r="A10">
        <v>0.09</v>
      </c>
      <c r="C10" t="s">
        <v>280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137</v>
      </c>
      <c r="P10" t="s">
        <v>178</v>
      </c>
      <c r="T10" t="s">
        <v>179</v>
      </c>
      <c r="U10" t="s">
        <v>307</v>
      </c>
      <c r="X10" t="s">
        <v>156</v>
      </c>
    </row>
    <row r="11" spans="1:31">
      <c r="A11" s="64">
        <v>0.1</v>
      </c>
      <c r="C11" t="s">
        <v>281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138</v>
      </c>
      <c r="P11" t="s">
        <v>179</v>
      </c>
      <c r="T11" t="s">
        <v>180</v>
      </c>
      <c r="U11" t="s">
        <v>310</v>
      </c>
      <c r="X11" t="s">
        <v>269</v>
      </c>
    </row>
    <row r="12" spans="1:31">
      <c r="A12">
        <v>0.11</v>
      </c>
      <c r="C12" t="s">
        <v>282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139</v>
      </c>
      <c r="P12" t="s">
        <v>180</v>
      </c>
      <c r="T12" t="s">
        <v>181</v>
      </c>
      <c r="U12" t="s">
        <v>304</v>
      </c>
    </row>
    <row r="13" spans="1:31">
      <c r="A13">
        <v>1</v>
      </c>
      <c r="C13" t="s">
        <v>283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140</v>
      </c>
      <c r="P13" t="s">
        <v>181</v>
      </c>
      <c r="T13" t="s">
        <v>182</v>
      </c>
      <c r="U13" t="s">
        <v>307</v>
      </c>
      <c r="AA13" s="88" t="s">
        <v>271</v>
      </c>
      <c r="AB13" s="88" t="s">
        <v>270</v>
      </c>
      <c r="AC13" t="s">
        <v>153</v>
      </c>
      <c r="AD13">
        <f>COUNT(AB14:AB300)</f>
        <v>1</v>
      </c>
    </row>
    <row r="14" spans="1:31">
      <c r="A14">
        <v>2</v>
      </c>
      <c r="C14" t="s">
        <v>284</v>
      </c>
      <c r="D14">
        <v>12</v>
      </c>
      <c r="K14">
        <v>13</v>
      </c>
      <c r="L14">
        <v>13</v>
      </c>
      <c r="N14">
        <v>2030</v>
      </c>
      <c r="O14" t="s">
        <v>141</v>
      </c>
      <c r="P14" t="s">
        <v>182</v>
      </c>
      <c r="T14" t="s">
        <v>183</v>
      </c>
      <c r="U14" t="s">
        <v>311</v>
      </c>
      <c r="Z14" s="88">
        <f>IF(LISTADO_NOM!K14="","",DATE(LISTADO_NOM!M14,LISTADO_NOM!L14,LISTADO_NOM!K14))</f>
        <v>45666</v>
      </c>
      <c r="AA14" s="88">
        <f>IFERROR(INDEX($Z$14:$Z$300, MATCH(0, INDEX(COUNTIF($AA$13:AA13, $Z$14:$Z$300), 0, 0), 0)), "")</f>
        <v>45666</v>
      </c>
      <c r="AB14" s="88">
        <f t="shared" ref="AB14:AB77" si="0">IF(AA14="","",SMALL(ORDENA_,AC14))</f>
        <v>45666</v>
      </c>
      <c r="AC14">
        <v>1</v>
      </c>
      <c r="AE14">
        <f>IF(LISTADO_NOM!AI14="","",VLOOKUP(LISTADO_NOM!AI14,SEGUIMIENTOS,2,FALSE))</f>
        <v>0</v>
      </c>
    </row>
    <row r="15" spans="1:31">
      <c r="A15">
        <v>3</v>
      </c>
      <c r="C15" t="s">
        <v>285</v>
      </c>
      <c r="D15">
        <v>13</v>
      </c>
      <c r="K15">
        <v>14</v>
      </c>
      <c r="L15">
        <v>14</v>
      </c>
      <c r="N15">
        <v>2031</v>
      </c>
      <c r="O15" t="s">
        <v>142</v>
      </c>
      <c r="P15" t="s">
        <v>183</v>
      </c>
      <c r="T15" t="s">
        <v>184</v>
      </c>
      <c r="U15" t="s">
        <v>308</v>
      </c>
      <c r="Z15" s="88">
        <f>IF(LISTADO_NOM!K15="","",DATE(LISTADO_NOM!M15,LISTADO_NOM!L15,LISTADO_NOM!K15))</f>
        <v>45666</v>
      </c>
      <c r="AA15" s="88" t="str">
        <f>IFERROR(INDEX($Z$14:$Z$300, MATCH(0, INDEX(COUNTIF($AA$13:AA14, $Z$14:$Z$300), 0, 0), 0)), "")</f>
        <v/>
      </c>
      <c r="AB15" s="88" t="str">
        <f t="shared" si="0"/>
        <v/>
      </c>
      <c r="AC15">
        <v>2</v>
      </c>
      <c r="AE15">
        <f>IF(LISTADO_NOM!AI15="","",VLOOKUP(LISTADO_NOM!AI15,SEGUIMIENTOS,2,FALSE))</f>
        <v>0</v>
      </c>
    </row>
    <row r="16" spans="1:31">
      <c r="A16">
        <v>4</v>
      </c>
      <c r="C16" t="s">
        <v>286</v>
      </c>
      <c r="D16">
        <v>14</v>
      </c>
      <c r="K16">
        <v>15</v>
      </c>
      <c r="L16">
        <v>15</v>
      </c>
      <c r="N16">
        <v>2032</v>
      </c>
      <c r="O16" t="s">
        <v>143</v>
      </c>
      <c r="P16" t="s">
        <v>184</v>
      </c>
      <c r="T16" t="s">
        <v>185</v>
      </c>
      <c r="U16" t="s">
        <v>312</v>
      </c>
      <c r="Z16" s="88" t="str">
        <f>IF(LISTADO_NOM!K16="","",DATE(LISTADO_NOM!M16,LISTADO_NOM!L16,LISTADO_NOM!K16))</f>
        <v/>
      </c>
      <c r="AA16" s="88" t="str">
        <f>IFERROR(INDEX($Z$14:$Z$300, MATCH(0, INDEX(COUNTIF($AA$13:AA15, $Z$14:$Z$300), 0, 0), 0)), "")</f>
        <v/>
      </c>
      <c r="AB16" s="88" t="str">
        <f t="shared" si="0"/>
        <v/>
      </c>
      <c r="AC16">
        <v>3</v>
      </c>
      <c r="AE16" t="str">
        <f>IF(LISTADO_NOM!AI16="","",VLOOKUP(LISTADO_NOM!AI16,SEGUIMIENTOS,2,FALSE))</f>
        <v/>
      </c>
    </row>
    <row r="17" spans="1:31">
      <c r="A17">
        <v>5</v>
      </c>
      <c r="C17" t="s">
        <v>287</v>
      </c>
      <c r="D17">
        <v>15</v>
      </c>
      <c r="K17">
        <v>16</v>
      </c>
      <c r="L17">
        <v>16</v>
      </c>
      <c r="O17" t="s">
        <v>144</v>
      </c>
      <c r="P17" t="s">
        <v>185</v>
      </c>
      <c r="T17" t="s">
        <v>186</v>
      </c>
      <c r="U17" t="s">
        <v>313</v>
      </c>
      <c r="Z17" s="88" t="str">
        <f>IF(LISTADO_NOM!K17="","",DATE(LISTADO_NOM!M17,LISTADO_NOM!L17,LISTADO_NOM!K17))</f>
        <v/>
      </c>
      <c r="AA17" s="88" t="str">
        <f>IFERROR(INDEX($Z$14:$Z$300, MATCH(0, INDEX(COUNTIF($AA$13:AA16, $Z$14:$Z$300), 0, 0), 0)), "")</f>
        <v/>
      </c>
      <c r="AB17" s="88" t="str">
        <f t="shared" si="0"/>
        <v/>
      </c>
      <c r="AC17">
        <v>4</v>
      </c>
      <c r="AE17" t="str">
        <f>IF(LISTADO_NOM!AI17="","",VLOOKUP(LISTADO_NOM!AI17,SEGUIMIENTOS,2,FALSE))</f>
        <v/>
      </c>
    </row>
    <row r="18" spans="1:31">
      <c r="A18">
        <v>6</v>
      </c>
      <c r="C18" t="s">
        <v>288</v>
      </c>
      <c r="D18">
        <v>16</v>
      </c>
      <c r="K18">
        <v>17</v>
      </c>
      <c r="L18">
        <v>17</v>
      </c>
      <c r="O18" t="s">
        <v>146</v>
      </c>
      <c r="P18" t="s">
        <v>186</v>
      </c>
      <c r="T18" t="s">
        <v>187</v>
      </c>
      <c r="U18" t="s">
        <v>314</v>
      </c>
      <c r="Z18" s="88" t="str">
        <f>IF(LISTADO_NOM!K18="","",DATE(LISTADO_NOM!M18,LISTADO_NOM!L18,LISTADO_NOM!K18))</f>
        <v/>
      </c>
      <c r="AA18" s="88" t="str">
        <f>IFERROR(INDEX($Z$14:$Z$300, MATCH(0, INDEX(COUNTIF($AA$13:AA17, $Z$14:$Z$300), 0, 0), 0)), "")</f>
        <v/>
      </c>
      <c r="AB18" s="88" t="str">
        <f t="shared" si="0"/>
        <v/>
      </c>
      <c r="AC18">
        <v>5</v>
      </c>
      <c r="AE18" t="str">
        <f>IF(LISTADO_NOM!AI18="","",VLOOKUP(LISTADO_NOM!AI18,SEGUIMIENTOS,2,FALSE))</f>
        <v/>
      </c>
    </row>
    <row r="19" spans="1:31">
      <c r="A19">
        <v>7</v>
      </c>
      <c r="C19" t="s">
        <v>289</v>
      </c>
      <c r="D19">
        <v>17</v>
      </c>
      <c r="K19">
        <v>18</v>
      </c>
      <c r="L19">
        <v>18</v>
      </c>
      <c r="P19" t="s">
        <v>187</v>
      </c>
      <c r="T19" t="s">
        <v>188</v>
      </c>
      <c r="U19" t="s">
        <v>308</v>
      </c>
      <c r="Z19" s="88" t="str">
        <f>IF(LISTADO_NOM!K19="","",DATE(LISTADO_NOM!M19,LISTADO_NOM!L19,LISTADO_NOM!K19))</f>
        <v/>
      </c>
      <c r="AA19" s="88" t="str">
        <f>IFERROR(INDEX($Z$14:$Z$300, MATCH(0, INDEX(COUNTIF($AA$13:AA18, $Z$14:$Z$300), 0, 0), 0)), "")</f>
        <v/>
      </c>
      <c r="AB19" s="88" t="str">
        <f t="shared" si="0"/>
        <v/>
      </c>
      <c r="AC19">
        <v>6</v>
      </c>
      <c r="AE19" t="str">
        <f>IF(LISTADO_NOM!AI19="","",VLOOKUP(LISTADO_NOM!AI19,SEGUIMIENTOS,2,FALSE))</f>
        <v/>
      </c>
    </row>
    <row r="20" spans="1:31">
      <c r="A20">
        <v>8</v>
      </c>
      <c r="C20" t="s">
        <v>290</v>
      </c>
      <c r="D20">
        <v>18</v>
      </c>
      <c r="K20">
        <v>19</v>
      </c>
      <c r="L20">
        <v>19</v>
      </c>
      <c r="P20" t="s">
        <v>188</v>
      </c>
      <c r="T20" t="s">
        <v>247</v>
      </c>
      <c r="U20" t="s">
        <v>315</v>
      </c>
      <c r="Z20" s="88" t="str">
        <f>IF(LISTADO_NOM!K20="","",DATE(LISTADO_NOM!M20,LISTADO_NOM!L20,LISTADO_NOM!K20))</f>
        <v/>
      </c>
      <c r="AA20" s="88" t="str">
        <f>IFERROR(INDEX($Z$14:$Z$300, MATCH(0, INDEX(COUNTIF($AA$13:AA19, $Z$14:$Z$300), 0, 0), 0)), "")</f>
        <v/>
      </c>
      <c r="AB20" s="88" t="str">
        <f t="shared" si="0"/>
        <v/>
      </c>
      <c r="AC20">
        <v>7</v>
      </c>
      <c r="AE20" t="str">
        <f>IF(LISTADO_NOM!AI20="","",VLOOKUP(LISTADO_NOM!AI20,SEGUIMIENTOS,2,FALSE))</f>
        <v/>
      </c>
    </row>
    <row r="21" spans="1:31">
      <c r="A21">
        <v>9</v>
      </c>
      <c r="C21" t="s">
        <v>291</v>
      </c>
      <c r="D21">
        <v>19</v>
      </c>
      <c r="K21">
        <v>20</v>
      </c>
      <c r="L21">
        <v>20</v>
      </c>
      <c r="P21" t="s">
        <v>247</v>
      </c>
      <c r="T21" t="s">
        <v>189</v>
      </c>
      <c r="U21" t="s">
        <v>309</v>
      </c>
      <c r="Z21" s="88" t="str">
        <f>IF(LISTADO_NOM!K21="","",DATE(LISTADO_NOM!M21,LISTADO_NOM!L21,LISTADO_NOM!K21))</f>
        <v/>
      </c>
      <c r="AA21" s="88" t="str">
        <f>IFERROR(INDEX($Z$14:$Z$300, MATCH(0, INDEX(COUNTIF($AA$13:AA20, $Z$14:$Z$300), 0, 0), 0)), "")</f>
        <v/>
      </c>
      <c r="AB21" s="88" t="str">
        <f t="shared" si="0"/>
        <v/>
      </c>
      <c r="AC21">
        <v>8</v>
      </c>
      <c r="AE21" t="str">
        <f>IF(LISTADO_NOM!AI21="","",VLOOKUP(LISTADO_NOM!AI21,SEGUIMIENTOS,2,FALSE))</f>
        <v/>
      </c>
    </row>
    <row r="22" spans="1:31">
      <c r="A22">
        <v>10</v>
      </c>
      <c r="C22" t="s">
        <v>292</v>
      </c>
      <c r="D22">
        <v>20</v>
      </c>
      <c r="K22">
        <v>21</v>
      </c>
      <c r="L22">
        <v>21</v>
      </c>
      <c r="P22" t="s">
        <v>189</v>
      </c>
      <c r="T22" t="s">
        <v>190</v>
      </c>
      <c r="U22" t="s">
        <v>316</v>
      </c>
      <c r="Z22" s="88" t="str">
        <f>IF(LISTADO_NOM!K22="","",DATE(LISTADO_NOM!M22,LISTADO_NOM!L22,LISTADO_NOM!K22))</f>
        <v/>
      </c>
      <c r="AA22" s="88" t="str">
        <f>IFERROR(INDEX($Z$14:$Z$300, MATCH(0, INDEX(COUNTIF($AA$13:AA21, $Z$14:$Z$300), 0, 0), 0)), "")</f>
        <v/>
      </c>
      <c r="AB22" s="88" t="str">
        <f t="shared" si="0"/>
        <v/>
      </c>
      <c r="AC22">
        <v>9</v>
      </c>
      <c r="AE22" t="str">
        <f>IF(LISTADO_NOM!AI22="","",VLOOKUP(LISTADO_NOM!AI22,SEGUIMIENTOS,2,FALSE))</f>
        <v/>
      </c>
    </row>
    <row r="23" spans="1:31">
      <c r="A23">
        <v>11</v>
      </c>
      <c r="C23" t="s">
        <v>293</v>
      </c>
      <c r="D23">
        <v>21</v>
      </c>
      <c r="K23">
        <v>22</v>
      </c>
      <c r="L23">
        <v>22</v>
      </c>
      <c r="P23" t="s">
        <v>190</v>
      </c>
      <c r="T23" t="s">
        <v>191</v>
      </c>
      <c r="U23" t="s">
        <v>306</v>
      </c>
      <c r="Z23" s="88" t="str">
        <f>IF(LISTADO_NOM!K23="","",DATE(LISTADO_NOM!M23,LISTADO_NOM!L23,LISTADO_NOM!K23))</f>
        <v/>
      </c>
      <c r="AA23" s="88" t="str">
        <f>IFERROR(INDEX($Z$14:$Z$300, MATCH(0, INDEX(COUNTIF($AA$13:AA22, $Z$14:$Z$300), 0, 0), 0)), "")</f>
        <v/>
      </c>
      <c r="AB23" s="88" t="str">
        <f t="shared" si="0"/>
        <v/>
      </c>
      <c r="AC23">
        <v>10</v>
      </c>
      <c r="AE23" t="str">
        <f>IF(LISTADO_NOM!AI23="","",VLOOKUP(LISTADO_NOM!AI23,SEGUIMIENTOS,2,FALSE))</f>
        <v/>
      </c>
    </row>
    <row r="24" spans="1:31">
      <c r="A24">
        <v>12</v>
      </c>
      <c r="C24" t="s">
        <v>294</v>
      </c>
      <c r="D24">
        <v>22</v>
      </c>
      <c r="K24">
        <v>23</v>
      </c>
      <c r="L24">
        <v>23</v>
      </c>
      <c r="P24" t="s">
        <v>191</v>
      </c>
      <c r="T24" t="s">
        <v>192</v>
      </c>
      <c r="U24" t="s">
        <v>304</v>
      </c>
      <c r="Z24" s="88" t="str">
        <f>IF(LISTADO_NOM!K24="","",DATE(LISTADO_NOM!M24,LISTADO_NOM!L24,LISTADO_NOM!K24))</f>
        <v/>
      </c>
      <c r="AA24" s="88" t="str">
        <f>IFERROR(INDEX($Z$14:$Z$300, MATCH(0, INDEX(COUNTIF($AA$13:AA23, $Z$14:$Z$300), 0, 0), 0)), "")</f>
        <v/>
      </c>
      <c r="AB24" s="88" t="str">
        <f t="shared" si="0"/>
        <v/>
      </c>
      <c r="AC24">
        <v>11</v>
      </c>
      <c r="AE24" t="str">
        <f>IF(LISTADO_NOM!AI24="","",VLOOKUP(LISTADO_NOM!AI24,SEGUIMIENTOS,2,FALSE))</f>
        <v/>
      </c>
    </row>
    <row r="25" spans="1:31">
      <c r="A25">
        <v>13</v>
      </c>
      <c r="C25" t="s">
        <v>295</v>
      </c>
      <c r="D25">
        <v>23</v>
      </c>
      <c r="K25">
        <v>24</v>
      </c>
      <c r="L25">
        <v>24</v>
      </c>
      <c r="P25" t="s">
        <v>192</v>
      </c>
      <c r="T25" t="s">
        <v>193</v>
      </c>
      <c r="U25" t="s">
        <v>310</v>
      </c>
      <c r="Z25" s="88" t="str">
        <f>IF(LISTADO_NOM!K25="","",DATE(LISTADO_NOM!M25,LISTADO_NOM!L25,LISTADO_NOM!K25))</f>
        <v/>
      </c>
      <c r="AA25" s="88" t="str">
        <f>IFERROR(INDEX($Z$14:$Z$300, MATCH(0, INDEX(COUNTIF($AA$13:AA24, $Z$14:$Z$300), 0, 0), 0)), "")</f>
        <v/>
      </c>
      <c r="AB25" s="88" t="str">
        <f t="shared" si="0"/>
        <v/>
      </c>
      <c r="AC25">
        <v>12</v>
      </c>
      <c r="AE25" t="str">
        <f>IF(LISTADO_NOM!AI25="","",VLOOKUP(LISTADO_NOM!AI25,SEGUIMIENTOS,2,FALSE))</f>
        <v/>
      </c>
    </row>
    <row r="26" spans="1:31">
      <c r="A26">
        <v>14</v>
      </c>
      <c r="C26" t="s">
        <v>296</v>
      </c>
      <c r="D26">
        <v>24</v>
      </c>
      <c r="K26">
        <v>25</v>
      </c>
      <c r="L26">
        <v>25</v>
      </c>
      <c r="P26" t="s">
        <v>193</v>
      </c>
      <c r="T26" t="s">
        <v>194</v>
      </c>
      <c r="U26" t="s">
        <v>311</v>
      </c>
      <c r="Z26" s="88" t="str">
        <f>IF(LISTADO_NOM!K26="","",DATE(LISTADO_NOM!M26,LISTADO_NOM!L26,LISTADO_NOM!K26))</f>
        <v/>
      </c>
      <c r="AA26" s="88" t="str">
        <f>IFERROR(INDEX($Z$14:$Z$300, MATCH(0, INDEX(COUNTIF($AA$13:AA25, $Z$14:$Z$300), 0, 0), 0)), "")</f>
        <v/>
      </c>
      <c r="AB26" s="88" t="str">
        <f t="shared" si="0"/>
        <v/>
      </c>
      <c r="AC26">
        <v>13</v>
      </c>
      <c r="AE26" t="str">
        <f>IF(LISTADO_NOM!AI26="","",VLOOKUP(LISTADO_NOM!AI26,SEGUIMIENTOS,2,FALSE))</f>
        <v/>
      </c>
    </row>
    <row r="27" spans="1:31">
      <c r="A27">
        <v>15</v>
      </c>
      <c r="C27" t="s">
        <v>297</v>
      </c>
      <c r="D27">
        <v>25</v>
      </c>
      <c r="K27">
        <v>26</v>
      </c>
      <c r="L27">
        <v>26</v>
      </c>
      <c r="P27" t="s">
        <v>194</v>
      </c>
      <c r="T27" t="s">
        <v>195</v>
      </c>
      <c r="U27" t="s">
        <v>305</v>
      </c>
      <c r="Z27" s="88" t="str">
        <f>IF(LISTADO_NOM!K27="","",DATE(LISTADO_NOM!M27,LISTADO_NOM!L27,LISTADO_NOM!K27))</f>
        <v/>
      </c>
      <c r="AA27" s="88" t="str">
        <f>IFERROR(INDEX($Z$14:$Z$300, MATCH(0, INDEX(COUNTIF($AA$13:AA26, $Z$14:$Z$300), 0, 0), 0)), "")</f>
        <v/>
      </c>
      <c r="AB27" s="88" t="str">
        <f t="shared" si="0"/>
        <v/>
      </c>
      <c r="AC27">
        <v>14</v>
      </c>
      <c r="AE27" t="str">
        <f>IF(LISTADO_NOM!AI27="","",VLOOKUP(LISTADO_NOM!AI27,SEGUIMIENTOS,2,FALSE))</f>
        <v/>
      </c>
    </row>
    <row r="28" spans="1:31">
      <c r="A28">
        <v>16</v>
      </c>
      <c r="C28" t="s">
        <v>298</v>
      </c>
      <c r="D28">
        <v>26</v>
      </c>
      <c r="K28">
        <v>27</v>
      </c>
      <c r="L28">
        <v>27</v>
      </c>
      <c r="P28" t="s">
        <v>195</v>
      </c>
      <c r="T28" t="s">
        <v>196</v>
      </c>
      <c r="U28" t="s">
        <v>310</v>
      </c>
      <c r="Z28" s="88" t="str">
        <f>IF(LISTADO_NOM!K28="","",DATE(LISTADO_NOM!M28,LISTADO_NOM!L28,LISTADO_NOM!K28))</f>
        <v/>
      </c>
      <c r="AA28" s="88" t="str">
        <f>IFERROR(INDEX($Z$14:$Z$300, MATCH(0, INDEX(COUNTIF($AA$13:AA27, $Z$14:$Z$300), 0, 0), 0)), "")</f>
        <v/>
      </c>
      <c r="AB28" s="88" t="str">
        <f t="shared" si="0"/>
        <v/>
      </c>
      <c r="AC28">
        <v>15</v>
      </c>
      <c r="AE28" t="str">
        <f>IF(LISTADO_NOM!AI28="","",VLOOKUP(LISTADO_NOM!AI28,SEGUIMIENTOS,2,FALSE))</f>
        <v/>
      </c>
    </row>
    <row r="29" spans="1:31">
      <c r="A29">
        <v>17</v>
      </c>
      <c r="C29" t="s">
        <v>299</v>
      </c>
      <c r="D29">
        <v>27</v>
      </c>
      <c r="K29">
        <v>28</v>
      </c>
      <c r="L29">
        <v>28</v>
      </c>
      <c r="P29" t="s">
        <v>196</v>
      </c>
      <c r="T29" t="s">
        <v>197</v>
      </c>
      <c r="U29" t="s">
        <v>313</v>
      </c>
      <c r="Z29" s="88" t="str">
        <f>IF(LISTADO_NOM!K29="","",DATE(LISTADO_NOM!M29,LISTADO_NOM!L29,LISTADO_NOM!K29))</f>
        <v/>
      </c>
      <c r="AA29" s="88" t="str">
        <f>IFERROR(INDEX($Z$14:$Z$300, MATCH(0, INDEX(COUNTIF($AA$13:AA28, $Z$14:$Z$300), 0, 0), 0)), "")</f>
        <v/>
      </c>
      <c r="AB29" s="88" t="str">
        <f t="shared" si="0"/>
        <v/>
      </c>
      <c r="AC29">
        <v>16</v>
      </c>
      <c r="AE29" t="str">
        <f>IF(LISTADO_NOM!AI29="","",VLOOKUP(LISTADO_NOM!AI29,SEGUIMIENTOS,2,FALSE))</f>
        <v/>
      </c>
    </row>
    <row r="30" spans="1:31">
      <c r="A30">
        <v>18</v>
      </c>
      <c r="C30" t="s">
        <v>300</v>
      </c>
      <c r="D30">
        <v>28</v>
      </c>
      <c r="K30">
        <v>29</v>
      </c>
      <c r="L30">
        <v>29</v>
      </c>
      <c r="P30" t="s">
        <v>197</v>
      </c>
      <c r="T30" t="s">
        <v>248</v>
      </c>
      <c r="U30" t="s">
        <v>308</v>
      </c>
      <c r="Z30" s="88" t="str">
        <f>IF(LISTADO_NOM!K30="","",DATE(LISTADO_NOM!M30,LISTADO_NOM!L30,LISTADO_NOM!K30))</f>
        <v/>
      </c>
      <c r="AA30" s="88" t="str">
        <f>IFERROR(INDEX($Z$14:$Z$300, MATCH(0, INDEX(COUNTIF($AA$13:AA29, $Z$14:$Z$300), 0, 0), 0)), "")</f>
        <v/>
      </c>
      <c r="AB30" s="88" t="str">
        <f t="shared" si="0"/>
        <v/>
      </c>
      <c r="AC30">
        <v>17</v>
      </c>
      <c r="AE30" t="str">
        <f>IF(LISTADO_NOM!AI30="","",VLOOKUP(LISTADO_NOM!AI30,SEGUIMIENTOS,2,FALSE))</f>
        <v/>
      </c>
    </row>
    <row r="31" spans="1:31">
      <c r="A31">
        <v>19</v>
      </c>
      <c r="C31" t="s">
        <v>301</v>
      </c>
      <c r="D31">
        <v>29</v>
      </c>
      <c r="K31">
        <v>30</v>
      </c>
      <c r="L31">
        <v>30</v>
      </c>
      <c r="P31" t="s">
        <v>248</v>
      </c>
      <c r="T31" t="s">
        <v>198</v>
      </c>
      <c r="U31" t="s">
        <v>314</v>
      </c>
      <c r="Z31" s="88" t="str">
        <f>IF(LISTADO_NOM!K31="","",DATE(LISTADO_NOM!M31,LISTADO_NOM!L31,LISTADO_NOM!K31))</f>
        <v/>
      </c>
      <c r="AA31" s="88" t="str">
        <f>IFERROR(INDEX($Z$14:$Z$300, MATCH(0, INDEX(COUNTIF($AA$13:AA30, $Z$14:$Z$300), 0, 0), 0)), "")</f>
        <v/>
      </c>
      <c r="AB31" s="88" t="str">
        <f t="shared" si="0"/>
        <v/>
      </c>
      <c r="AC31">
        <v>18</v>
      </c>
      <c r="AE31" t="str">
        <f>IF(LISTADO_NOM!AI31="","",VLOOKUP(LISTADO_NOM!AI31,SEGUIMIENTOS,2,FALSE))</f>
        <v/>
      </c>
    </row>
    <row r="32" spans="1:31">
      <c r="A32">
        <v>20</v>
      </c>
      <c r="C32" t="s">
        <v>302</v>
      </c>
      <c r="D32">
        <v>30</v>
      </c>
      <c r="K32">
        <v>31</v>
      </c>
      <c r="L32">
        <v>31</v>
      </c>
      <c r="P32" t="s">
        <v>198</v>
      </c>
      <c r="T32" t="s">
        <v>199</v>
      </c>
      <c r="U32" t="s">
        <v>310</v>
      </c>
      <c r="Z32" s="88" t="str">
        <f>IF(LISTADO_NOM!K32="","",DATE(LISTADO_NOM!M32,LISTADO_NOM!L32,LISTADO_NOM!K32))</f>
        <v/>
      </c>
      <c r="AA32" s="88" t="str">
        <f>IFERROR(INDEX($Z$14:$Z$300, MATCH(0, INDEX(COUNTIF($AA$13:AA31, $Z$14:$Z$300), 0, 0), 0)), "")</f>
        <v/>
      </c>
      <c r="AB32" s="88" t="str">
        <f t="shared" si="0"/>
        <v/>
      </c>
      <c r="AC32">
        <v>19</v>
      </c>
      <c r="AE32" t="str">
        <f>IF(LISTADO_NOM!AI32="","",VLOOKUP(LISTADO_NOM!AI32,SEGUIMIENTOS,2,FALSE))</f>
        <v/>
      </c>
    </row>
    <row r="33" spans="1:31">
      <c r="A33">
        <v>21</v>
      </c>
      <c r="C33" t="s">
        <v>145</v>
      </c>
      <c r="K33">
        <v>32</v>
      </c>
      <c r="P33" t="s">
        <v>199</v>
      </c>
      <c r="T33" t="s">
        <v>200</v>
      </c>
      <c r="U33" t="s">
        <v>315</v>
      </c>
      <c r="Z33" s="88" t="str">
        <f>IF(LISTADO_NOM!K33="","",DATE(LISTADO_NOM!M33,LISTADO_NOM!L33,LISTADO_NOM!K33))</f>
        <v/>
      </c>
      <c r="AA33" s="88" t="str">
        <f>IFERROR(INDEX($Z$14:$Z$300, MATCH(0, INDEX(COUNTIF($AA$13:AA32, $Z$14:$Z$300), 0, 0), 0)), "")</f>
        <v/>
      </c>
      <c r="AB33" s="88" t="str">
        <f t="shared" si="0"/>
        <v/>
      </c>
      <c r="AC33">
        <v>20</v>
      </c>
      <c r="AE33" t="str">
        <f>IF(LISTADO_NOM!AI33="","",VLOOKUP(LISTADO_NOM!AI33,SEGUIMIENTOS,2,FALSE))</f>
        <v/>
      </c>
    </row>
    <row r="34" spans="1:31">
      <c r="A34">
        <v>22</v>
      </c>
      <c r="K34">
        <v>33</v>
      </c>
      <c r="P34" t="s">
        <v>200</v>
      </c>
      <c r="T34" t="s">
        <v>201</v>
      </c>
      <c r="U34" t="s">
        <v>311</v>
      </c>
      <c r="Z34" s="88" t="str">
        <f>IF(LISTADO_NOM!K34="","",DATE(LISTADO_NOM!M34,LISTADO_NOM!L34,LISTADO_NOM!K34))</f>
        <v/>
      </c>
      <c r="AA34" s="88" t="str">
        <f>IFERROR(INDEX($Z$14:$Z$300, MATCH(0, INDEX(COUNTIF($AA$13:AA33, $Z$14:$Z$300), 0, 0), 0)), "")</f>
        <v/>
      </c>
      <c r="AB34" s="88" t="str">
        <f t="shared" si="0"/>
        <v/>
      </c>
      <c r="AC34">
        <v>21</v>
      </c>
      <c r="AE34" t="str">
        <f>IF(LISTADO_NOM!AI34="","",VLOOKUP(LISTADO_NOM!AI34,SEGUIMIENTOS,2,FALSE))</f>
        <v/>
      </c>
    </row>
    <row r="35" spans="1:31">
      <c r="A35">
        <v>23</v>
      </c>
      <c r="K35">
        <v>34</v>
      </c>
      <c r="P35" t="s">
        <v>201</v>
      </c>
      <c r="T35" t="s">
        <v>202</v>
      </c>
      <c r="U35" t="s">
        <v>305</v>
      </c>
      <c r="Z35" s="88" t="str">
        <f>IF(LISTADO_NOM!K35="","",DATE(LISTADO_NOM!M35,LISTADO_NOM!L35,LISTADO_NOM!K35))</f>
        <v/>
      </c>
      <c r="AA35" s="88" t="str">
        <f>IFERROR(INDEX($Z$14:$Z$300, MATCH(0, INDEX(COUNTIF($AA$13:AA34, $Z$14:$Z$300), 0, 0), 0)), "")</f>
        <v/>
      </c>
      <c r="AB35" s="88" t="str">
        <f t="shared" si="0"/>
        <v/>
      </c>
      <c r="AC35">
        <v>22</v>
      </c>
      <c r="AE35" t="str">
        <f>IF(LISTADO_NOM!AI35="","",VLOOKUP(LISTADO_NOM!AI35,SEGUIMIENTOS,2,FALSE))</f>
        <v/>
      </c>
    </row>
    <row r="36" spans="1:31">
      <c r="A36">
        <v>24</v>
      </c>
      <c r="K36">
        <v>35</v>
      </c>
      <c r="P36" t="s">
        <v>202</v>
      </c>
      <c r="T36" t="s">
        <v>203</v>
      </c>
      <c r="U36" t="s">
        <v>315</v>
      </c>
      <c r="Z36" s="88" t="str">
        <f>IF(LISTADO_NOM!K36="","",DATE(LISTADO_NOM!M36,LISTADO_NOM!L36,LISTADO_NOM!K36))</f>
        <v/>
      </c>
      <c r="AA36" s="88" t="str">
        <f>IFERROR(INDEX($Z$14:$Z$300, MATCH(0, INDEX(COUNTIF($AA$13:AA35, $Z$14:$Z$300), 0, 0), 0)), "")</f>
        <v/>
      </c>
      <c r="AB36" s="88" t="str">
        <f t="shared" si="0"/>
        <v/>
      </c>
      <c r="AC36">
        <v>23</v>
      </c>
      <c r="AE36" t="str">
        <f>IF(LISTADO_NOM!AI36="","",VLOOKUP(LISTADO_NOM!AI36,SEGUIMIENTOS,2,FALSE))</f>
        <v/>
      </c>
    </row>
    <row r="37" spans="1:31">
      <c r="A37">
        <v>25</v>
      </c>
      <c r="K37">
        <v>36</v>
      </c>
      <c r="P37" t="s">
        <v>203</v>
      </c>
      <c r="T37" t="s">
        <v>204</v>
      </c>
      <c r="U37" t="s">
        <v>315</v>
      </c>
      <c r="Z37" s="88" t="str">
        <f>IF(LISTADO_NOM!K37="","",DATE(LISTADO_NOM!M37,LISTADO_NOM!L37,LISTADO_NOM!K37))</f>
        <v/>
      </c>
      <c r="AA37" s="88" t="str">
        <f>IFERROR(INDEX($Z$14:$Z$300, MATCH(0, INDEX(COUNTIF($AA$13:AA36, $Z$14:$Z$300), 0, 0), 0)), "")</f>
        <v/>
      </c>
      <c r="AB37" s="88" t="str">
        <f t="shared" si="0"/>
        <v/>
      </c>
      <c r="AC37">
        <v>24</v>
      </c>
      <c r="AE37" t="str">
        <f>IF(LISTADO_NOM!AI37="","",VLOOKUP(LISTADO_NOM!AI37,SEGUIMIENTOS,2,FALSE))</f>
        <v/>
      </c>
    </row>
    <row r="38" spans="1:31">
      <c r="A38">
        <v>26</v>
      </c>
      <c r="K38">
        <v>37</v>
      </c>
      <c r="P38" t="s">
        <v>204</v>
      </c>
      <c r="T38" t="s">
        <v>205</v>
      </c>
      <c r="U38" t="s">
        <v>304</v>
      </c>
      <c r="Z38" s="88" t="str">
        <f>IF(LISTADO_NOM!K38="","",DATE(LISTADO_NOM!M38,LISTADO_NOM!L38,LISTADO_NOM!K38))</f>
        <v/>
      </c>
      <c r="AA38" s="88" t="str">
        <f>IFERROR(INDEX($Z$14:$Z$300, MATCH(0, INDEX(COUNTIF($AA$13:AA37, $Z$14:$Z$300), 0, 0), 0)), "")</f>
        <v/>
      </c>
      <c r="AB38" s="88" t="str">
        <f t="shared" si="0"/>
        <v/>
      </c>
      <c r="AC38">
        <v>25</v>
      </c>
      <c r="AE38" t="str">
        <f>IF(LISTADO_NOM!AI38="","",VLOOKUP(LISTADO_NOM!AI38,SEGUIMIENTOS,2,FALSE))</f>
        <v/>
      </c>
    </row>
    <row r="39" spans="1:31">
      <c r="A39">
        <v>27</v>
      </c>
      <c r="K39">
        <v>38</v>
      </c>
      <c r="P39" t="s">
        <v>205</v>
      </c>
      <c r="T39" t="s">
        <v>206</v>
      </c>
      <c r="U39" t="s">
        <v>316</v>
      </c>
      <c r="Z39" s="88" t="str">
        <f>IF(LISTADO_NOM!K39="","",DATE(LISTADO_NOM!M39,LISTADO_NOM!L39,LISTADO_NOM!K39))</f>
        <v/>
      </c>
      <c r="AA39" s="88" t="str">
        <f>IFERROR(INDEX($Z$14:$Z$300, MATCH(0, INDEX(COUNTIF($AA$13:AA38, $Z$14:$Z$300), 0, 0), 0)), "")</f>
        <v/>
      </c>
      <c r="AB39" s="88" t="str">
        <f t="shared" si="0"/>
        <v/>
      </c>
      <c r="AC39">
        <v>26</v>
      </c>
      <c r="AE39" t="str">
        <f>IF(LISTADO_NOM!AI39="","",VLOOKUP(LISTADO_NOM!AI39,SEGUIMIENTOS,2,FALSE))</f>
        <v/>
      </c>
    </row>
    <row r="40" spans="1:31">
      <c r="A40">
        <v>28</v>
      </c>
      <c r="K40">
        <v>39</v>
      </c>
      <c r="P40" t="s">
        <v>206</v>
      </c>
      <c r="T40" t="s">
        <v>249</v>
      </c>
      <c r="U40" t="s">
        <v>314</v>
      </c>
      <c r="Z40" s="88" t="str">
        <f>IF(LISTADO_NOM!K40="","",DATE(LISTADO_NOM!M40,LISTADO_NOM!L40,LISTADO_NOM!K40))</f>
        <v/>
      </c>
      <c r="AA40" s="88" t="str">
        <f>IFERROR(INDEX($Z$14:$Z$300, MATCH(0, INDEX(COUNTIF($AA$13:AA39, $Z$14:$Z$300), 0, 0), 0)), "")</f>
        <v/>
      </c>
      <c r="AB40" s="88" t="str">
        <f t="shared" si="0"/>
        <v/>
      </c>
      <c r="AC40">
        <v>27</v>
      </c>
      <c r="AE40" t="str">
        <f>IF(LISTADO_NOM!AI40="","",VLOOKUP(LISTADO_NOM!AI40,SEGUIMIENTOS,2,FALSE))</f>
        <v/>
      </c>
    </row>
    <row r="41" spans="1:31">
      <c r="A41">
        <v>29</v>
      </c>
      <c r="K41">
        <v>40</v>
      </c>
      <c r="P41" t="s">
        <v>249</v>
      </c>
      <c r="T41" t="s">
        <v>207</v>
      </c>
      <c r="U41" t="s">
        <v>306</v>
      </c>
      <c r="Z41" s="88" t="str">
        <f>IF(LISTADO_NOM!K41="","",DATE(LISTADO_NOM!M41,LISTADO_NOM!L41,LISTADO_NOM!K41))</f>
        <v/>
      </c>
      <c r="AA41" s="88" t="str">
        <f>IFERROR(INDEX($Z$14:$Z$300, MATCH(0, INDEX(COUNTIF($AA$13:AA40, $Z$14:$Z$300), 0, 0), 0)), "")</f>
        <v/>
      </c>
      <c r="AB41" s="88" t="str">
        <f t="shared" si="0"/>
        <v/>
      </c>
      <c r="AC41">
        <v>28</v>
      </c>
      <c r="AE41" t="str">
        <f>IF(LISTADO_NOM!AI41="","",VLOOKUP(LISTADO_NOM!AI41,SEGUIMIENTOS,2,FALSE))</f>
        <v/>
      </c>
    </row>
    <row r="42" spans="1:31">
      <c r="A42">
        <v>30</v>
      </c>
      <c r="K42">
        <v>41</v>
      </c>
      <c r="P42" t="s">
        <v>207</v>
      </c>
      <c r="T42" t="s">
        <v>208</v>
      </c>
      <c r="U42" t="s">
        <v>311</v>
      </c>
      <c r="Z42" s="88" t="str">
        <f>IF(LISTADO_NOM!K42="","",DATE(LISTADO_NOM!M42,LISTADO_NOM!L42,LISTADO_NOM!K42))</f>
        <v/>
      </c>
      <c r="AA42" s="88" t="str">
        <f>IFERROR(INDEX($Z$14:$Z$300, MATCH(0, INDEX(COUNTIF($AA$13:AA41, $Z$14:$Z$300), 0, 0), 0)), "")</f>
        <v/>
      </c>
      <c r="AB42" s="88" t="str">
        <f t="shared" si="0"/>
        <v/>
      </c>
      <c r="AC42">
        <v>29</v>
      </c>
      <c r="AE42" t="str">
        <f>IF(LISTADO_NOM!AI42="","",VLOOKUP(LISTADO_NOM!AI42,SEGUIMIENTOS,2,FALSE))</f>
        <v/>
      </c>
    </row>
    <row r="43" spans="1:31">
      <c r="A43">
        <v>31</v>
      </c>
      <c r="K43">
        <v>42</v>
      </c>
      <c r="P43" t="s">
        <v>208</v>
      </c>
      <c r="T43" t="s">
        <v>209</v>
      </c>
      <c r="U43" t="s">
        <v>317</v>
      </c>
      <c r="Z43" s="88" t="str">
        <f>IF(LISTADO_NOM!K43="","",DATE(LISTADO_NOM!M43,LISTADO_NOM!L43,LISTADO_NOM!K43))</f>
        <v/>
      </c>
      <c r="AA43" s="88" t="str">
        <f>IFERROR(INDEX($Z$14:$Z$300, MATCH(0, INDEX(COUNTIF($AA$13:AA42, $Z$14:$Z$300), 0, 0), 0)), "")</f>
        <v/>
      </c>
      <c r="AB43" s="88" t="str">
        <f t="shared" si="0"/>
        <v/>
      </c>
      <c r="AC43">
        <v>30</v>
      </c>
      <c r="AE43" t="str">
        <f>IF(LISTADO_NOM!AI43="","",VLOOKUP(LISTADO_NOM!AI43,SEGUIMIENTOS,2,FALSE))</f>
        <v/>
      </c>
    </row>
    <row r="44" spans="1:31">
      <c r="A44">
        <v>32</v>
      </c>
      <c r="K44">
        <v>43</v>
      </c>
      <c r="P44" t="s">
        <v>209</v>
      </c>
      <c r="T44" t="s">
        <v>210</v>
      </c>
      <c r="U44" t="s">
        <v>313</v>
      </c>
      <c r="Z44" s="88" t="str">
        <f>IF(LISTADO_NOM!K44="","",DATE(LISTADO_NOM!M44,LISTADO_NOM!L44,LISTADO_NOM!K44))</f>
        <v/>
      </c>
      <c r="AA44" s="88" t="str">
        <f>IFERROR(INDEX($Z$14:$Z$300, MATCH(0, INDEX(COUNTIF($AA$13:AA43, $Z$14:$Z$300), 0, 0), 0)), "")</f>
        <v/>
      </c>
      <c r="AB44" s="88" t="str">
        <f t="shared" si="0"/>
        <v/>
      </c>
      <c r="AC44">
        <v>31</v>
      </c>
      <c r="AE44" t="str">
        <f>IF(LISTADO_NOM!AI44="","",VLOOKUP(LISTADO_NOM!AI44,SEGUIMIENTOS,2,FALSE))</f>
        <v/>
      </c>
    </row>
    <row r="45" spans="1:31">
      <c r="A45">
        <v>33</v>
      </c>
      <c r="K45">
        <v>44</v>
      </c>
      <c r="P45" t="s">
        <v>210</v>
      </c>
      <c r="T45" t="s">
        <v>211</v>
      </c>
      <c r="U45" t="s">
        <v>304</v>
      </c>
      <c r="Z45" s="88" t="str">
        <f>IF(LISTADO_NOM!K45="","",DATE(LISTADO_NOM!M45,LISTADO_NOM!L45,LISTADO_NOM!K45))</f>
        <v/>
      </c>
      <c r="AA45" s="88" t="str">
        <f>IFERROR(INDEX($Z$14:$Z$300, MATCH(0, INDEX(COUNTIF($AA$13:AA44, $Z$14:$Z$300), 0, 0), 0)), "")</f>
        <v/>
      </c>
      <c r="AB45" s="88" t="str">
        <f t="shared" si="0"/>
        <v/>
      </c>
      <c r="AC45">
        <v>32</v>
      </c>
      <c r="AE45" t="str">
        <f>IF(LISTADO_NOM!AI45="","",VLOOKUP(LISTADO_NOM!AI45,SEGUIMIENTOS,2,FALSE))</f>
        <v/>
      </c>
    </row>
    <row r="46" spans="1:31">
      <c r="A46">
        <v>34</v>
      </c>
      <c r="K46">
        <v>45</v>
      </c>
      <c r="P46" t="s">
        <v>211</v>
      </c>
      <c r="T46" t="s">
        <v>212</v>
      </c>
      <c r="U46" t="s">
        <v>310</v>
      </c>
      <c r="Z46" s="88" t="str">
        <f>IF(LISTADO_NOM!K46="","",DATE(LISTADO_NOM!M46,LISTADO_NOM!L46,LISTADO_NOM!K46))</f>
        <v/>
      </c>
      <c r="AA46" s="88" t="str">
        <f>IFERROR(INDEX($Z$14:$Z$300, MATCH(0, INDEX(COUNTIF($AA$13:AA45, $Z$14:$Z$300), 0, 0), 0)), "")</f>
        <v/>
      </c>
      <c r="AB46" s="88" t="str">
        <f t="shared" si="0"/>
        <v/>
      </c>
      <c r="AC46">
        <v>33</v>
      </c>
      <c r="AE46" t="str">
        <f>IF(LISTADO_NOM!AI46="","",VLOOKUP(LISTADO_NOM!AI46,SEGUIMIENTOS,2,FALSE))</f>
        <v/>
      </c>
    </row>
    <row r="47" spans="1:31">
      <c r="A47">
        <v>35</v>
      </c>
      <c r="K47">
        <v>46</v>
      </c>
      <c r="P47" t="s">
        <v>212</v>
      </c>
      <c r="T47" t="s">
        <v>213</v>
      </c>
      <c r="U47" t="s">
        <v>317</v>
      </c>
      <c r="Z47" s="88" t="str">
        <f>IF(LISTADO_NOM!K47="","",DATE(LISTADO_NOM!M47,LISTADO_NOM!L47,LISTADO_NOM!K47))</f>
        <v/>
      </c>
      <c r="AA47" s="88" t="str">
        <f>IFERROR(INDEX($Z$14:$Z$300, MATCH(0, INDEX(COUNTIF($AA$13:AA46, $Z$14:$Z$300), 0, 0), 0)), "")</f>
        <v/>
      </c>
      <c r="AB47" s="88" t="str">
        <f t="shared" si="0"/>
        <v/>
      </c>
      <c r="AC47">
        <v>34</v>
      </c>
      <c r="AE47" t="str">
        <f>IF(LISTADO_NOM!AI47="","",VLOOKUP(LISTADO_NOM!AI47,SEGUIMIENTOS,2,FALSE))</f>
        <v/>
      </c>
    </row>
    <row r="48" spans="1:31">
      <c r="A48">
        <v>36</v>
      </c>
      <c r="K48">
        <v>47</v>
      </c>
      <c r="P48" t="s">
        <v>213</v>
      </c>
      <c r="T48" t="s">
        <v>214</v>
      </c>
      <c r="U48" t="s">
        <v>316</v>
      </c>
      <c r="Z48" s="88" t="str">
        <f>IF(LISTADO_NOM!K48="","",DATE(LISTADO_NOM!M48,LISTADO_NOM!L48,LISTADO_NOM!K48))</f>
        <v/>
      </c>
      <c r="AA48" s="88" t="str">
        <f>IFERROR(INDEX($Z$14:$Z$300, MATCH(0, INDEX(COUNTIF($AA$13:AA47, $Z$14:$Z$300), 0, 0), 0)), "")</f>
        <v/>
      </c>
      <c r="AB48" s="88" t="str">
        <f t="shared" si="0"/>
        <v/>
      </c>
      <c r="AC48">
        <v>35</v>
      </c>
      <c r="AE48" t="str">
        <f>IF(LISTADO_NOM!AI48="","",VLOOKUP(LISTADO_NOM!AI48,SEGUIMIENTOS,2,FALSE))</f>
        <v/>
      </c>
    </row>
    <row r="49" spans="1:31">
      <c r="A49">
        <v>37</v>
      </c>
      <c r="K49">
        <v>48</v>
      </c>
      <c r="P49" t="s">
        <v>214</v>
      </c>
      <c r="T49" t="s">
        <v>215</v>
      </c>
      <c r="U49" t="s">
        <v>314</v>
      </c>
      <c r="Z49" s="88" t="str">
        <f>IF(LISTADO_NOM!K49="","",DATE(LISTADO_NOM!M49,LISTADO_NOM!L49,LISTADO_NOM!K49))</f>
        <v/>
      </c>
      <c r="AA49" s="88" t="str">
        <f>IFERROR(INDEX($Z$14:$Z$300, MATCH(0, INDEX(COUNTIF($AA$13:AA48, $Z$14:$Z$300), 0, 0), 0)), "")</f>
        <v/>
      </c>
      <c r="AB49" s="88" t="str">
        <f t="shared" si="0"/>
        <v/>
      </c>
      <c r="AC49">
        <v>36</v>
      </c>
      <c r="AE49" t="str">
        <f>IF(LISTADO_NOM!AI49="","",VLOOKUP(LISTADO_NOM!AI49,SEGUIMIENTOS,2,FALSE))</f>
        <v/>
      </c>
    </row>
    <row r="50" spans="1:31">
      <c r="A50">
        <v>38</v>
      </c>
      <c r="K50">
        <v>49</v>
      </c>
      <c r="P50" t="s">
        <v>215</v>
      </c>
      <c r="T50" t="s">
        <v>250</v>
      </c>
      <c r="U50" t="s">
        <v>306</v>
      </c>
      <c r="Z50" s="88" t="str">
        <f>IF(LISTADO_NOM!K50="","",DATE(LISTADO_NOM!M50,LISTADO_NOM!L50,LISTADO_NOM!K50))</f>
        <v/>
      </c>
      <c r="AA50" s="88" t="str">
        <f>IFERROR(INDEX($Z$14:$Z$300, MATCH(0, INDEX(COUNTIF($AA$13:AA49, $Z$14:$Z$300), 0, 0), 0)), "")</f>
        <v/>
      </c>
      <c r="AB50" s="88" t="str">
        <f t="shared" si="0"/>
        <v/>
      </c>
      <c r="AC50">
        <v>37</v>
      </c>
      <c r="AE50" t="str">
        <f>IF(LISTADO_NOM!AI50="","",VLOOKUP(LISTADO_NOM!AI50,SEGUIMIENTOS,2,FALSE))</f>
        <v/>
      </c>
    </row>
    <row r="51" spans="1:31">
      <c r="A51">
        <v>39</v>
      </c>
      <c r="K51">
        <v>50</v>
      </c>
      <c r="P51" t="s">
        <v>250</v>
      </c>
      <c r="T51" t="s">
        <v>216</v>
      </c>
      <c r="U51" t="s">
        <v>316</v>
      </c>
      <c r="Z51" s="88" t="str">
        <f>IF(LISTADO_NOM!K51="","",DATE(LISTADO_NOM!M51,LISTADO_NOM!L51,LISTADO_NOM!K51))</f>
        <v/>
      </c>
      <c r="AA51" s="88" t="str">
        <f>IFERROR(INDEX($Z$14:$Z$300, MATCH(0, INDEX(COUNTIF($AA$13:AA50, $Z$14:$Z$300), 0, 0), 0)), "")</f>
        <v/>
      </c>
      <c r="AB51" s="88" t="str">
        <f t="shared" si="0"/>
        <v/>
      </c>
      <c r="AC51">
        <v>38</v>
      </c>
      <c r="AE51" t="str">
        <f>IF(LISTADO_NOM!AI51="","",VLOOKUP(LISTADO_NOM!AI51,SEGUIMIENTOS,2,FALSE))</f>
        <v/>
      </c>
    </row>
    <row r="52" spans="1:31">
      <c r="A52">
        <v>40</v>
      </c>
      <c r="P52" t="s">
        <v>216</v>
      </c>
      <c r="T52" t="s">
        <v>217</v>
      </c>
      <c r="U52" t="s">
        <v>316</v>
      </c>
      <c r="Z52" s="88" t="str">
        <f>IF(LISTADO_NOM!K52="","",DATE(LISTADO_NOM!M52,LISTADO_NOM!L52,LISTADO_NOM!K52))</f>
        <v/>
      </c>
      <c r="AA52" s="88" t="str">
        <f>IFERROR(INDEX($Z$14:$Z$300, MATCH(0, INDEX(COUNTIF($AA$13:AA51, $Z$14:$Z$300), 0, 0), 0)), "")</f>
        <v/>
      </c>
      <c r="AB52" s="88" t="str">
        <f t="shared" si="0"/>
        <v/>
      </c>
      <c r="AC52">
        <v>39</v>
      </c>
      <c r="AE52" t="str">
        <f>IF(LISTADO_NOM!AI52="","",VLOOKUP(LISTADO_NOM!AI52,SEGUIMIENTOS,2,FALSE))</f>
        <v/>
      </c>
    </row>
    <row r="53" spans="1:31">
      <c r="A53">
        <v>41</v>
      </c>
      <c r="P53" t="s">
        <v>217</v>
      </c>
      <c r="T53" t="s">
        <v>218</v>
      </c>
      <c r="U53" t="s">
        <v>305</v>
      </c>
      <c r="Z53" s="88" t="str">
        <f>IF(LISTADO_NOM!K53="","",DATE(LISTADO_NOM!M53,LISTADO_NOM!L53,LISTADO_NOM!K53))</f>
        <v/>
      </c>
      <c r="AA53" s="88" t="str">
        <f>IFERROR(INDEX($Z$14:$Z$300, MATCH(0, INDEX(COUNTIF($AA$13:AA52, $Z$14:$Z$300), 0, 0), 0)), "")</f>
        <v/>
      </c>
      <c r="AB53" s="88" t="str">
        <f t="shared" si="0"/>
        <v/>
      </c>
      <c r="AC53">
        <v>40</v>
      </c>
      <c r="AE53" t="str">
        <f>IF(LISTADO_NOM!AI53="","",VLOOKUP(LISTADO_NOM!AI53,SEGUIMIENTOS,2,FALSE))</f>
        <v/>
      </c>
    </row>
    <row r="54" spans="1:31">
      <c r="A54">
        <v>42</v>
      </c>
      <c r="P54" t="s">
        <v>218</v>
      </c>
      <c r="T54" t="s">
        <v>219</v>
      </c>
      <c r="U54" t="s">
        <v>306</v>
      </c>
      <c r="Z54" s="88" t="str">
        <f>IF(LISTADO_NOM!K54="","",DATE(LISTADO_NOM!M54,LISTADO_NOM!L54,LISTADO_NOM!K54))</f>
        <v/>
      </c>
      <c r="AA54" s="88" t="str">
        <f>IFERROR(INDEX($Z$14:$Z$300, MATCH(0, INDEX(COUNTIF($AA$13:AA53, $Z$14:$Z$300), 0, 0), 0)), "")</f>
        <v/>
      </c>
      <c r="AB54" s="88" t="str">
        <f t="shared" si="0"/>
        <v/>
      </c>
      <c r="AC54">
        <v>41</v>
      </c>
      <c r="AE54" t="str">
        <f>IF(LISTADO_NOM!AI54="","",VLOOKUP(LISTADO_NOM!AI54,SEGUIMIENTOS,2,FALSE))</f>
        <v/>
      </c>
    </row>
    <row r="55" spans="1:31">
      <c r="A55">
        <v>43</v>
      </c>
      <c r="P55" t="s">
        <v>219</v>
      </c>
      <c r="T55" t="s">
        <v>220</v>
      </c>
      <c r="U55" t="s">
        <v>306</v>
      </c>
      <c r="Z55" s="88" t="str">
        <f>IF(LISTADO_NOM!K55="","",DATE(LISTADO_NOM!M55,LISTADO_NOM!L55,LISTADO_NOM!K55))</f>
        <v/>
      </c>
      <c r="AA55" s="88" t="str">
        <f>IFERROR(INDEX($Z$14:$Z$300, MATCH(0, INDEX(COUNTIF($AA$13:AA54, $Z$14:$Z$300), 0, 0), 0)), "")</f>
        <v/>
      </c>
      <c r="AB55" s="88" t="str">
        <f t="shared" si="0"/>
        <v/>
      </c>
      <c r="AC55">
        <v>42</v>
      </c>
      <c r="AE55" t="str">
        <f>IF(LISTADO_NOM!AI55="","",VLOOKUP(LISTADO_NOM!AI55,SEGUIMIENTOS,2,FALSE))</f>
        <v/>
      </c>
    </row>
    <row r="56" spans="1:31">
      <c r="A56">
        <v>44</v>
      </c>
      <c r="P56" t="s">
        <v>220</v>
      </c>
      <c r="T56" t="s">
        <v>221</v>
      </c>
      <c r="U56" t="s">
        <v>312</v>
      </c>
      <c r="Z56" s="88" t="str">
        <f>IF(LISTADO_NOM!K56="","",DATE(LISTADO_NOM!M56,LISTADO_NOM!L56,LISTADO_NOM!K56))</f>
        <v/>
      </c>
      <c r="AA56" s="88" t="str">
        <f>IFERROR(INDEX($Z$14:$Z$300, MATCH(0, INDEX(COUNTIF($AA$13:AA55, $Z$14:$Z$300), 0, 0), 0)), "")</f>
        <v/>
      </c>
      <c r="AB56" s="88" t="str">
        <f t="shared" si="0"/>
        <v/>
      </c>
      <c r="AC56">
        <v>43</v>
      </c>
      <c r="AE56" t="str">
        <f>IF(LISTADO_NOM!AI56="","",VLOOKUP(LISTADO_NOM!AI56,SEGUIMIENTOS,2,FALSE))</f>
        <v/>
      </c>
    </row>
    <row r="57" spans="1:31">
      <c r="A57">
        <v>45</v>
      </c>
      <c r="P57" t="s">
        <v>221</v>
      </c>
      <c r="T57" t="s">
        <v>222</v>
      </c>
      <c r="U57" t="s">
        <v>312</v>
      </c>
      <c r="Z57" s="88" t="str">
        <f>IF(LISTADO_NOM!K57="","",DATE(LISTADO_NOM!M57,LISTADO_NOM!L57,LISTADO_NOM!K57))</f>
        <v/>
      </c>
      <c r="AA57" s="88" t="str">
        <f>IFERROR(INDEX($Z$14:$Z$300, MATCH(0, INDEX(COUNTIF($AA$13:AA56, $Z$14:$Z$300), 0, 0), 0)), "")</f>
        <v/>
      </c>
      <c r="AB57" s="88" t="str">
        <f t="shared" si="0"/>
        <v/>
      </c>
      <c r="AC57">
        <v>44</v>
      </c>
      <c r="AE57" t="str">
        <f>IF(LISTADO_NOM!AI57="","",VLOOKUP(LISTADO_NOM!AI57,SEGUIMIENTOS,2,FALSE))</f>
        <v/>
      </c>
    </row>
    <row r="58" spans="1:31">
      <c r="A58">
        <v>46</v>
      </c>
      <c r="P58" t="s">
        <v>222</v>
      </c>
      <c r="T58" t="s">
        <v>223</v>
      </c>
      <c r="U58" t="s">
        <v>317</v>
      </c>
      <c r="Z58" s="88" t="str">
        <f>IF(LISTADO_NOM!K58="","",DATE(LISTADO_NOM!M58,LISTADO_NOM!L58,LISTADO_NOM!K58))</f>
        <v/>
      </c>
      <c r="AA58" s="88" t="str">
        <f>IFERROR(INDEX($Z$14:$Z$300, MATCH(0, INDEX(COUNTIF($AA$13:AA57, $Z$14:$Z$300), 0, 0), 0)), "")</f>
        <v/>
      </c>
      <c r="AB58" s="88" t="str">
        <f t="shared" si="0"/>
        <v/>
      </c>
      <c r="AC58">
        <v>45</v>
      </c>
      <c r="AE58" t="str">
        <f>IF(LISTADO_NOM!AI58="","",VLOOKUP(LISTADO_NOM!AI58,SEGUIMIENTOS,2,FALSE))</f>
        <v/>
      </c>
    </row>
    <row r="59" spans="1:31">
      <c r="A59">
        <v>47</v>
      </c>
      <c r="P59" t="s">
        <v>223</v>
      </c>
      <c r="T59" t="s">
        <v>224</v>
      </c>
      <c r="U59" t="s">
        <v>313</v>
      </c>
      <c r="Z59" s="88" t="str">
        <f>IF(LISTADO_NOM!K59="","",DATE(LISTADO_NOM!M59,LISTADO_NOM!L59,LISTADO_NOM!K59))</f>
        <v/>
      </c>
      <c r="AA59" s="88" t="str">
        <f>IFERROR(INDEX($Z$14:$Z$300, MATCH(0, INDEX(COUNTIF($AA$13:AA58, $Z$14:$Z$300), 0, 0), 0)), "")</f>
        <v/>
      </c>
      <c r="AB59" s="88" t="str">
        <f t="shared" si="0"/>
        <v/>
      </c>
      <c r="AC59">
        <v>46</v>
      </c>
      <c r="AE59" t="str">
        <f>IF(LISTADO_NOM!AI59="","",VLOOKUP(LISTADO_NOM!AI59,SEGUIMIENTOS,2,FALSE))</f>
        <v/>
      </c>
    </row>
    <row r="60" spans="1:31">
      <c r="A60">
        <v>48</v>
      </c>
      <c r="P60" t="s">
        <v>224</v>
      </c>
      <c r="T60" t="s">
        <v>251</v>
      </c>
      <c r="U60" t="s">
        <v>305</v>
      </c>
      <c r="Z60" s="88" t="str">
        <f>IF(LISTADO_NOM!K60="","",DATE(LISTADO_NOM!M60,LISTADO_NOM!L60,LISTADO_NOM!K60))</f>
        <v/>
      </c>
      <c r="AA60" s="88" t="str">
        <f>IFERROR(INDEX($Z$14:$Z$300, MATCH(0, INDEX(COUNTIF($AA$13:AA59, $Z$14:$Z$300), 0, 0), 0)), "")</f>
        <v/>
      </c>
      <c r="AB60" s="88" t="str">
        <f t="shared" si="0"/>
        <v/>
      </c>
      <c r="AC60">
        <v>47</v>
      </c>
      <c r="AE60" t="str">
        <f>IF(LISTADO_NOM!AI60="","",VLOOKUP(LISTADO_NOM!AI60,SEGUIMIENTOS,2,FALSE))</f>
        <v/>
      </c>
    </row>
    <row r="61" spans="1:31">
      <c r="A61">
        <v>49</v>
      </c>
      <c r="P61" t="s">
        <v>251</v>
      </c>
      <c r="T61" t="s">
        <v>225</v>
      </c>
      <c r="U61" t="s">
        <v>309</v>
      </c>
      <c r="Z61" s="88" t="str">
        <f>IF(LISTADO_NOM!K61="","",DATE(LISTADO_NOM!M61,LISTADO_NOM!L61,LISTADO_NOM!K61))</f>
        <v/>
      </c>
      <c r="AA61" s="88" t="str">
        <f>IFERROR(INDEX($Z$14:$Z$300, MATCH(0, INDEX(COUNTIF($AA$13:AA60, $Z$14:$Z$300), 0, 0), 0)), "")</f>
        <v/>
      </c>
      <c r="AB61" s="88" t="str">
        <f t="shared" si="0"/>
        <v/>
      </c>
      <c r="AC61">
        <v>48</v>
      </c>
      <c r="AE61" t="str">
        <f>IF(LISTADO_NOM!AI61="","",VLOOKUP(LISTADO_NOM!AI61,SEGUIMIENTOS,2,FALSE))</f>
        <v/>
      </c>
    </row>
    <row r="62" spans="1:31">
      <c r="A62">
        <v>50</v>
      </c>
      <c r="P62" t="s">
        <v>225</v>
      </c>
      <c r="T62" t="s">
        <v>226</v>
      </c>
      <c r="U62" t="s">
        <v>311</v>
      </c>
      <c r="Z62" s="88" t="str">
        <f>IF(LISTADO_NOM!K62="","",DATE(LISTADO_NOM!M62,LISTADO_NOM!L62,LISTADO_NOM!K62))</f>
        <v/>
      </c>
      <c r="AA62" s="88" t="str">
        <f>IFERROR(INDEX($Z$14:$Z$300, MATCH(0, INDEX(COUNTIF($AA$13:AA61, $Z$14:$Z$300), 0, 0), 0)), "")</f>
        <v/>
      </c>
      <c r="AB62" s="88" t="str">
        <f t="shared" si="0"/>
        <v/>
      </c>
      <c r="AC62">
        <v>49</v>
      </c>
      <c r="AE62" t="str">
        <f>IF(LISTADO_NOM!AI62="","",VLOOKUP(LISTADO_NOM!AI62,SEGUIMIENTOS,2,FALSE))</f>
        <v/>
      </c>
    </row>
    <row r="63" spans="1:31">
      <c r="A63">
        <v>51</v>
      </c>
      <c r="P63" t="s">
        <v>226</v>
      </c>
      <c r="T63" t="s">
        <v>227</v>
      </c>
      <c r="U63" t="s">
        <v>307</v>
      </c>
      <c r="Z63" s="88" t="str">
        <f>IF(LISTADO_NOM!K63="","",DATE(LISTADO_NOM!M63,LISTADO_NOM!L63,LISTADO_NOM!K63))</f>
        <v/>
      </c>
      <c r="AA63" s="88" t="str">
        <f>IFERROR(INDEX($Z$14:$Z$300, MATCH(0, INDEX(COUNTIF($AA$13:AA62, $Z$14:$Z$300), 0, 0), 0)), "")</f>
        <v/>
      </c>
      <c r="AB63" s="88" t="str">
        <f t="shared" si="0"/>
        <v/>
      </c>
      <c r="AC63">
        <v>50</v>
      </c>
      <c r="AE63" t="str">
        <f>IF(LISTADO_NOM!AI63="","",VLOOKUP(LISTADO_NOM!AI63,SEGUIMIENTOS,2,FALSE))</f>
        <v/>
      </c>
    </row>
    <row r="64" spans="1:31">
      <c r="A64">
        <v>52</v>
      </c>
      <c r="P64" t="s">
        <v>227</v>
      </c>
      <c r="T64" t="s">
        <v>228</v>
      </c>
      <c r="U64" t="s">
        <v>318</v>
      </c>
      <c r="Z64" s="88" t="str">
        <f>IF(LISTADO_NOM!K64="","",DATE(LISTADO_NOM!M64,LISTADO_NOM!L64,LISTADO_NOM!K64))</f>
        <v/>
      </c>
      <c r="AA64" s="88" t="str">
        <f>IFERROR(INDEX($Z$14:$Z$300, MATCH(0, INDEX(COUNTIF($AA$13:AA63, $Z$14:$Z$300), 0, 0), 0)), "")</f>
        <v/>
      </c>
      <c r="AB64" s="88" t="str">
        <f t="shared" si="0"/>
        <v/>
      </c>
      <c r="AC64">
        <v>51</v>
      </c>
      <c r="AE64" t="str">
        <f>IF(LISTADO_NOM!AI64="","",VLOOKUP(LISTADO_NOM!AI64,SEGUIMIENTOS,2,FALSE))</f>
        <v/>
      </c>
    </row>
    <row r="65" spans="1:31">
      <c r="A65">
        <v>53</v>
      </c>
      <c r="P65" t="s">
        <v>228</v>
      </c>
      <c r="T65" t="s">
        <v>229</v>
      </c>
      <c r="U65" t="s">
        <v>307</v>
      </c>
      <c r="Z65" s="88" t="str">
        <f>IF(LISTADO_NOM!K65="","",DATE(LISTADO_NOM!M65,LISTADO_NOM!L65,LISTADO_NOM!K65))</f>
        <v/>
      </c>
      <c r="AA65" s="88" t="str">
        <f>IFERROR(INDEX($Z$14:$Z$300, MATCH(0, INDEX(COUNTIF($AA$13:AA64, $Z$14:$Z$300), 0, 0), 0)), "")</f>
        <v/>
      </c>
      <c r="AB65" s="88" t="str">
        <f t="shared" si="0"/>
        <v/>
      </c>
      <c r="AC65">
        <v>52</v>
      </c>
      <c r="AE65" t="str">
        <f>IF(LISTADO_NOM!AI65="","",VLOOKUP(LISTADO_NOM!AI65,SEGUIMIENTOS,2,FALSE))</f>
        <v/>
      </c>
    </row>
    <row r="66" spans="1:31">
      <c r="A66">
        <v>54</v>
      </c>
      <c r="P66" t="s">
        <v>229</v>
      </c>
      <c r="T66" t="s">
        <v>230</v>
      </c>
      <c r="U66" t="s">
        <v>319</v>
      </c>
      <c r="Z66" s="88" t="str">
        <f>IF(LISTADO_NOM!K66="","",DATE(LISTADO_NOM!M66,LISTADO_NOM!L66,LISTADO_NOM!K66))</f>
        <v/>
      </c>
      <c r="AA66" s="88" t="str">
        <f>IFERROR(INDEX($Z$14:$Z$300, MATCH(0, INDEX(COUNTIF($AA$13:AA65, $Z$14:$Z$300), 0, 0), 0)), "")</f>
        <v/>
      </c>
      <c r="AB66" s="88" t="str">
        <f t="shared" si="0"/>
        <v/>
      </c>
      <c r="AC66">
        <v>53</v>
      </c>
      <c r="AE66" t="str">
        <f>IF(LISTADO_NOM!AI66="","",VLOOKUP(LISTADO_NOM!AI66,SEGUIMIENTOS,2,FALSE))</f>
        <v/>
      </c>
    </row>
    <row r="67" spans="1:31">
      <c r="A67">
        <v>55</v>
      </c>
      <c r="P67" t="s">
        <v>230</v>
      </c>
      <c r="T67" t="s">
        <v>231</v>
      </c>
      <c r="U67" t="s">
        <v>318</v>
      </c>
      <c r="Z67" s="88" t="str">
        <f>IF(LISTADO_NOM!K67="","",DATE(LISTADO_NOM!M67,LISTADO_NOM!L67,LISTADO_NOM!K67))</f>
        <v/>
      </c>
      <c r="AA67" s="88" t="str">
        <f>IFERROR(INDEX($Z$14:$Z$300, MATCH(0, INDEX(COUNTIF($AA$13:AA66, $Z$14:$Z$300), 0, 0), 0)), "")</f>
        <v/>
      </c>
      <c r="AB67" s="88" t="str">
        <f t="shared" si="0"/>
        <v/>
      </c>
      <c r="AC67">
        <v>54</v>
      </c>
      <c r="AE67" t="str">
        <f>IF(LISTADO_NOM!AI67="","",VLOOKUP(LISTADO_NOM!AI67,SEGUIMIENTOS,2,FALSE))</f>
        <v/>
      </c>
    </row>
    <row r="68" spans="1:31">
      <c r="A68">
        <v>56</v>
      </c>
      <c r="P68" t="s">
        <v>231</v>
      </c>
      <c r="T68" t="s">
        <v>232</v>
      </c>
      <c r="U68" t="s">
        <v>320</v>
      </c>
      <c r="Z68" s="88" t="str">
        <f>IF(LISTADO_NOM!K68="","",DATE(LISTADO_NOM!M68,LISTADO_NOM!L68,LISTADO_NOM!K68))</f>
        <v/>
      </c>
      <c r="AA68" s="88" t="str">
        <f>IFERROR(INDEX($Z$14:$Z$300, MATCH(0, INDEX(COUNTIF($AA$13:AA67, $Z$14:$Z$300), 0, 0), 0)), "")</f>
        <v/>
      </c>
      <c r="AB68" s="88" t="str">
        <f t="shared" si="0"/>
        <v/>
      </c>
      <c r="AC68">
        <v>55</v>
      </c>
      <c r="AE68" t="str">
        <f>IF(LISTADO_NOM!AI68="","",VLOOKUP(LISTADO_NOM!AI68,SEGUIMIENTOS,2,FALSE))</f>
        <v/>
      </c>
    </row>
    <row r="69" spans="1:31">
      <c r="A69">
        <v>57</v>
      </c>
      <c r="P69" t="s">
        <v>232</v>
      </c>
      <c r="T69" t="s">
        <v>233</v>
      </c>
      <c r="U69" t="s">
        <v>319</v>
      </c>
      <c r="Z69" s="88" t="str">
        <f>IF(LISTADO_NOM!K69="","",DATE(LISTADO_NOM!M69,LISTADO_NOM!L69,LISTADO_NOM!K69))</f>
        <v/>
      </c>
      <c r="AA69" s="88" t="str">
        <f>IFERROR(INDEX($Z$14:$Z$300, MATCH(0, INDEX(COUNTIF($AA$13:AA68, $Z$14:$Z$300), 0, 0), 0)), "")</f>
        <v/>
      </c>
      <c r="AB69" s="88" t="str">
        <f t="shared" si="0"/>
        <v/>
      </c>
      <c r="AC69">
        <v>56</v>
      </c>
      <c r="AE69" t="str">
        <f>IF(LISTADO_NOM!AI69="","",VLOOKUP(LISTADO_NOM!AI69,SEGUIMIENTOS,2,FALSE))</f>
        <v/>
      </c>
    </row>
    <row r="70" spans="1:31">
      <c r="A70">
        <v>58</v>
      </c>
      <c r="P70" t="s">
        <v>233</v>
      </c>
      <c r="T70" t="s">
        <v>252</v>
      </c>
      <c r="U70" t="s">
        <v>318</v>
      </c>
      <c r="Z70" s="88" t="str">
        <f>IF(LISTADO_NOM!K70="","",DATE(LISTADO_NOM!M70,LISTADO_NOM!L70,LISTADO_NOM!K70))</f>
        <v/>
      </c>
      <c r="AA70" s="88" t="str">
        <f>IFERROR(INDEX($Z$14:$Z$300, MATCH(0, INDEX(COUNTIF($AA$13:AA69, $Z$14:$Z$300), 0, 0), 0)), "")</f>
        <v/>
      </c>
      <c r="AB70" s="88" t="str">
        <f t="shared" si="0"/>
        <v/>
      </c>
      <c r="AC70">
        <v>57</v>
      </c>
      <c r="AE70" t="str">
        <f>IF(LISTADO_NOM!AI70="","",VLOOKUP(LISTADO_NOM!AI70,SEGUIMIENTOS,2,FALSE))</f>
        <v/>
      </c>
    </row>
    <row r="71" spans="1:31">
      <c r="A71">
        <v>59</v>
      </c>
      <c r="P71" t="s">
        <v>252</v>
      </c>
      <c r="T71" t="s">
        <v>234</v>
      </c>
      <c r="U71" t="s">
        <v>315</v>
      </c>
      <c r="Z71" s="88" t="str">
        <f>IF(LISTADO_NOM!K71="","",DATE(LISTADO_NOM!M71,LISTADO_NOM!L71,LISTADO_NOM!K71))</f>
        <v/>
      </c>
      <c r="AA71" s="88" t="str">
        <f>IFERROR(INDEX($Z$14:$Z$300, MATCH(0, INDEX(COUNTIF($AA$13:AA70, $Z$14:$Z$300), 0, 0), 0)), "")</f>
        <v/>
      </c>
      <c r="AB71" s="88" t="str">
        <f t="shared" si="0"/>
        <v/>
      </c>
      <c r="AC71">
        <v>58</v>
      </c>
      <c r="AE71" t="str">
        <f>IF(LISTADO_NOM!AI71="","",VLOOKUP(LISTADO_NOM!AI71,SEGUIMIENTOS,2,FALSE))</f>
        <v/>
      </c>
    </row>
    <row r="72" spans="1:31">
      <c r="A72">
        <v>60</v>
      </c>
      <c r="P72" t="s">
        <v>234</v>
      </c>
      <c r="T72" t="s">
        <v>235</v>
      </c>
      <c r="U72" t="s">
        <v>309</v>
      </c>
      <c r="Z72" s="88" t="str">
        <f>IF(LISTADO_NOM!K72="","",DATE(LISTADO_NOM!M72,LISTADO_NOM!L72,LISTADO_NOM!K72))</f>
        <v/>
      </c>
      <c r="AA72" s="88" t="str">
        <f>IFERROR(INDEX($Z$14:$Z$300, MATCH(0, INDEX(COUNTIF($AA$13:AA71, $Z$14:$Z$300), 0, 0), 0)), "")</f>
        <v/>
      </c>
      <c r="AB72" s="88" t="str">
        <f t="shared" si="0"/>
        <v/>
      </c>
      <c r="AC72">
        <v>59</v>
      </c>
      <c r="AE72" t="str">
        <f>IF(LISTADO_NOM!AI72="","",VLOOKUP(LISTADO_NOM!AI72,SEGUIMIENTOS,2,FALSE))</f>
        <v/>
      </c>
    </row>
    <row r="73" spans="1:31">
      <c r="A73">
        <v>61</v>
      </c>
      <c r="P73" t="s">
        <v>235</v>
      </c>
      <c r="T73" t="s">
        <v>236</v>
      </c>
      <c r="U73" t="s">
        <v>311</v>
      </c>
      <c r="Z73" s="88" t="str">
        <f>IF(LISTADO_NOM!K73="","",DATE(LISTADO_NOM!M73,LISTADO_NOM!L73,LISTADO_NOM!K73))</f>
        <v/>
      </c>
      <c r="AA73" s="88" t="str">
        <f>IFERROR(INDEX($Z$14:$Z$300, MATCH(0, INDEX(COUNTIF($AA$13:AA72, $Z$14:$Z$300), 0, 0), 0)), "")</f>
        <v/>
      </c>
      <c r="AB73" s="88" t="str">
        <f t="shared" si="0"/>
        <v/>
      </c>
      <c r="AC73">
        <v>60</v>
      </c>
      <c r="AE73" t="str">
        <f>IF(LISTADO_NOM!AI73="","",VLOOKUP(LISTADO_NOM!AI73,SEGUIMIENTOS,2,FALSE))</f>
        <v/>
      </c>
    </row>
    <row r="74" spans="1:31">
      <c r="A74">
        <v>62</v>
      </c>
      <c r="P74" t="s">
        <v>236</v>
      </c>
      <c r="T74" t="s">
        <v>237</v>
      </c>
      <c r="U74" t="s">
        <v>307</v>
      </c>
      <c r="Z74" s="88" t="str">
        <f>IF(LISTADO_NOM!K74="","",DATE(LISTADO_NOM!M74,LISTADO_NOM!L74,LISTADO_NOM!K74))</f>
        <v/>
      </c>
      <c r="AA74" s="88" t="str">
        <f>IFERROR(INDEX($Z$14:$Z$300, MATCH(0, INDEX(COUNTIF($AA$13:AA73, $Z$14:$Z$300), 0, 0), 0)), "")</f>
        <v/>
      </c>
      <c r="AB74" s="88" t="str">
        <f t="shared" si="0"/>
        <v/>
      </c>
      <c r="AC74">
        <v>61</v>
      </c>
      <c r="AE74" t="str">
        <f>IF(LISTADO_NOM!AI74="","",VLOOKUP(LISTADO_NOM!AI74,SEGUIMIENTOS,2,FALSE))</f>
        <v/>
      </c>
    </row>
    <row r="75" spans="1:31">
      <c r="A75">
        <v>63</v>
      </c>
      <c r="P75" t="s">
        <v>237</v>
      </c>
      <c r="T75" t="s">
        <v>238</v>
      </c>
      <c r="U75" t="s">
        <v>319</v>
      </c>
      <c r="Z75" s="88" t="str">
        <f>IF(LISTADO_NOM!K75="","",DATE(LISTADO_NOM!M75,LISTADO_NOM!L75,LISTADO_NOM!K75))</f>
        <v/>
      </c>
      <c r="AA75" s="88" t="str">
        <f>IFERROR(INDEX($Z$14:$Z$300, MATCH(0, INDEX(COUNTIF($AA$13:AA74, $Z$14:$Z$300), 0, 0), 0)), "")</f>
        <v/>
      </c>
      <c r="AB75" s="88" t="str">
        <f t="shared" si="0"/>
        <v/>
      </c>
      <c r="AC75">
        <v>62</v>
      </c>
      <c r="AE75" t="str">
        <f>IF(LISTADO_NOM!AI75="","",VLOOKUP(LISTADO_NOM!AI75,SEGUIMIENTOS,2,FALSE))</f>
        <v/>
      </c>
    </row>
    <row r="76" spans="1:31">
      <c r="A76">
        <v>64</v>
      </c>
      <c r="P76" t="s">
        <v>238</v>
      </c>
      <c r="T76" t="s">
        <v>239</v>
      </c>
      <c r="U76" t="s">
        <v>318</v>
      </c>
      <c r="Z76" s="88" t="str">
        <f>IF(LISTADO_NOM!K76="","",DATE(LISTADO_NOM!M76,LISTADO_NOM!L76,LISTADO_NOM!K76))</f>
        <v/>
      </c>
      <c r="AA76" s="88" t="str">
        <f>IFERROR(INDEX($Z$14:$Z$300, MATCH(0, INDEX(COUNTIF($AA$13:AA75, $Z$14:$Z$300), 0, 0), 0)), "")</f>
        <v/>
      </c>
      <c r="AB76" s="88" t="str">
        <f t="shared" si="0"/>
        <v/>
      </c>
      <c r="AC76">
        <v>63</v>
      </c>
      <c r="AE76" t="str">
        <f>IF(LISTADO_NOM!AI76="","",VLOOKUP(LISTADO_NOM!AI76,SEGUIMIENTOS,2,FALSE))</f>
        <v/>
      </c>
    </row>
    <row r="77" spans="1:31">
      <c r="A77">
        <v>65</v>
      </c>
      <c r="P77" t="s">
        <v>239</v>
      </c>
      <c r="T77" t="s">
        <v>240</v>
      </c>
      <c r="U77" t="s">
        <v>312</v>
      </c>
      <c r="Z77" s="88" t="str">
        <f>IF(LISTADO_NOM!K77="","",DATE(LISTADO_NOM!M77,LISTADO_NOM!L77,LISTADO_NOM!K77))</f>
        <v/>
      </c>
      <c r="AA77" s="88" t="str">
        <f>IFERROR(INDEX($Z$14:$Z$300, MATCH(0, INDEX(COUNTIF($AA$13:AA76, $Z$14:$Z$300), 0, 0), 0)), "")</f>
        <v/>
      </c>
      <c r="AB77" s="88" t="str">
        <f t="shared" si="0"/>
        <v/>
      </c>
      <c r="AC77">
        <v>64</v>
      </c>
      <c r="AE77" t="str">
        <f>IF(LISTADO_NOM!AI77="","",VLOOKUP(LISTADO_NOM!AI77,SEGUIMIENTOS,2,FALSE))</f>
        <v/>
      </c>
    </row>
    <row r="78" spans="1:31">
      <c r="A78">
        <v>66</v>
      </c>
      <c r="P78" t="s">
        <v>240</v>
      </c>
      <c r="T78" t="s">
        <v>241</v>
      </c>
      <c r="U78" t="s">
        <v>310</v>
      </c>
      <c r="Z78" s="88" t="str">
        <f>IF(LISTADO_NOM!K78="","",DATE(LISTADO_NOM!M78,LISTADO_NOM!L78,LISTADO_NOM!K78))</f>
        <v/>
      </c>
      <c r="AA78" s="88" t="str">
        <f>IFERROR(INDEX($Z$14:$Z$300, MATCH(0, INDEX(COUNTIF($AA$13:AA77, $Z$14:$Z$300), 0, 0), 0)), "")</f>
        <v/>
      </c>
      <c r="AB78" s="88" t="str">
        <f t="shared" ref="AB78:AB141" si="1">IF(AA78="","",SMALL(ORDENA_,AC78))</f>
        <v/>
      </c>
      <c r="AC78">
        <v>65</v>
      </c>
      <c r="AE78" t="str">
        <f>IF(LISTADO_NOM!AI78="","",VLOOKUP(LISTADO_NOM!AI78,SEGUIMIENTOS,2,FALSE))</f>
        <v/>
      </c>
    </row>
    <row r="79" spans="1:31">
      <c r="A79">
        <v>67</v>
      </c>
      <c r="P79" t="s">
        <v>241</v>
      </c>
      <c r="T79" t="s">
        <v>242</v>
      </c>
      <c r="U79" t="s">
        <v>320</v>
      </c>
      <c r="Z79" s="88" t="str">
        <f>IF(LISTADO_NOM!K79="","",DATE(LISTADO_NOM!M79,LISTADO_NOM!L79,LISTADO_NOM!K79))</f>
        <v/>
      </c>
      <c r="AA79" s="88" t="str">
        <f>IFERROR(INDEX($Z$14:$Z$300, MATCH(0, INDEX(COUNTIF($AA$13:AA78, $Z$14:$Z$300), 0, 0), 0)), "")</f>
        <v/>
      </c>
      <c r="AB79" s="88" t="str">
        <f t="shared" si="1"/>
        <v/>
      </c>
      <c r="AC79">
        <v>66</v>
      </c>
      <c r="AE79" t="str">
        <f>IF(LISTADO_NOM!AI79="","",VLOOKUP(LISTADO_NOM!AI79,SEGUIMIENTOS,2,FALSE))</f>
        <v/>
      </c>
    </row>
    <row r="80" spans="1:31">
      <c r="A80">
        <v>68</v>
      </c>
      <c r="P80" t="s">
        <v>242</v>
      </c>
      <c r="T80" t="s">
        <v>253</v>
      </c>
      <c r="U80" t="s">
        <v>310</v>
      </c>
      <c r="Z80" s="88" t="str">
        <f>IF(LISTADO_NOM!K80="","",DATE(LISTADO_NOM!M80,LISTADO_NOM!L80,LISTADO_NOM!K80))</f>
        <v/>
      </c>
      <c r="AA80" s="88" t="str">
        <f>IFERROR(INDEX($Z$14:$Z$300, MATCH(0, INDEX(COUNTIF($AA$13:AA79, $Z$14:$Z$300), 0, 0), 0)), "")</f>
        <v/>
      </c>
      <c r="AB80" s="88" t="str">
        <f t="shared" si="1"/>
        <v/>
      </c>
      <c r="AC80">
        <v>67</v>
      </c>
      <c r="AE80" t="str">
        <f>IF(LISTADO_NOM!AI80="","",VLOOKUP(LISTADO_NOM!AI80,SEGUIMIENTOS,2,FALSE))</f>
        <v/>
      </c>
    </row>
    <row r="81" spans="1:31">
      <c r="A81">
        <v>69</v>
      </c>
      <c r="P81" t="s">
        <v>253</v>
      </c>
      <c r="T81" t="s">
        <v>243</v>
      </c>
      <c r="U81" t="s">
        <v>320</v>
      </c>
      <c r="Z81" s="88" t="str">
        <f>IF(LISTADO_NOM!K81="","",DATE(LISTADO_NOM!M81,LISTADO_NOM!L81,LISTADO_NOM!K81))</f>
        <v/>
      </c>
      <c r="AA81" s="88" t="str">
        <f>IFERROR(INDEX($Z$14:$Z$300, MATCH(0, INDEX(COUNTIF($AA$13:AA80, $Z$14:$Z$300), 0, 0), 0)), "")</f>
        <v/>
      </c>
      <c r="AB81" s="88" t="str">
        <f t="shared" si="1"/>
        <v/>
      </c>
      <c r="AC81">
        <v>68</v>
      </c>
      <c r="AE81" t="str">
        <f>IF(LISTADO_NOM!AI81="","",VLOOKUP(LISTADO_NOM!AI81,SEGUIMIENTOS,2,FALSE))</f>
        <v/>
      </c>
    </row>
    <row r="82" spans="1:31">
      <c r="A82">
        <v>70</v>
      </c>
      <c r="P82" t="s">
        <v>243</v>
      </c>
      <c r="T82" t="s">
        <v>244</v>
      </c>
      <c r="U82" t="s">
        <v>319</v>
      </c>
      <c r="Z82" s="88" t="str">
        <f>IF(LISTADO_NOM!K82="","",DATE(LISTADO_NOM!M82,LISTADO_NOM!L82,LISTADO_NOM!K82))</f>
        <v/>
      </c>
      <c r="AA82" s="88" t="str">
        <f>IFERROR(INDEX($Z$14:$Z$300, MATCH(0, INDEX(COUNTIF($AA$13:AA81, $Z$14:$Z$300), 0, 0), 0)), "")</f>
        <v/>
      </c>
      <c r="AB82" s="88" t="str">
        <f t="shared" si="1"/>
        <v/>
      </c>
      <c r="AC82">
        <v>69</v>
      </c>
      <c r="AE82" t="str">
        <f>IF(LISTADO_NOM!AI82="","",VLOOKUP(LISTADO_NOM!AI82,SEGUIMIENTOS,2,FALSE))</f>
        <v/>
      </c>
    </row>
    <row r="83" spans="1:31">
      <c r="A83">
        <v>71</v>
      </c>
      <c r="P83" t="s">
        <v>244</v>
      </c>
      <c r="T83" t="s">
        <v>245</v>
      </c>
      <c r="U83" t="s">
        <v>319</v>
      </c>
      <c r="Z83" s="88" t="str">
        <f>IF(LISTADO_NOM!K83="","",DATE(LISTADO_NOM!M83,LISTADO_NOM!L83,LISTADO_NOM!K83))</f>
        <v/>
      </c>
      <c r="AA83" s="88" t="str">
        <f>IFERROR(INDEX($Z$14:$Z$300, MATCH(0, INDEX(COUNTIF($AA$13:AA82, $Z$14:$Z$300), 0, 0), 0)), "")</f>
        <v/>
      </c>
      <c r="AB83" s="88" t="str">
        <f t="shared" si="1"/>
        <v/>
      </c>
      <c r="AC83">
        <v>70</v>
      </c>
      <c r="AE83" t="str">
        <f>IF(LISTADO_NOM!AI83="","",VLOOKUP(LISTADO_NOM!AI83,SEGUIMIENTOS,2,FALSE))</f>
        <v/>
      </c>
    </row>
    <row r="84" spans="1:31">
      <c r="A84">
        <v>72</v>
      </c>
      <c r="P84" t="s">
        <v>245</v>
      </c>
      <c r="T84" t="s">
        <v>246</v>
      </c>
      <c r="U84" t="s">
        <v>317</v>
      </c>
      <c r="Z84" s="88" t="str">
        <f>IF(LISTADO_NOM!K84="","",DATE(LISTADO_NOM!M84,LISTADO_NOM!L84,LISTADO_NOM!K84))</f>
        <v/>
      </c>
      <c r="AA84" s="88" t="str">
        <f>IFERROR(INDEX($Z$14:$Z$300, MATCH(0, INDEX(COUNTIF($AA$13:AA83, $Z$14:$Z$300), 0, 0), 0)), "")</f>
        <v/>
      </c>
      <c r="AB84" s="88" t="str">
        <f t="shared" si="1"/>
        <v/>
      </c>
      <c r="AC84">
        <v>71</v>
      </c>
      <c r="AE84" t="str">
        <f>IF(LISTADO_NOM!AI84="","",VLOOKUP(LISTADO_NOM!AI84,SEGUIMIENTOS,2,FALSE))</f>
        <v/>
      </c>
    </row>
    <row r="85" spans="1:31">
      <c r="A85">
        <v>73</v>
      </c>
      <c r="P85" t="s">
        <v>246</v>
      </c>
      <c r="Z85" s="88" t="str">
        <f>IF(LISTADO_NOM!K85="","",DATE(LISTADO_NOM!M85,LISTADO_NOM!L85,LISTADO_NOM!K85))</f>
        <v/>
      </c>
      <c r="AA85" s="88" t="str">
        <f>IFERROR(INDEX($Z$14:$Z$300, MATCH(0, INDEX(COUNTIF($AA$13:AA84, $Z$14:$Z$300), 0, 0), 0)), "")</f>
        <v/>
      </c>
      <c r="AB85" s="88" t="str">
        <f t="shared" si="1"/>
        <v/>
      </c>
      <c r="AC85">
        <v>72</v>
      </c>
      <c r="AE85" t="str">
        <f>IF(LISTADO_NOM!AI85="","",VLOOKUP(LISTADO_NOM!AI85,SEGUIMIENTOS,2,FALSE))</f>
        <v/>
      </c>
    </row>
    <row r="86" spans="1:31">
      <c r="A86">
        <v>74</v>
      </c>
      <c r="Z86" s="88" t="str">
        <f>IF(LISTADO_NOM!K86="","",DATE(LISTADO_NOM!M86,LISTADO_NOM!L86,LISTADO_NOM!K86))</f>
        <v/>
      </c>
      <c r="AA86" s="88" t="str">
        <f>IFERROR(INDEX($Z$14:$Z$300, MATCH(0, INDEX(COUNTIF($AA$13:AA85, $Z$14:$Z$300), 0, 0), 0)), "")</f>
        <v/>
      </c>
      <c r="AB86" s="88" t="str">
        <f t="shared" si="1"/>
        <v/>
      </c>
      <c r="AC86">
        <v>73</v>
      </c>
      <c r="AE86" t="str">
        <f>IF(LISTADO_NOM!AI86="","",VLOOKUP(LISTADO_NOM!AI86,SEGUIMIENTOS,2,FALSE))</f>
        <v/>
      </c>
    </row>
    <row r="87" spans="1:31">
      <c r="A87">
        <v>75</v>
      </c>
      <c r="Z87" s="88" t="str">
        <f>IF(LISTADO_NOM!K87="","",DATE(LISTADO_NOM!M87,LISTADO_NOM!L87,LISTADO_NOM!K87))</f>
        <v/>
      </c>
      <c r="AA87" s="88" t="str">
        <f>IFERROR(INDEX($Z$14:$Z$300, MATCH(0, INDEX(COUNTIF($AA$13:AA86, $Z$14:$Z$300), 0, 0), 0)), "")</f>
        <v/>
      </c>
      <c r="AB87" s="88" t="str">
        <f t="shared" si="1"/>
        <v/>
      </c>
      <c r="AC87">
        <v>74</v>
      </c>
      <c r="AE87" t="str">
        <f>IF(LISTADO_NOM!AI87="","",VLOOKUP(LISTADO_NOM!AI87,SEGUIMIENTOS,2,FALSE))</f>
        <v/>
      </c>
    </row>
    <row r="88" spans="1:31">
      <c r="A88">
        <v>76</v>
      </c>
      <c r="Z88" s="88" t="str">
        <f>IF(LISTADO_NOM!K88="","",DATE(LISTADO_NOM!M88,LISTADO_NOM!L88,LISTADO_NOM!K88))</f>
        <v/>
      </c>
      <c r="AA88" s="88" t="str">
        <f>IFERROR(INDEX($Z$14:$Z$300, MATCH(0, INDEX(COUNTIF($AA$13:AA87, $Z$14:$Z$300), 0, 0), 0)), "")</f>
        <v/>
      </c>
      <c r="AB88" s="88" t="str">
        <f t="shared" si="1"/>
        <v/>
      </c>
      <c r="AC88">
        <v>75</v>
      </c>
      <c r="AE88" t="str">
        <f>IF(LISTADO_NOM!AI88="","",VLOOKUP(LISTADO_NOM!AI88,SEGUIMIENTOS,2,FALSE))</f>
        <v/>
      </c>
    </row>
    <row r="89" spans="1:31">
      <c r="A89">
        <v>77</v>
      </c>
      <c r="Z89" s="88" t="str">
        <f>IF(LISTADO_NOM!K89="","",DATE(LISTADO_NOM!M89,LISTADO_NOM!L89,LISTADO_NOM!K89))</f>
        <v/>
      </c>
      <c r="AA89" s="88" t="str">
        <f>IFERROR(INDEX($Z$14:$Z$300, MATCH(0, INDEX(COUNTIF($AA$13:AA88, $Z$14:$Z$300), 0, 0), 0)), "")</f>
        <v/>
      </c>
      <c r="AB89" s="88" t="str">
        <f t="shared" si="1"/>
        <v/>
      </c>
      <c r="AC89">
        <v>76</v>
      </c>
      <c r="AE89" t="str">
        <f>IF(LISTADO_NOM!AI89="","",VLOOKUP(LISTADO_NOM!AI89,SEGUIMIENTOS,2,FALSE))</f>
        <v/>
      </c>
    </row>
    <row r="90" spans="1:31">
      <c r="A90">
        <v>78</v>
      </c>
      <c r="Z90" s="88" t="str">
        <f>IF(LISTADO_NOM!K90="","",DATE(LISTADO_NOM!M90,LISTADO_NOM!L90,LISTADO_NOM!K90))</f>
        <v/>
      </c>
      <c r="AA90" s="88" t="str">
        <f>IFERROR(INDEX($Z$14:$Z$300, MATCH(0, INDEX(COUNTIF($AA$13:AA89, $Z$14:$Z$300), 0, 0), 0)), "")</f>
        <v/>
      </c>
      <c r="AB90" s="88" t="str">
        <f t="shared" si="1"/>
        <v/>
      </c>
      <c r="AC90">
        <v>77</v>
      </c>
      <c r="AE90" t="str">
        <f>IF(LISTADO_NOM!AI90="","",VLOOKUP(LISTADO_NOM!AI90,SEGUIMIENTOS,2,FALSE))</f>
        <v/>
      </c>
    </row>
    <row r="91" spans="1:31">
      <c r="A91">
        <v>79</v>
      </c>
      <c r="Z91" s="88" t="str">
        <f>IF(LISTADO_NOM!K91="","",DATE(LISTADO_NOM!M91,LISTADO_NOM!L91,LISTADO_NOM!K91))</f>
        <v/>
      </c>
      <c r="AA91" s="88" t="str">
        <f>IFERROR(INDEX($Z$14:$Z$300, MATCH(0, INDEX(COUNTIF($AA$13:AA90, $Z$14:$Z$300), 0, 0), 0)), "")</f>
        <v/>
      </c>
      <c r="AB91" s="88" t="str">
        <f t="shared" si="1"/>
        <v/>
      </c>
      <c r="AC91">
        <v>78</v>
      </c>
      <c r="AE91" t="str">
        <f>IF(LISTADO_NOM!AI91="","",VLOOKUP(LISTADO_NOM!AI91,SEGUIMIENTOS,2,FALSE))</f>
        <v/>
      </c>
    </row>
    <row r="92" spans="1:31">
      <c r="A92">
        <v>80</v>
      </c>
      <c r="Z92" s="88" t="str">
        <f>IF(LISTADO_NOM!K92="","",DATE(LISTADO_NOM!M92,LISTADO_NOM!L92,LISTADO_NOM!K92))</f>
        <v/>
      </c>
      <c r="AA92" s="88" t="str">
        <f>IFERROR(INDEX($Z$14:$Z$300, MATCH(0, INDEX(COUNTIF($AA$13:AA91, $Z$14:$Z$300), 0, 0), 0)), "")</f>
        <v/>
      </c>
      <c r="AB92" s="88" t="str">
        <f t="shared" si="1"/>
        <v/>
      </c>
      <c r="AC92">
        <v>79</v>
      </c>
      <c r="AE92" t="str">
        <f>IF(LISTADO_NOM!AI92="","",VLOOKUP(LISTADO_NOM!AI92,SEGUIMIENTOS,2,FALSE))</f>
        <v/>
      </c>
    </row>
    <row r="93" spans="1:31">
      <c r="A93">
        <v>81</v>
      </c>
      <c r="Z93" s="88" t="str">
        <f>IF(LISTADO_NOM!K93="","",DATE(LISTADO_NOM!M93,LISTADO_NOM!L93,LISTADO_NOM!K93))</f>
        <v/>
      </c>
      <c r="AA93" s="88" t="str">
        <f>IFERROR(INDEX($Z$14:$Z$300, MATCH(0, INDEX(COUNTIF($AA$13:AA92, $Z$14:$Z$300), 0, 0), 0)), "")</f>
        <v/>
      </c>
      <c r="AB93" s="88" t="str">
        <f t="shared" si="1"/>
        <v/>
      </c>
      <c r="AC93">
        <v>80</v>
      </c>
      <c r="AE93" t="str">
        <f>IF(LISTADO_NOM!AI93="","",VLOOKUP(LISTADO_NOM!AI93,SEGUIMIENTOS,2,FALSE))</f>
        <v/>
      </c>
    </row>
    <row r="94" spans="1:31">
      <c r="A94">
        <v>82</v>
      </c>
      <c r="Z94" s="88" t="str">
        <f>IF(LISTADO_NOM!K94="","",DATE(LISTADO_NOM!M94,LISTADO_NOM!L94,LISTADO_NOM!K94))</f>
        <v/>
      </c>
      <c r="AA94" s="88" t="str">
        <f>IFERROR(INDEX($Z$14:$Z$300, MATCH(0, INDEX(COUNTIF($AA$13:AA93, $Z$14:$Z$300), 0, 0), 0)), "")</f>
        <v/>
      </c>
      <c r="AB94" s="88" t="str">
        <f t="shared" si="1"/>
        <v/>
      </c>
      <c r="AC94">
        <v>81</v>
      </c>
      <c r="AE94" t="str">
        <f>IF(LISTADO_NOM!AI94="","",VLOOKUP(LISTADO_NOM!AI94,SEGUIMIENTOS,2,FALSE))</f>
        <v/>
      </c>
    </row>
    <row r="95" spans="1:31">
      <c r="A95">
        <v>83</v>
      </c>
      <c r="Z95" s="88" t="str">
        <f>IF(LISTADO_NOM!K95="","",DATE(LISTADO_NOM!M95,LISTADO_NOM!L95,LISTADO_NOM!K95))</f>
        <v/>
      </c>
      <c r="AA95" s="88" t="str">
        <f>IFERROR(INDEX($Z$14:$Z$300, MATCH(0, INDEX(COUNTIF($AA$13:AA94, $Z$14:$Z$300), 0, 0), 0)), "")</f>
        <v/>
      </c>
      <c r="AB95" s="88" t="str">
        <f t="shared" si="1"/>
        <v/>
      </c>
      <c r="AC95">
        <v>82</v>
      </c>
      <c r="AE95" t="str">
        <f>IF(LISTADO_NOM!AI95="","",VLOOKUP(LISTADO_NOM!AI95,SEGUIMIENTOS,2,FALSE))</f>
        <v/>
      </c>
    </row>
    <row r="96" spans="1:31">
      <c r="A96">
        <v>84</v>
      </c>
      <c r="Z96" s="88" t="str">
        <f>IF(LISTADO_NOM!K96="","",DATE(LISTADO_NOM!M96,LISTADO_NOM!L96,LISTADO_NOM!K96))</f>
        <v/>
      </c>
      <c r="AA96" s="88" t="str">
        <f>IFERROR(INDEX($Z$14:$Z$300, MATCH(0, INDEX(COUNTIF($AA$13:AA95, $Z$14:$Z$300), 0, 0), 0)), "")</f>
        <v/>
      </c>
      <c r="AB96" s="88" t="str">
        <f t="shared" si="1"/>
        <v/>
      </c>
      <c r="AC96">
        <v>83</v>
      </c>
      <c r="AE96" t="str">
        <f>IF(LISTADO_NOM!AI96="","",VLOOKUP(LISTADO_NOM!AI96,SEGUIMIENTOS,2,FALSE))</f>
        <v/>
      </c>
    </row>
    <row r="97" spans="1:31">
      <c r="A97">
        <v>85</v>
      </c>
      <c r="Z97" s="88" t="str">
        <f>IF(LISTADO_NOM!K97="","",DATE(LISTADO_NOM!M97,LISTADO_NOM!L97,LISTADO_NOM!K97))</f>
        <v/>
      </c>
      <c r="AA97" s="88" t="str">
        <f>IFERROR(INDEX($Z$14:$Z$300, MATCH(0, INDEX(COUNTIF($AA$13:AA96, $Z$14:$Z$300), 0, 0), 0)), "")</f>
        <v/>
      </c>
      <c r="AB97" s="88" t="str">
        <f t="shared" si="1"/>
        <v/>
      </c>
      <c r="AC97">
        <v>84</v>
      </c>
      <c r="AE97" t="str">
        <f>IF(LISTADO_NOM!AI97="","",VLOOKUP(LISTADO_NOM!AI97,SEGUIMIENTOS,2,FALSE))</f>
        <v/>
      </c>
    </row>
    <row r="98" spans="1:31">
      <c r="A98">
        <v>86</v>
      </c>
      <c r="Z98" s="88" t="str">
        <f>IF(LISTADO_NOM!K98="","",DATE(LISTADO_NOM!M98,LISTADO_NOM!L98,LISTADO_NOM!K98))</f>
        <v/>
      </c>
      <c r="AA98" s="88" t="str">
        <f>IFERROR(INDEX($Z$14:$Z$300, MATCH(0, INDEX(COUNTIF($AA$13:AA97, $Z$14:$Z$300), 0, 0), 0)), "")</f>
        <v/>
      </c>
      <c r="AB98" s="88" t="str">
        <f t="shared" si="1"/>
        <v/>
      </c>
      <c r="AC98">
        <v>85</v>
      </c>
      <c r="AE98" t="str">
        <f>IF(LISTADO_NOM!AI98="","",VLOOKUP(LISTADO_NOM!AI98,SEGUIMIENTOS,2,FALSE))</f>
        <v/>
      </c>
    </row>
    <row r="99" spans="1:31">
      <c r="A99">
        <v>87</v>
      </c>
      <c r="Z99" s="88" t="str">
        <f>IF(LISTADO_NOM!K99="","",DATE(LISTADO_NOM!M99,LISTADO_NOM!L99,LISTADO_NOM!K99))</f>
        <v/>
      </c>
      <c r="AA99" s="88" t="str">
        <f>IFERROR(INDEX($Z$14:$Z$300, MATCH(0, INDEX(COUNTIF($AA$13:AA98, $Z$14:$Z$300), 0, 0), 0)), "")</f>
        <v/>
      </c>
      <c r="AB99" s="88" t="str">
        <f t="shared" si="1"/>
        <v/>
      </c>
      <c r="AC99">
        <v>86</v>
      </c>
      <c r="AE99" t="str">
        <f>IF(LISTADO_NOM!AI99="","",VLOOKUP(LISTADO_NOM!AI99,SEGUIMIENTOS,2,FALSE))</f>
        <v/>
      </c>
    </row>
    <row r="100" spans="1:31">
      <c r="A100">
        <v>88</v>
      </c>
      <c r="Z100" s="88" t="str">
        <f>IF(LISTADO_NOM!K100="","",DATE(LISTADO_NOM!M100,LISTADO_NOM!L100,LISTADO_NOM!K100))</f>
        <v/>
      </c>
      <c r="AA100" s="88" t="str">
        <f>IFERROR(INDEX($Z$14:$Z$300, MATCH(0, INDEX(COUNTIF($AA$13:AA99, $Z$14:$Z$300), 0, 0), 0)), "")</f>
        <v/>
      </c>
      <c r="AB100" s="88" t="str">
        <f t="shared" si="1"/>
        <v/>
      </c>
      <c r="AC100">
        <v>87</v>
      </c>
      <c r="AE100" t="str">
        <f>IF(LISTADO_NOM!AI100="","",VLOOKUP(LISTADO_NOM!AI100,SEGUIMIENTOS,2,FALSE))</f>
        <v/>
      </c>
    </row>
    <row r="101" spans="1:31">
      <c r="A101">
        <v>89</v>
      </c>
      <c r="Z101" s="88" t="str">
        <f>IF(LISTADO_NOM!K101="","",DATE(LISTADO_NOM!M101,LISTADO_NOM!L101,LISTADO_NOM!K101))</f>
        <v/>
      </c>
      <c r="AA101" s="88" t="str">
        <f>IFERROR(INDEX($Z$14:$Z$300, MATCH(0, INDEX(COUNTIF($AA$13:AA100, $Z$14:$Z$300), 0, 0), 0)), "")</f>
        <v/>
      </c>
      <c r="AB101" s="88" t="str">
        <f t="shared" si="1"/>
        <v/>
      </c>
      <c r="AC101">
        <v>88</v>
      </c>
      <c r="AE101" t="str">
        <f>IF(LISTADO_NOM!AI101="","",VLOOKUP(LISTADO_NOM!AI101,SEGUIMIENTOS,2,FALSE))</f>
        <v/>
      </c>
    </row>
    <row r="102" spans="1:31">
      <c r="A102">
        <v>90</v>
      </c>
      <c r="Z102" s="88" t="str">
        <f>IF(LISTADO_NOM!K102="","",DATE(LISTADO_NOM!M102,LISTADO_NOM!L102,LISTADO_NOM!K102))</f>
        <v/>
      </c>
      <c r="AA102" s="88" t="str">
        <f>IFERROR(INDEX($Z$14:$Z$300, MATCH(0, INDEX(COUNTIF($AA$13:AA101, $Z$14:$Z$300), 0, 0), 0)), "")</f>
        <v/>
      </c>
      <c r="AB102" s="88" t="str">
        <f t="shared" si="1"/>
        <v/>
      </c>
      <c r="AC102">
        <v>89</v>
      </c>
      <c r="AE102" t="str">
        <f>IF(LISTADO_NOM!AI102="","",VLOOKUP(LISTADO_NOM!AI102,SEGUIMIENTOS,2,FALSE))</f>
        <v/>
      </c>
    </row>
    <row r="103" spans="1:31">
      <c r="A103">
        <v>91</v>
      </c>
      <c r="Z103" s="88" t="str">
        <f>IF(LISTADO_NOM!K103="","",DATE(LISTADO_NOM!M103,LISTADO_NOM!L103,LISTADO_NOM!K103))</f>
        <v/>
      </c>
      <c r="AA103" s="88" t="str">
        <f>IFERROR(INDEX($Z$14:$Z$300, MATCH(0, INDEX(COUNTIF($AA$13:AA102, $Z$14:$Z$300), 0, 0), 0)), "")</f>
        <v/>
      </c>
      <c r="AB103" s="88" t="str">
        <f t="shared" si="1"/>
        <v/>
      </c>
      <c r="AC103">
        <v>90</v>
      </c>
      <c r="AE103" t="str">
        <f>IF(LISTADO_NOM!AI103="","",VLOOKUP(LISTADO_NOM!AI103,SEGUIMIENTOS,2,FALSE))</f>
        <v/>
      </c>
    </row>
    <row r="104" spans="1:31">
      <c r="A104">
        <v>92</v>
      </c>
      <c r="Z104" s="88" t="str">
        <f>IF(LISTADO_NOM!K104="","",DATE(LISTADO_NOM!M104,LISTADO_NOM!L104,LISTADO_NOM!K104))</f>
        <v/>
      </c>
      <c r="AA104" s="88" t="str">
        <f>IFERROR(INDEX($Z$14:$Z$300, MATCH(0, INDEX(COUNTIF($AA$13:AA103, $Z$14:$Z$300), 0, 0), 0)), "")</f>
        <v/>
      </c>
      <c r="AB104" s="88" t="str">
        <f t="shared" si="1"/>
        <v/>
      </c>
      <c r="AC104">
        <v>91</v>
      </c>
      <c r="AE104" t="str">
        <f>IF(LISTADO_NOM!AI104="","",VLOOKUP(LISTADO_NOM!AI104,SEGUIMIENTOS,2,FALSE))</f>
        <v/>
      </c>
    </row>
    <row r="105" spans="1:31">
      <c r="A105">
        <v>93</v>
      </c>
      <c r="Z105" s="88" t="str">
        <f>IF(LISTADO_NOM!K105="","",DATE(LISTADO_NOM!M105,LISTADO_NOM!L105,LISTADO_NOM!K105))</f>
        <v/>
      </c>
      <c r="AA105" s="88" t="str">
        <f>IFERROR(INDEX($Z$14:$Z$300, MATCH(0, INDEX(COUNTIF($AA$13:AA104, $Z$14:$Z$300), 0, 0), 0)), "")</f>
        <v/>
      </c>
      <c r="AB105" s="88" t="str">
        <f t="shared" si="1"/>
        <v/>
      </c>
      <c r="AC105">
        <v>92</v>
      </c>
      <c r="AE105" t="str">
        <f>IF(LISTADO_NOM!AI105="","",VLOOKUP(LISTADO_NOM!AI105,SEGUIMIENTOS,2,FALSE))</f>
        <v/>
      </c>
    </row>
    <row r="106" spans="1:31">
      <c r="A106">
        <v>94</v>
      </c>
      <c r="Z106" s="88" t="str">
        <f>IF(LISTADO_NOM!K106="","",DATE(LISTADO_NOM!M106,LISTADO_NOM!L106,LISTADO_NOM!K106))</f>
        <v/>
      </c>
      <c r="AA106" s="88" t="str">
        <f>IFERROR(INDEX($Z$14:$Z$300, MATCH(0, INDEX(COUNTIF($AA$13:AA105, $Z$14:$Z$300), 0, 0), 0)), "")</f>
        <v/>
      </c>
      <c r="AB106" s="88" t="str">
        <f t="shared" si="1"/>
        <v/>
      </c>
      <c r="AC106">
        <v>93</v>
      </c>
      <c r="AE106" t="str">
        <f>IF(LISTADO_NOM!AI106="","",VLOOKUP(LISTADO_NOM!AI106,SEGUIMIENTOS,2,FALSE))</f>
        <v/>
      </c>
    </row>
    <row r="107" spans="1:31">
      <c r="A107">
        <v>95</v>
      </c>
      <c r="Z107" s="88" t="str">
        <f>IF(LISTADO_NOM!K107="","",DATE(LISTADO_NOM!M107,LISTADO_NOM!L107,LISTADO_NOM!K107))</f>
        <v/>
      </c>
      <c r="AA107" s="88" t="str">
        <f>IFERROR(INDEX($Z$14:$Z$300, MATCH(0, INDEX(COUNTIF($AA$13:AA106, $Z$14:$Z$300), 0, 0), 0)), "")</f>
        <v/>
      </c>
      <c r="AB107" s="88" t="str">
        <f t="shared" si="1"/>
        <v/>
      </c>
      <c r="AC107">
        <v>94</v>
      </c>
      <c r="AE107" t="str">
        <f>IF(LISTADO_NOM!AI107="","",VLOOKUP(LISTADO_NOM!AI107,SEGUIMIENTOS,2,FALSE))</f>
        <v/>
      </c>
    </row>
    <row r="108" spans="1:31">
      <c r="A108">
        <v>96</v>
      </c>
      <c r="Z108" s="88" t="str">
        <f>IF(LISTADO_NOM!K108="","",DATE(LISTADO_NOM!M108,LISTADO_NOM!L108,LISTADO_NOM!K108))</f>
        <v/>
      </c>
      <c r="AA108" s="88" t="str">
        <f>IFERROR(INDEX($Z$14:$Z$300, MATCH(0, INDEX(COUNTIF($AA$13:AA107, $Z$14:$Z$300), 0, 0), 0)), "")</f>
        <v/>
      </c>
      <c r="AB108" s="88" t="str">
        <f t="shared" si="1"/>
        <v/>
      </c>
      <c r="AC108">
        <v>95</v>
      </c>
      <c r="AE108" t="str">
        <f>IF(LISTADO_NOM!AI108="","",VLOOKUP(LISTADO_NOM!AI108,SEGUIMIENTOS,2,FALSE))</f>
        <v/>
      </c>
    </row>
    <row r="109" spans="1:31">
      <c r="A109">
        <v>97</v>
      </c>
      <c r="Z109" s="88" t="str">
        <f>IF(LISTADO_NOM!K109="","",DATE(LISTADO_NOM!M109,LISTADO_NOM!L109,LISTADO_NOM!K109))</f>
        <v/>
      </c>
      <c r="AA109" s="88" t="str">
        <f>IFERROR(INDEX($Z$14:$Z$300, MATCH(0, INDEX(COUNTIF($AA$13:AA108, $Z$14:$Z$300), 0, 0), 0)), "")</f>
        <v/>
      </c>
      <c r="AB109" s="88" t="str">
        <f t="shared" si="1"/>
        <v/>
      </c>
      <c r="AC109">
        <v>96</v>
      </c>
      <c r="AE109" t="str">
        <f>IF(LISTADO_NOM!AI109="","",VLOOKUP(LISTADO_NOM!AI109,SEGUIMIENTOS,2,FALSE))</f>
        <v/>
      </c>
    </row>
    <row r="110" spans="1:31">
      <c r="A110">
        <v>98</v>
      </c>
      <c r="Z110" s="88" t="str">
        <f>IF(LISTADO_NOM!K110="","",DATE(LISTADO_NOM!M110,LISTADO_NOM!L110,LISTADO_NOM!K110))</f>
        <v/>
      </c>
      <c r="AA110" s="88" t="str">
        <f>IFERROR(INDEX($Z$14:$Z$300, MATCH(0, INDEX(COUNTIF($AA$13:AA109, $Z$14:$Z$300), 0, 0), 0)), "")</f>
        <v/>
      </c>
      <c r="AB110" s="88" t="str">
        <f t="shared" si="1"/>
        <v/>
      </c>
      <c r="AC110">
        <v>97</v>
      </c>
      <c r="AE110" t="str">
        <f>IF(LISTADO_NOM!AI110="","",VLOOKUP(LISTADO_NOM!AI110,SEGUIMIENTOS,2,FALSE))</f>
        <v/>
      </c>
    </row>
    <row r="111" spans="1:31">
      <c r="A111">
        <v>99</v>
      </c>
      <c r="Z111" s="88" t="str">
        <f>IF(LISTADO_NOM!K111="","",DATE(LISTADO_NOM!M111,LISTADO_NOM!L111,LISTADO_NOM!K111))</f>
        <v/>
      </c>
      <c r="AA111" s="88" t="str">
        <f>IFERROR(INDEX($Z$14:$Z$300, MATCH(0, INDEX(COUNTIF($AA$13:AA110, $Z$14:$Z$300), 0, 0), 0)), "")</f>
        <v/>
      </c>
      <c r="AB111" s="88" t="str">
        <f t="shared" si="1"/>
        <v/>
      </c>
      <c r="AC111">
        <v>98</v>
      </c>
      <c r="AE111" t="str">
        <f>IF(LISTADO_NOM!AI111="","",VLOOKUP(LISTADO_NOM!AI111,SEGUIMIENTOS,2,FALSE))</f>
        <v/>
      </c>
    </row>
    <row r="112" spans="1:31">
      <c r="A112">
        <v>100</v>
      </c>
      <c r="Z112" s="88" t="str">
        <f>IF(LISTADO_NOM!K112="","",DATE(LISTADO_NOM!M112,LISTADO_NOM!L112,LISTADO_NOM!K112))</f>
        <v/>
      </c>
      <c r="AA112" s="88" t="str">
        <f>IFERROR(INDEX($Z$14:$Z$300, MATCH(0, INDEX(COUNTIF($AA$13:AA111, $Z$14:$Z$300), 0, 0), 0)), "")</f>
        <v/>
      </c>
      <c r="AB112" s="88" t="str">
        <f t="shared" si="1"/>
        <v/>
      </c>
      <c r="AC112">
        <v>99</v>
      </c>
      <c r="AE112" t="str">
        <f>IF(LISTADO_NOM!AI112="","",VLOOKUP(LISTADO_NOM!AI112,SEGUIMIENTOS,2,FALSE))</f>
        <v/>
      </c>
    </row>
    <row r="113" spans="26:31">
      <c r="Z113" s="88" t="str">
        <f>IF(LISTADO_NOM!K113="","",DATE(LISTADO_NOM!M113,LISTADO_NOM!L113,LISTADO_NOM!K113))</f>
        <v/>
      </c>
      <c r="AA113" s="88" t="str">
        <f>IFERROR(INDEX($Z$14:$Z$300, MATCH(0, INDEX(COUNTIF($AA$13:AA112, $Z$14:$Z$300), 0, 0), 0)), "")</f>
        <v/>
      </c>
      <c r="AB113" s="88" t="str">
        <f t="shared" si="1"/>
        <v/>
      </c>
      <c r="AC113">
        <v>100</v>
      </c>
      <c r="AE113" t="str">
        <f>IF(LISTADO_NOM!AI113="","",VLOOKUP(LISTADO_NOM!AI113,SEGUIMIENTOS,2,FALSE))</f>
        <v/>
      </c>
    </row>
    <row r="114" spans="26:31">
      <c r="Z114" s="88" t="str">
        <f>IF(LISTADO_NOM!K114="","",DATE(LISTADO_NOM!M114,LISTADO_NOM!L114,LISTADO_NOM!K114))</f>
        <v/>
      </c>
      <c r="AA114" s="88" t="str">
        <f>IFERROR(INDEX($Z$14:$Z$300, MATCH(0, INDEX(COUNTIF($AA$13:AA113, $Z$14:$Z$300), 0, 0), 0)), "")</f>
        <v/>
      </c>
      <c r="AB114" s="88" t="str">
        <f t="shared" si="1"/>
        <v/>
      </c>
      <c r="AC114">
        <v>101</v>
      </c>
      <c r="AE114" t="str">
        <f>IF(LISTADO_NOM!AI114="","",VLOOKUP(LISTADO_NOM!AI114,SEGUIMIENTOS,2,FALSE))</f>
        <v/>
      </c>
    </row>
    <row r="115" spans="26:31">
      <c r="Z115" s="88" t="str">
        <f>IF(LISTADO_NOM!K115="","",DATE(LISTADO_NOM!M115,LISTADO_NOM!L115,LISTADO_NOM!K115))</f>
        <v/>
      </c>
      <c r="AA115" s="88" t="str">
        <f>IFERROR(INDEX($Z$14:$Z$300, MATCH(0, INDEX(COUNTIF($AA$13:AA114, $Z$14:$Z$300), 0, 0), 0)), "")</f>
        <v/>
      </c>
      <c r="AB115" s="88" t="str">
        <f t="shared" si="1"/>
        <v/>
      </c>
      <c r="AC115">
        <v>102</v>
      </c>
      <c r="AE115" t="str">
        <f>IF(LISTADO_NOM!AI115="","",VLOOKUP(LISTADO_NOM!AI115,SEGUIMIENTOS,2,FALSE))</f>
        <v/>
      </c>
    </row>
    <row r="116" spans="26:31">
      <c r="Z116" s="88" t="str">
        <f>IF(LISTADO_NOM!K116="","",DATE(LISTADO_NOM!M116,LISTADO_NOM!L116,LISTADO_NOM!K116))</f>
        <v/>
      </c>
      <c r="AA116" s="88" t="str">
        <f>IFERROR(INDEX($Z$14:$Z$300, MATCH(0, INDEX(COUNTIF($AA$13:AA115, $Z$14:$Z$300), 0, 0), 0)), "")</f>
        <v/>
      </c>
      <c r="AB116" s="88" t="str">
        <f t="shared" si="1"/>
        <v/>
      </c>
      <c r="AC116">
        <v>103</v>
      </c>
      <c r="AE116" t="str">
        <f>IF(LISTADO_NOM!AI116="","",VLOOKUP(LISTADO_NOM!AI116,SEGUIMIENTOS,2,FALSE))</f>
        <v/>
      </c>
    </row>
    <row r="117" spans="26:31">
      <c r="Z117" s="88" t="str">
        <f>IF(LISTADO_NOM!K117="","",DATE(LISTADO_NOM!M117,LISTADO_NOM!L117,LISTADO_NOM!K117))</f>
        <v/>
      </c>
      <c r="AA117" s="88" t="str">
        <f>IFERROR(INDEX($Z$14:$Z$300, MATCH(0, INDEX(COUNTIF($AA$13:AA116, $Z$14:$Z$300), 0, 0), 0)), "")</f>
        <v/>
      </c>
      <c r="AB117" s="88" t="str">
        <f t="shared" si="1"/>
        <v/>
      </c>
      <c r="AC117">
        <v>104</v>
      </c>
      <c r="AE117" t="str">
        <f>IF(LISTADO_NOM!AI117="","",VLOOKUP(LISTADO_NOM!AI117,SEGUIMIENTOS,2,FALSE))</f>
        <v/>
      </c>
    </row>
    <row r="118" spans="26:31">
      <c r="Z118" s="88" t="str">
        <f>IF(LISTADO_NOM!K118="","",DATE(LISTADO_NOM!M118,LISTADO_NOM!L118,LISTADO_NOM!K118))</f>
        <v/>
      </c>
      <c r="AA118" s="88" t="str">
        <f>IFERROR(INDEX($Z$14:$Z$300, MATCH(0, INDEX(COUNTIF($AA$13:AA117, $Z$14:$Z$300), 0, 0), 0)), "")</f>
        <v/>
      </c>
      <c r="AB118" s="88" t="str">
        <f t="shared" si="1"/>
        <v/>
      </c>
      <c r="AC118">
        <v>105</v>
      </c>
      <c r="AE118" t="str">
        <f>IF(LISTADO_NOM!AI118="","",VLOOKUP(LISTADO_NOM!AI118,SEGUIMIENTOS,2,FALSE))</f>
        <v/>
      </c>
    </row>
    <row r="119" spans="26:31">
      <c r="Z119" s="88" t="str">
        <f>IF(LISTADO_NOM!K119="","",DATE(LISTADO_NOM!M119,LISTADO_NOM!L119,LISTADO_NOM!K119))</f>
        <v/>
      </c>
      <c r="AA119" s="88" t="str">
        <f>IFERROR(INDEX($Z$14:$Z$300, MATCH(0, INDEX(COUNTIF($AA$13:AA118, $Z$14:$Z$300), 0, 0), 0)), "")</f>
        <v/>
      </c>
      <c r="AB119" s="88" t="str">
        <f t="shared" si="1"/>
        <v/>
      </c>
      <c r="AC119">
        <v>106</v>
      </c>
      <c r="AE119" t="str">
        <f>IF(LISTADO_NOM!AI119="","",VLOOKUP(LISTADO_NOM!AI119,SEGUIMIENTOS,2,FALSE))</f>
        <v/>
      </c>
    </row>
    <row r="120" spans="26:31">
      <c r="Z120" s="88" t="str">
        <f>IF(LISTADO_NOM!K120="","",DATE(LISTADO_NOM!M120,LISTADO_NOM!L120,LISTADO_NOM!K120))</f>
        <v/>
      </c>
      <c r="AA120" s="88" t="str">
        <f>IFERROR(INDEX($Z$14:$Z$300, MATCH(0, INDEX(COUNTIF($AA$13:AA119, $Z$14:$Z$300), 0, 0), 0)), "")</f>
        <v/>
      </c>
      <c r="AB120" s="88" t="str">
        <f t="shared" si="1"/>
        <v/>
      </c>
      <c r="AC120">
        <v>107</v>
      </c>
      <c r="AE120" t="str">
        <f>IF(LISTADO_NOM!AI120="","",VLOOKUP(LISTADO_NOM!AI120,SEGUIMIENTOS,2,FALSE))</f>
        <v/>
      </c>
    </row>
    <row r="121" spans="26:31">
      <c r="Z121" s="88" t="str">
        <f>IF(LISTADO_NOM!K121="","",DATE(LISTADO_NOM!M121,LISTADO_NOM!L121,LISTADO_NOM!K121))</f>
        <v/>
      </c>
      <c r="AA121" s="88" t="str">
        <f>IFERROR(INDEX($Z$14:$Z$300, MATCH(0, INDEX(COUNTIF($AA$13:AA120, $Z$14:$Z$300), 0, 0), 0)), "")</f>
        <v/>
      </c>
      <c r="AB121" s="88" t="str">
        <f t="shared" si="1"/>
        <v/>
      </c>
      <c r="AC121">
        <v>108</v>
      </c>
      <c r="AE121" t="str">
        <f>IF(LISTADO_NOM!AI121="","",VLOOKUP(LISTADO_NOM!AI121,SEGUIMIENTOS,2,FALSE))</f>
        <v/>
      </c>
    </row>
    <row r="122" spans="26:31">
      <c r="Z122" s="88" t="str">
        <f>IF(LISTADO_NOM!K122="","",DATE(LISTADO_NOM!M122,LISTADO_NOM!L122,LISTADO_NOM!K122))</f>
        <v/>
      </c>
      <c r="AA122" s="88" t="str">
        <f>IFERROR(INDEX($Z$14:$Z$300, MATCH(0, INDEX(COUNTIF($AA$13:AA121, $Z$14:$Z$300), 0, 0), 0)), "")</f>
        <v/>
      </c>
      <c r="AB122" s="88" t="str">
        <f t="shared" si="1"/>
        <v/>
      </c>
      <c r="AC122">
        <v>109</v>
      </c>
      <c r="AE122" t="str">
        <f>IF(LISTADO_NOM!AI122="","",VLOOKUP(LISTADO_NOM!AI122,SEGUIMIENTOS,2,FALSE))</f>
        <v/>
      </c>
    </row>
    <row r="123" spans="26:31">
      <c r="Z123" s="88" t="str">
        <f>IF(LISTADO_NOM!K123="","",DATE(LISTADO_NOM!M123,LISTADO_NOM!L123,LISTADO_NOM!K123))</f>
        <v/>
      </c>
      <c r="AA123" s="88" t="str">
        <f>IFERROR(INDEX($Z$14:$Z$300, MATCH(0, INDEX(COUNTIF($AA$13:AA122, $Z$14:$Z$300), 0, 0), 0)), "")</f>
        <v/>
      </c>
      <c r="AB123" s="88" t="str">
        <f t="shared" si="1"/>
        <v/>
      </c>
      <c r="AC123">
        <v>110</v>
      </c>
      <c r="AE123" t="str">
        <f>IF(LISTADO_NOM!AI123="","",VLOOKUP(LISTADO_NOM!AI123,SEGUIMIENTOS,2,FALSE))</f>
        <v/>
      </c>
    </row>
    <row r="124" spans="26:31">
      <c r="Z124" s="88" t="str">
        <f>IF(LISTADO_NOM!K124="","",DATE(LISTADO_NOM!M124,LISTADO_NOM!L124,LISTADO_NOM!K124))</f>
        <v/>
      </c>
      <c r="AA124" s="88" t="str">
        <f>IFERROR(INDEX($Z$14:$Z$300, MATCH(0, INDEX(COUNTIF($AA$13:AA123, $Z$14:$Z$300), 0, 0), 0)), "")</f>
        <v/>
      </c>
      <c r="AB124" s="88" t="str">
        <f t="shared" si="1"/>
        <v/>
      </c>
      <c r="AC124">
        <v>111</v>
      </c>
      <c r="AE124" t="str">
        <f>IF(LISTADO_NOM!AI124="","",VLOOKUP(LISTADO_NOM!AI124,SEGUIMIENTOS,2,FALSE))</f>
        <v/>
      </c>
    </row>
    <row r="125" spans="26:31">
      <c r="Z125" s="88" t="str">
        <f>IF(LISTADO_NOM!K125="","",DATE(LISTADO_NOM!M125,LISTADO_NOM!L125,LISTADO_NOM!K125))</f>
        <v/>
      </c>
      <c r="AA125" s="88" t="str">
        <f>IFERROR(INDEX($Z$14:$Z$300, MATCH(0, INDEX(COUNTIF($AA$13:AA124, $Z$14:$Z$300), 0, 0), 0)), "")</f>
        <v/>
      </c>
      <c r="AB125" s="88" t="str">
        <f t="shared" si="1"/>
        <v/>
      </c>
      <c r="AC125">
        <v>112</v>
      </c>
      <c r="AE125" t="str">
        <f>IF(LISTADO_NOM!AI125="","",VLOOKUP(LISTADO_NOM!AI125,SEGUIMIENTOS,2,FALSE))</f>
        <v/>
      </c>
    </row>
    <row r="126" spans="26:31">
      <c r="Z126" s="88" t="str">
        <f>IF(LISTADO_NOM!K126="","",DATE(LISTADO_NOM!M126,LISTADO_NOM!L126,LISTADO_NOM!K126))</f>
        <v/>
      </c>
      <c r="AA126" s="88" t="str">
        <f>IFERROR(INDEX($Z$14:$Z$300, MATCH(0, INDEX(COUNTIF($AA$13:AA125, $Z$14:$Z$300), 0, 0), 0)), "")</f>
        <v/>
      </c>
      <c r="AB126" s="88" t="str">
        <f t="shared" si="1"/>
        <v/>
      </c>
      <c r="AC126">
        <v>113</v>
      </c>
      <c r="AE126" t="str">
        <f>IF(LISTADO_NOM!AI126="","",VLOOKUP(LISTADO_NOM!AI126,SEGUIMIENTOS,2,FALSE))</f>
        <v/>
      </c>
    </row>
    <row r="127" spans="26:31">
      <c r="Z127" s="88" t="str">
        <f>IF(LISTADO_NOM!K127="","",DATE(LISTADO_NOM!M127,LISTADO_NOM!L127,LISTADO_NOM!K127))</f>
        <v/>
      </c>
      <c r="AA127" s="88" t="str">
        <f>IFERROR(INDEX($Z$14:$Z$300, MATCH(0, INDEX(COUNTIF($AA$13:AA126, $Z$14:$Z$300), 0, 0), 0)), "")</f>
        <v/>
      </c>
      <c r="AB127" s="88" t="str">
        <f t="shared" si="1"/>
        <v/>
      </c>
      <c r="AC127">
        <v>114</v>
      </c>
      <c r="AE127" t="str">
        <f>IF(LISTADO_NOM!AI127="","",VLOOKUP(LISTADO_NOM!AI127,SEGUIMIENTOS,2,FALSE))</f>
        <v/>
      </c>
    </row>
    <row r="128" spans="26:31">
      <c r="Z128" s="88" t="str">
        <f>IF(LISTADO_NOM!K128="","",DATE(LISTADO_NOM!M128,LISTADO_NOM!L128,LISTADO_NOM!K128))</f>
        <v/>
      </c>
      <c r="AA128" s="88" t="str">
        <f>IFERROR(INDEX($Z$14:$Z$300, MATCH(0, INDEX(COUNTIF($AA$13:AA127, $Z$14:$Z$300), 0, 0), 0)), "")</f>
        <v/>
      </c>
      <c r="AB128" s="88" t="str">
        <f t="shared" si="1"/>
        <v/>
      </c>
      <c r="AC128">
        <v>115</v>
      </c>
      <c r="AE128" t="str">
        <f>IF(LISTADO_NOM!AI128="","",VLOOKUP(LISTADO_NOM!AI128,SEGUIMIENTOS,2,FALSE))</f>
        <v/>
      </c>
    </row>
    <row r="129" spans="26:31">
      <c r="Z129" s="88" t="str">
        <f>IF(LISTADO_NOM!K129="","",DATE(LISTADO_NOM!M129,LISTADO_NOM!L129,LISTADO_NOM!K129))</f>
        <v/>
      </c>
      <c r="AA129" s="88" t="str">
        <f>IFERROR(INDEX($Z$14:$Z$300, MATCH(0, INDEX(COUNTIF($AA$13:AA128, $Z$14:$Z$300), 0, 0), 0)), "")</f>
        <v/>
      </c>
      <c r="AB129" s="88" t="str">
        <f t="shared" si="1"/>
        <v/>
      </c>
      <c r="AC129">
        <v>116</v>
      </c>
      <c r="AE129" t="str">
        <f>IF(LISTADO_NOM!AI129="","",VLOOKUP(LISTADO_NOM!AI129,SEGUIMIENTOS,2,FALSE))</f>
        <v/>
      </c>
    </row>
    <row r="130" spans="26:31">
      <c r="Z130" s="88" t="str">
        <f>IF(LISTADO_NOM!K130="","",DATE(LISTADO_NOM!M130,LISTADO_NOM!L130,LISTADO_NOM!K130))</f>
        <v/>
      </c>
      <c r="AA130" s="88" t="str">
        <f>IFERROR(INDEX($Z$14:$Z$300, MATCH(0, INDEX(COUNTIF($AA$13:AA129, $Z$14:$Z$300), 0, 0), 0)), "")</f>
        <v/>
      </c>
      <c r="AB130" s="88" t="str">
        <f t="shared" si="1"/>
        <v/>
      </c>
      <c r="AC130">
        <v>117</v>
      </c>
      <c r="AE130" t="str">
        <f>IF(LISTADO_NOM!AI130="","",VLOOKUP(LISTADO_NOM!AI130,SEGUIMIENTOS,2,FALSE))</f>
        <v/>
      </c>
    </row>
    <row r="131" spans="26:31">
      <c r="Z131" s="88" t="str">
        <f>IF(LISTADO_NOM!K131="","",DATE(LISTADO_NOM!M131,LISTADO_NOM!L131,LISTADO_NOM!K131))</f>
        <v/>
      </c>
      <c r="AA131" s="88" t="str">
        <f>IFERROR(INDEX($Z$14:$Z$300, MATCH(0, INDEX(COUNTIF($AA$13:AA130, $Z$14:$Z$300), 0, 0), 0)), "")</f>
        <v/>
      </c>
      <c r="AB131" s="88" t="str">
        <f t="shared" si="1"/>
        <v/>
      </c>
      <c r="AC131">
        <v>118</v>
      </c>
      <c r="AE131" t="str">
        <f>IF(LISTADO_NOM!AI131="","",VLOOKUP(LISTADO_NOM!AI131,SEGUIMIENTOS,2,FALSE))</f>
        <v/>
      </c>
    </row>
    <row r="132" spans="26:31">
      <c r="Z132" s="88" t="str">
        <f>IF(LISTADO_NOM!K132="","",DATE(LISTADO_NOM!M132,LISTADO_NOM!L132,LISTADO_NOM!K132))</f>
        <v/>
      </c>
      <c r="AA132" s="88" t="str">
        <f>IFERROR(INDEX($Z$14:$Z$300, MATCH(0, INDEX(COUNTIF($AA$13:AA131, $Z$14:$Z$300), 0, 0), 0)), "")</f>
        <v/>
      </c>
      <c r="AB132" s="88" t="str">
        <f t="shared" si="1"/>
        <v/>
      </c>
      <c r="AC132">
        <v>119</v>
      </c>
      <c r="AE132" t="str">
        <f>IF(LISTADO_NOM!AI132="","",VLOOKUP(LISTADO_NOM!AI132,SEGUIMIENTOS,2,FALSE))</f>
        <v/>
      </c>
    </row>
    <row r="133" spans="26:31">
      <c r="Z133" s="88" t="str">
        <f>IF(LISTADO_NOM!K133="","",DATE(LISTADO_NOM!M133,LISTADO_NOM!L133,LISTADO_NOM!K133))</f>
        <v/>
      </c>
      <c r="AA133" s="88" t="str">
        <f>IFERROR(INDEX($Z$14:$Z$300, MATCH(0, INDEX(COUNTIF($AA$13:AA132, $Z$14:$Z$300), 0, 0), 0)), "")</f>
        <v/>
      </c>
      <c r="AB133" s="88" t="str">
        <f t="shared" si="1"/>
        <v/>
      </c>
      <c r="AC133">
        <v>120</v>
      </c>
      <c r="AE133" t="str">
        <f>IF(LISTADO_NOM!AI133="","",VLOOKUP(LISTADO_NOM!AI133,SEGUIMIENTOS,2,FALSE))</f>
        <v/>
      </c>
    </row>
    <row r="134" spans="26:31">
      <c r="Z134" s="88" t="str">
        <f>IF(LISTADO_NOM!K134="","",DATE(LISTADO_NOM!M134,LISTADO_NOM!L134,LISTADO_NOM!K134))</f>
        <v/>
      </c>
      <c r="AA134" s="88" t="str">
        <f>IFERROR(INDEX($Z$14:$Z$300, MATCH(0, INDEX(COUNTIF($AA$13:AA133, $Z$14:$Z$300), 0, 0), 0)), "")</f>
        <v/>
      </c>
      <c r="AB134" s="88" t="str">
        <f t="shared" si="1"/>
        <v/>
      </c>
      <c r="AC134">
        <v>121</v>
      </c>
      <c r="AE134" t="str">
        <f>IF(LISTADO_NOM!AI134="","",VLOOKUP(LISTADO_NOM!AI134,SEGUIMIENTOS,2,FALSE))</f>
        <v/>
      </c>
    </row>
    <row r="135" spans="26:31">
      <c r="Z135" s="88" t="str">
        <f>IF(LISTADO_NOM!K135="","",DATE(LISTADO_NOM!M135,LISTADO_NOM!L135,LISTADO_NOM!K135))</f>
        <v/>
      </c>
      <c r="AA135" s="88" t="str">
        <f>IFERROR(INDEX($Z$14:$Z$300, MATCH(0, INDEX(COUNTIF($AA$13:AA134, $Z$14:$Z$300), 0, 0), 0)), "")</f>
        <v/>
      </c>
      <c r="AB135" s="88" t="str">
        <f t="shared" si="1"/>
        <v/>
      </c>
      <c r="AC135">
        <v>122</v>
      </c>
      <c r="AE135" t="str">
        <f>IF(LISTADO_NOM!AI135="","",VLOOKUP(LISTADO_NOM!AI135,SEGUIMIENTOS,2,FALSE))</f>
        <v/>
      </c>
    </row>
    <row r="136" spans="26:31">
      <c r="Z136" s="88" t="str">
        <f>IF(LISTADO_NOM!K136="","",DATE(LISTADO_NOM!M136,LISTADO_NOM!L136,LISTADO_NOM!K136))</f>
        <v/>
      </c>
      <c r="AA136" s="88" t="str">
        <f>IFERROR(INDEX($Z$14:$Z$300, MATCH(0, INDEX(COUNTIF($AA$13:AA135, $Z$14:$Z$300), 0, 0), 0)), "")</f>
        <v/>
      </c>
      <c r="AB136" s="88" t="str">
        <f t="shared" si="1"/>
        <v/>
      </c>
      <c r="AC136">
        <v>123</v>
      </c>
      <c r="AE136" t="str">
        <f>IF(LISTADO_NOM!AI136="","",VLOOKUP(LISTADO_NOM!AI136,SEGUIMIENTOS,2,FALSE))</f>
        <v/>
      </c>
    </row>
    <row r="137" spans="26:31">
      <c r="Z137" s="88" t="str">
        <f>IF(LISTADO_NOM!K137="","",DATE(LISTADO_NOM!M137,LISTADO_NOM!L137,LISTADO_NOM!K137))</f>
        <v/>
      </c>
      <c r="AA137" s="88" t="str">
        <f>IFERROR(INDEX($Z$14:$Z$300, MATCH(0, INDEX(COUNTIF($AA$13:AA136, $Z$14:$Z$300), 0, 0), 0)), "")</f>
        <v/>
      </c>
      <c r="AB137" s="88" t="str">
        <f t="shared" si="1"/>
        <v/>
      </c>
      <c r="AC137">
        <v>124</v>
      </c>
      <c r="AE137" t="str">
        <f>IF(LISTADO_NOM!AI137="","",VLOOKUP(LISTADO_NOM!AI137,SEGUIMIENTOS,2,FALSE))</f>
        <v/>
      </c>
    </row>
    <row r="138" spans="26:31">
      <c r="Z138" s="88" t="str">
        <f>IF(LISTADO_NOM!K138="","",DATE(LISTADO_NOM!M138,LISTADO_NOM!L138,LISTADO_NOM!K138))</f>
        <v/>
      </c>
      <c r="AA138" s="88" t="str">
        <f>IFERROR(INDEX($Z$14:$Z$300, MATCH(0, INDEX(COUNTIF($AA$13:AA137, $Z$14:$Z$300), 0, 0), 0)), "")</f>
        <v/>
      </c>
      <c r="AB138" s="88" t="str">
        <f t="shared" si="1"/>
        <v/>
      </c>
      <c r="AC138">
        <v>125</v>
      </c>
      <c r="AE138" t="str">
        <f>IF(LISTADO_NOM!AI138="","",VLOOKUP(LISTADO_NOM!AI138,SEGUIMIENTOS,2,FALSE))</f>
        <v/>
      </c>
    </row>
    <row r="139" spans="26:31">
      <c r="Z139" s="88" t="str">
        <f>IF(LISTADO_NOM!K139="","",DATE(LISTADO_NOM!M139,LISTADO_NOM!L139,LISTADO_NOM!K139))</f>
        <v/>
      </c>
      <c r="AA139" s="88" t="str">
        <f>IFERROR(INDEX($Z$14:$Z$300, MATCH(0, INDEX(COUNTIF($AA$13:AA138, $Z$14:$Z$300), 0, 0), 0)), "")</f>
        <v/>
      </c>
      <c r="AB139" s="88" t="str">
        <f t="shared" si="1"/>
        <v/>
      </c>
      <c r="AC139">
        <v>126</v>
      </c>
      <c r="AE139" t="str">
        <f>IF(LISTADO_NOM!AI139="","",VLOOKUP(LISTADO_NOM!AI139,SEGUIMIENTOS,2,FALSE))</f>
        <v/>
      </c>
    </row>
    <row r="140" spans="26:31">
      <c r="Z140" s="88" t="str">
        <f>IF(LISTADO_NOM!K140="","",DATE(LISTADO_NOM!M140,LISTADO_NOM!L140,LISTADO_NOM!K140))</f>
        <v/>
      </c>
      <c r="AA140" s="88" t="str">
        <f>IFERROR(INDEX($Z$14:$Z$300, MATCH(0, INDEX(COUNTIF($AA$13:AA139, $Z$14:$Z$300), 0, 0), 0)), "")</f>
        <v/>
      </c>
      <c r="AB140" s="88" t="str">
        <f t="shared" si="1"/>
        <v/>
      </c>
      <c r="AC140">
        <v>127</v>
      </c>
      <c r="AE140" t="str">
        <f>IF(LISTADO_NOM!AI140="","",VLOOKUP(LISTADO_NOM!AI140,SEGUIMIENTOS,2,FALSE))</f>
        <v/>
      </c>
    </row>
    <row r="141" spans="26:31">
      <c r="Z141" s="88" t="str">
        <f>IF(LISTADO_NOM!K141="","",DATE(LISTADO_NOM!M141,LISTADO_NOM!L141,LISTADO_NOM!K141))</f>
        <v/>
      </c>
      <c r="AA141" s="88" t="str">
        <f>IFERROR(INDEX($Z$14:$Z$300, MATCH(0, INDEX(COUNTIF($AA$13:AA140, $Z$14:$Z$300), 0, 0), 0)), "")</f>
        <v/>
      </c>
      <c r="AB141" s="88" t="str">
        <f t="shared" si="1"/>
        <v/>
      </c>
      <c r="AC141">
        <v>128</v>
      </c>
      <c r="AE141" t="str">
        <f>IF(LISTADO_NOM!AI141="","",VLOOKUP(LISTADO_NOM!AI141,SEGUIMIENTOS,2,FALSE))</f>
        <v/>
      </c>
    </row>
    <row r="142" spans="26:31">
      <c r="Z142" s="88" t="str">
        <f>IF(LISTADO_NOM!K142="","",DATE(LISTADO_NOM!M142,LISTADO_NOM!L142,LISTADO_NOM!K142))</f>
        <v/>
      </c>
      <c r="AA142" s="88" t="str">
        <f>IFERROR(INDEX($Z$14:$Z$300, MATCH(0, INDEX(COUNTIF($AA$13:AA141, $Z$14:$Z$300), 0, 0), 0)), "")</f>
        <v/>
      </c>
      <c r="AB142" s="88" t="str">
        <f t="shared" ref="AB142:AB205" si="2">IF(AA142="","",SMALL(ORDENA_,AC142))</f>
        <v/>
      </c>
      <c r="AC142">
        <v>129</v>
      </c>
      <c r="AE142" t="str">
        <f>IF(LISTADO_NOM!AI142="","",VLOOKUP(LISTADO_NOM!AI142,SEGUIMIENTOS,2,FALSE))</f>
        <v/>
      </c>
    </row>
    <row r="143" spans="26:31">
      <c r="Z143" s="88" t="str">
        <f>IF(LISTADO_NOM!K143="","",DATE(LISTADO_NOM!M143,LISTADO_NOM!L143,LISTADO_NOM!K143))</f>
        <v/>
      </c>
      <c r="AA143" s="88" t="str">
        <f>IFERROR(INDEX($Z$14:$Z$300, MATCH(0, INDEX(COUNTIF($AA$13:AA142, $Z$14:$Z$300), 0, 0), 0)), "")</f>
        <v/>
      </c>
      <c r="AB143" s="88" t="str">
        <f t="shared" si="2"/>
        <v/>
      </c>
      <c r="AC143">
        <v>130</v>
      </c>
      <c r="AE143" t="str">
        <f>IF(LISTADO_NOM!AI143="","",VLOOKUP(LISTADO_NOM!AI143,SEGUIMIENTOS,2,FALSE))</f>
        <v/>
      </c>
    </row>
    <row r="144" spans="26:31">
      <c r="Z144" s="88" t="str">
        <f>IF(LISTADO_NOM!K144="","",DATE(LISTADO_NOM!M144,LISTADO_NOM!L144,LISTADO_NOM!K144))</f>
        <v/>
      </c>
      <c r="AA144" s="88" t="str">
        <f>IFERROR(INDEX($Z$14:$Z$300, MATCH(0, INDEX(COUNTIF($AA$13:AA143, $Z$14:$Z$300), 0, 0), 0)), "")</f>
        <v/>
      </c>
      <c r="AB144" s="88" t="str">
        <f t="shared" si="2"/>
        <v/>
      </c>
      <c r="AC144">
        <v>131</v>
      </c>
      <c r="AE144" t="str">
        <f>IF(LISTADO_NOM!AI144="","",VLOOKUP(LISTADO_NOM!AI144,SEGUIMIENTOS,2,FALSE))</f>
        <v/>
      </c>
    </row>
    <row r="145" spans="26:31">
      <c r="Z145" s="88" t="str">
        <f>IF(LISTADO_NOM!K145="","",DATE(LISTADO_NOM!M145,LISTADO_NOM!L145,LISTADO_NOM!K145))</f>
        <v/>
      </c>
      <c r="AA145" s="88" t="str">
        <f>IFERROR(INDEX($Z$14:$Z$300, MATCH(0, INDEX(COUNTIF($AA$13:AA144, $Z$14:$Z$300), 0, 0), 0)), "")</f>
        <v/>
      </c>
      <c r="AB145" s="88" t="str">
        <f t="shared" si="2"/>
        <v/>
      </c>
      <c r="AC145">
        <v>132</v>
      </c>
      <c r="AE145" t="str">
        <f>IF(LISTADO_NOM!AI145="","",VLOOKUP(LISTADO_NOM!AI145,SEGUIMIENTOS,2,FALSE))</f>
        <v/>
      </c>
    </row>
    <row r="146" spans="26:31">
      <c r="Z146" s="88" t="str">
        <f>IF(LISTADO_NOM!K146="","",DATE(LISTADO_NOM!M146,LISTADO_NOM!L146,LISTADO_NOM!K146))</f>
        <v/>
      </c>
      <c r="AA146" s="88" t="str">
        <f>IFERROR(INDEX($Z$14:$Z$300, MATCH(0, INDEX(COUNTIF($AA$13:AA145, $Z$14:$Z$300), 0, 0), 0)), "")</f>
        <v/>
      </c>
      <c r="AB146" s="88" t="str">
        <f t="shared" si="2"/>
        <v/>
      </c>
      <c r="AC146">
        <v>133</v>
      </c>
      <c r="AE146" t="str">
        <f>IF(LISTADO_NOM!AI146="","",VLOOKUP(LISTADO_NOM!AI146,SEGUIMIENTOS,2,FALSE))</f>
        <v/>
      </c>
    </row>
    <row r="147" spans="26:31">
      <c r="Z147" s="88" t="str">
        <f>IF(LISTADO_NOM!K147="","",DATE(LISTADO_NOM!M147,LISTADO_NOM!L147,LISTADO_NOM!K147))</f>
        <v/>
      </c>
      <c r="AA147" s="88" t="str">
        <f>IFERROR(INDEX($Z$14:$Z$300, MATCH(0, INDEX(COUNTIF($AA$13:AA146, $Z$14:$Z$300), 0, 0), 0)), "")</f>
        <v/>
      </c>
      <c r="AB147" s="88" t="str">
        <f t="shared" si="2"/>
        <v/>
      </c>
      <c r="AC147">
        <v>134</v>
      </c>
      <c r="AE147" t="str">
        <f>IF(LISTADO_NOM!AI147="","",VLOOKUP(LISTADO_NOM!AI147,SEGUIMIENTOS,2,FALSE))</f>
        <v/>
      </c>
    </row>
    <row r="148" spans="26:31">
      <c r="Z148" s="88" t="str">
        <f>IF(LISTADO_NOM!K148="","",DATE(LISTADO_NOM!M148,LISTADO_NOM!L148,LISTADO_NOM!K148))</f>
        <v/>
      </c>
      <c r="AA148" s="88" t="str">
        <f>IFERROR(INDEX($Z$14:$Z$300, MATCH(0, INDEX(COUNTIF($AA$13:AA147, $Z$14:$Z$300), 0, 0), 0)), "")</f>
        <v/>
      </c>
      <c r="AB148" s="88" t="str">
        <f t="shared" si="2"/>
        <v/>
      </c>
      <c r="AC148">
        <v>135</v>
      </c>
      <c r="AE148" t="str">
        <f>IF(LISTADO_NOM!AI148="","",VLOOKUP(LISTADO_NOM!AI148,SEGUIMIENTOS,2,FALSE))</f>
        <v/>
      </c>
    </row>
    <row r="149" spans="26:31">
      <c r="Z149" s="88" t="str">
        <f>IF(LISTADO_NOM!K149="","",DATE(LISTADO_NOM!M149,LISTADO_NOM!L149,LISTADO_NOM!K149))</f>
        <v/>
      </c>
      <c r="AA149" s="88" t="str">
        <f>IFERROR(INDEX($Z$14:$Z$300, MATCH(0, INDEX(COUNTIF($AA$13:AA148, $Z$14:$Z$300), 0, 0), 0)), "")</f>
        <v/>
      </c>
      <c r="AB149" s="88" t="str">
        <f t="shared" si="2"/>
        <v/>
      </c>
      <c r="AC149">
        <v>136</v>
      </c>
      <c r="AE149" t="str">
        <f>IF(LISTADO_NOM!AI149="","",VLOOKUP(LISTADO_NOM!AI149,SEGUIMIENTOS,2,FALSE))</f>
        <v/>
      </c>
    </row>
    <row r="150" spans="26:31">
      <c r="Z150" s="88" t="str">
        <f>IF(LISTADO_NOM!K150="","",DATE(LISTADO_NOM!M150,LISTADO_NOM!L150,LISTADO_NOM!K150))</f>
        <v/>
      </c>
      <c r="AA150" s="88" t="str">
        <f>IFERROR(INDEX($Z$14:$Z$300, MATCH(0, INDEX(COUNTIF($AA$13:AA149, $Z$14:$Z$300), 0, 0), 0)), "")</f>
        <v/>
      </c>
      <c r="AB150" s="88" t="str">
        <f t="shared" si="2"/>
        <v/>
      </c>
      <c r="AC150">
        <v>137</v>
      </c>
      <c r="AE150" t="str">
        <f>IF(LISTADO_NOM!AI150="","",VLOOKUP(LISTADO_NOM!AI150,SEGUIMIENTOS,2,FALSE))</f>
        <v/>
      </c>
    </row>
    <row r="151" spans="26:31">
      <c r="Z151" s="88" t="str">
        <f>IF(LISTADO_NOM!K151="","",DATE(LISTADO_NOM!M151,LISTADO_NOM!L151,LISTADO_NOM!K151))</f>
        <v/>
      </c>
      <c r="AA151" s="88" t="str">
        <f>IFERROR(INDEX($Z$14:$Z$300, MATCH(0, INDEX(COUNTIF($AA$13:AA150, $Z$14:$Z$300), 0, 0), 0)), "")</f>
        <v/>
      </c>
      <c r="AB151" s="88" t="str">
        <f t="shared" si="2"/>
        <v/>
      </c>
      <c r="AC151">
        <v>138</v>
      </c>
      <c r="AE151" t="str">
        <f>IF(LISTADO_NOM!AI151="","",VLOOKUP(LISTADO_NOM!AI151,SEGUIMIENTOS,2,FALSE))</f>
        <v/>
      </c>
    </row>
    <row r="152" spans="26:31">
      <c r="Z152" s="88" t="str">
        <f>IF(LISTADO_NOM!K152="","",DATE(LISTADO_NOM!M152,LISTADO_NOM!L152,LISTADO_NOM!K152))</f>
        <v/>
      </c>
      <c r="AA152" s="88" t="str">
        <f>IFERROR(INDEX($Z$14:$Z$300, MATCH(0, INDEX(COUNTIF($AA$13:AA151, $Z$14:$Z$300), 0, 0), 0)), "")</f>
        <v/>
      </c>
      <c r="AB152" s="88" t="str">
        <f t="shared" si="2"/>
        <v/>
      </c>
      <c r="AC152">
        <v>139</v>
      </c>
      <c r="AE152" t="str">
        <f>IF(LISTADO_NOM!AI152="","",VLOOKUP(LISTADO_NOM!AI152,SEGUIMIENTOS,2,FALSE))</f>
        <v/>
      </c>
    </row>
    <row r="153" spans="26:31">
      <c r="Z153" s="88" t="str">
        <f>IF(LISTADO_NOM!K153="","",DATE(LISTADO_NOM!M153,LISTADO_NOM!L153,LISTADO_NOM!K153))</f>
        <v/>
      </c>
      <c r="AA153" s="88" t="str">
        <f>IFERROR(INDEX($Z$14:$Z$300, MATCH(0, INDEX(COUNTIF($AA$13:AA152, $Z$14:$Z$300), 0, 0), 0)), "")</f>
        <v/>
      </c>
      <c r="AB153" s="88" t="str">
        <f t="shared" si="2"/>
        <v/>
      </c>
      <c r="AC153">
        <v>140</v>
      </c>
      <c r="AE153" t="str">
        <f>IF(LISTADO_NOM!AI153="","",VLOOKUP(LISTADO_NOM!AI153,SEGUIMIENTOS,2,FALSE))</f>
        <v/>
      </c>
    </row>
    <row r="154" spans="26:31">
      <c r="Z154" s="88" t="str">
        <f>IF(LISTADO_NOM!K154="","",DATE(LISTADO_NOM!M154,LISTADO_NOM!L154,LISTADO_NOM!K154))</f>
        <v/>
      </c>
      <c r="AA154" s="88" t="str">
        <f>IFERROR(INDEX($Z$14:$Z$300, MATCH(0, INDEX(COUNTIF($AA$13:AA153, $Z$14:$Z$300), 0, 0), 0)), "")</f>
        <v/>
      </c>
      <c r="AB154" s="88" t="str">
        <f t="shared" si="2"/>
        <v/>
      </c>
      <c r="AC154">
        <v>141</v>
      </c>
      <c r="AE154" t="str">
        <f>IF(LISTADO_NOM!AI154="","",VLOOKUP(LISTADO_NOM!AI154,SEGUIMIENTOS,2,FALSE))</f>
        <v/>
      </c>
    </row>
    <row r="155" spans="26:31">
      <c r="Z155" s="88" t="str">
        <f>IF(LISTADO_NOM!K155="","",DATE(LISTADO_NOM!M155,LISTADO_NOM!L155,LISTADO_NOM!K155))</f>
        <v/>
      </c>
      <c r="AA155" s="88" t="str">
        <f>IFERROR(INDEX($Z$14:$Z$300, MATCH(0, INDEX(COUNTIF($AA$13:AA154, $Z$14:$Z$300), 0, 0), 0)), "")</f>
        <v/>
      </c>
      <c r="AB155" s="88" t="str">
        <f t="shared" si="2"/>
        <v/>
      </c>
      <c r="AC155">
        <v>142</v>
      </c>
      <c r="AE155" t="str">
        <f>IF(LISTADO_NOM!AI155="","",VLOOKUP(LISTADO_NOM!AI155,SEGUIMIENTOS,2,FALSE))</f>
        <v/>
      </c>
    </row>
    <row r="156" spans="26:31">
      <c r="Z156" s="88" t="str">
        <f>IF(LISTADO_NOM!K156="","",DATE(LISTADO_NOM!M156,LISTADO_NOM!L156,LISTADO_NOM!K156))</f>
        <v/>
      </c>
      <c r="AA156" s="88" t="str">
        <f>IFERROR(INDEX($Z$14:$Z$300, MATCH(0, INDEX(COUNTIF($AA$13:AA155, $Z$14:$Z$300), 0, 0), 0)), "")</f>
        <v/>
      </c>
      <c r="AB156" s="88" t="str">
        <f t="shared" si="2"/>
        <v/>
      </c>
      <c r="AC156">
        <v>143</v>
      </c>
      <c r="AE156" t="str">
        <f>IF(LISTADO_NOM!AI156="","",VLOOKUP(LISTADO_NOM!AI156,SEGUIMIENTOS,2,FALSE))</f>
        <v/>
      </c>
    </row>
    <row r="157" spans="26:31">
      <c r="Z157" s="88" t="str">
        <f>IF(LISTADO_NOM!K157="","",DATE(LISTADO_NOM!M157,LISTADO_NOM!L157,LISTADO_NOM!K157))</f>
        <v/>
      </c>
      <c r="AA157" s="88" t="str">
        <f>IFERROR(INDEX($Z$14:$Z$300, MATCH(0, INDEX(COUNTIF($AA$13:AA156, $Z$14:$Z$300), 0, 0), 0)), "")</f>
        <v/>
      </c>
      <c r="AB157" s="88" t="str">
        <f t="shared" si="2"/>
        <v/>
      </c>
      <c r="AC157">
        <v>144</v>
      </c>
      <c r="AE157" t="str">
        <f>IF(LISTADO_NOM!AI157="","",VLOOKUP(LISTADO_NOM!AI157,SEGUIMIENTOS,2,FALSE))</f>
        <v/>
      </c>
    </row>
    <row r="158" spans="26:31">
      <c r="Z158" s="88" t="str">
        <f>IF(LISTADO_NOM!K158="","",DATE(LISTADO_NOM!M158,LISTADO_NOM!L158,LISTADO_NOM!K158))</f>
        <v/>
      </c>
      <c r="AA158" s="88" t="str">
        <f>IFERROR(INDEX($Z$14:$Z$300, MATCH(0, INDEX(COUNTIF($AA$13:AA157, $Z$14:$Z$300), 0, 0), 0)), "")</f>
        <v/>
      </c>
      <c r="AB158" s="88" t="str">
        <f t="shared" si="2"/>
        <v/>
      </c>
      <c r="AC158">
        <v>145</v>
      </c>
      <c r="AE158" t="str">
        <f>IF(LISTADO_NOM!AI158="","",VLOOKUP(LISTADO_NOM!AI158,SEGUIMIENTOS,2,FALSE))</f>
        <v/>
      </c>
    </row>
    <row r="159" spans="26:31">
      <c r="Z159" s="88" t="str">
        <f>IF(LISTADO_NOM!K159="","",DATE(LISTADO_NOM!M159,LISTADO_NOM!L159,LISTADO_NOM!K159))</f>
        <v/>
      </c>
      <c r="AA159" s="88" t="str">
        <f>IFERROR(INDEX($Z$14:$Z$300, MATCH(0, INDEX(COUNTIF($AA$13:AA158, $Z$14:$Z$300), 0, 0), 0)), "")</f>
        <v/>
      </c>
      <c r="AB159" s="88" t="str">
        <f t="shared" si="2"/>
        <v/>
      </c>
      <c r="AC159">
        <v>146</v>
      </c>
      <c r="AE159" t="str">
        <f>IF(LISTADO_NOM!AI159="","",VLOOKUP(LISTADO_NOM!AI159,SEGUIMIENTOS,2,FALSE))</f>
        <v/>
      </c>
    </row>
    <row r="160" spans="26:31">
      <c r="Z160" s="88" t="str">
        <f>IF(LISTADO_NOM!K160="","",DATE(LISTADO_NOM!M160,LISTADO_NOM!L160,LISTADO_NOM!K160))</f>
        <v/>
      </c>
      <c r="AA160" s="88" t="str">
        <f>IFERROR(INDEX($Z$14:$Z$300, MATCH(0, INDEX(COUNTIF($AA$13:AA159, $Z$14:$Z$300), 0, 0), 0)), "")</f>
        <v/>
      </c>
      <c r="AB160" s="88" t="str">
        <f t="shared" si="2"/>
        <v/>
      </c>
      <c r="AC160">
        <v>147</v>
      </c>
      <c r="AE160" t="str">
        <f>IF(LISTADO_NOM!AI160="","",VLOOKUP(LISTADO_NOM!AI160,SEGUIMIENTOS,2,FALSE))</f>
        <v/>
      </c>
    </row>
    <row r="161" spans="26:31">
      <c r="Z161" s="88" t="str">
        <f>IF(LISTADO_NOM!K161="","",DATE(LISTADO_NOM!M161,LISTADO_NOM!L161,LISTADO_NOM!K161))</f>
        <v/>
      </c>
      <c r="AA161" s="88" t="str">
        <f>IFERROR(INDEX($Z$14:$Z$300, MATCH(0, INDEX(COUNTIF($AA$13:AA160, $Z$14:$Z$300), 0, 0), 0)), "")</f>
        <v/>
      </c>
      <c r="AB161" s="88" t="str">
        <f t="shared" si="2"/>
        <v/>
      </c>
      <c r="AC161">
        <v>148</v>
      </c>
      <c r="AE161" t="str">
        <f>IF(LISTADO_NOM!AI161="","",VLOOKUP(LISTADO_NOM!AI161,SEGUIMIENTOS,2,FALSE))</f>
        <v/>
      </c>
    </row>
    <row r="162" spans="26:31">
      <c r="Z162" s="88" t="str">
        <f>IF(LISTADO_NOM!K162="","",DATE(LISTADO_NOM!M162,LISTADO_NOM!L162,LISTADO_NOM!K162))</f>
        <v/>
      </c>
      <c r="AA162" s="88" t="str">
        <f>IFERROR(INDEX($Z$14:$Z$300, MATCH(0, INDEX(COUNTIF($AA$13:AA161, $Z$14:$Z$300), 0, 0), 0)), "")</f>
        <v/>
      </c>
      <c r="AB162" s="88" t="str">
        <f t="shared" si="2"/>
        <v/>
      </c>
      <c r="AC162">
        <v>149</v>
      </c>
      <c r="AE162" t="str">
        <f>IF(LISTADO_NOM!AI162="","",VLOOKUP(LISTADO_NOM!AI162,SEGUIMIENTOS,2,FALSE))</f>
        <v/>
      </c>
    </row>
    <row r="163" spans="26:31">
      <c r="Z163" s="88" t="str">
        <f>IF(LISTADO_NOM!K163="","",DATE(LISTADO_NOM!M163,LISTADO_NOM!L163,LISTADO_NOM!K163))</f>
        <v/>
      </c>
      <c r="AA163" s="88" t="str">
        <f>IFERROR(INDEX($Z$14:$Z$300, MATCH(0, INDEX(COUNTIF($AA$13:AA162, $Z$14:$Z$300), 0, 0), 0)), "")</f>
        <v/>
      </c>
      <c r="AB163" s="88" t="str">
        <f t="shared" si="2"/>
        <v/>
      </c>
      <c r="AC163">
        <v>150</v>
      </c>
      <c r="AE163" t="str">
        <f>IF(LISTADO_NOM!AI163="","",VLOOKUP(LISTADO_NOM!AI163,SEGUIMIENTOS,2,FALSE))</f>
        <v/>
      </c>
    </row>
    <row r="164" spans="26:31">
      <c r="Z164" s="88" t="str">
        <f>IF(LISTADO_NOM!K164="","",DATE(LISTADO_NOM!M164,LISTADO_NOM!L164,LISTADO_NOM!K164))</f>
        <v/>
      </c>
      <c r="AA164" s="88" t="str">
        <f>IFERROR(INDEX($Z$14:$Z$300, MATCH(0, INDEX(COUNTIF($AA$13:AA163, $Z$14:$Z$300), 0, 0), 0)), "")</f>
        <v/>
      </c>
      <c r="AB164" s="88" t="str">
        <f t="shared" si="2"/>
        <v/>
      </c>
      <c r="AC164">
        <v>151</v>
      </c>
      <c r="AE164" t="str">
        <f>IF(LISTADO_NOM!AI164="","",VLOOKUP(LISTADO_NOM!AI164,SEGUIMIENTOS,2,FALSE))</f>
        <v/>
      </c>
    </row>
    <row r="165" spans="26:31">
      <c r="Z165" s="88" t="str">
        <f>IF(LISTADO_NOM!K165="","",DATE(LISTADO_NOM!M165,LISTADO_NOM!L165,LISTADO_NOM!K165))</f>
        <v/>
      </c>
      <c r="AA165" s="88" t="str">
        <f>IFERROR(INDEX($Z$14:$Z$300, MATCH(0, INDEX(COUNTIF($AA$13:AA164, $Z$14:$Z$300), 0, 0), 0)), "")</f>
        <v/>
      </c>
      <c r="AB165" s="88" t="str">
        <f t="shared" si="2"/>
        <v/>
      </c>
      <c r="AC165">
        <v>152</v>
      </c>
      <c r="AE165" t="str">
        <f>IF(LISTADO_NOM!AI165="","",VLOOKUP(LISTADO_NOM!AI165,SEGUIMIENTOS,2,FALSE))</f>
        <v/>
      </c>
    </row>
    <row r="166" spans="26:31">
      <c r="Z166" s="88" t="str">
        <f>IF(LISTADO_NOM!K166="","",DATE(LISTADO_NOM!M166,LISTADO_NOM!L166,LISTADO_NOM!K166))</f>
        <v/>
      </c>
      <c r="AA166" s="88" t="str">
        <f>IFERROR(INDEX($Z$14:$Z$300, MATCH(0, INDEX(COUNTIF($AA$13:AA165, $Z$14:$Z$300), 0, 0), 0)), "")</f>
        <v/>
      </c>
      <c r="AB166" s="88" t="str">
        <f t="shared" si="2"/>
        <v/>
      </c>
      <c r="AC166">
        <v>153</v>
      </c>
      <c r="AE166" t="str">
        <f>IF(LISTADO_NOM!AI166="","",VLOOKUP(LISTADO_NOM!AI166,SEGUIMIENTOS,2,FALSE))</f>
        <v/>
      </c>
    </row>
    <row r="167" spans="26:31">
      <c r="Z167" s="88" t="str">
        <f>IF(LISTADO_NOM!K167="","",DATE(LISTADO_NOM!M167,LISTADO_NOM!L167,LISTADO_NOM!K167))</f>
        <v/>
      </c>
      <c r="AA167" s="88" t="str">
        <f>IFERROR(INDEX($Z$14:$Z$300, MATCH(0, INDEX(COUNTIF($AA$13:AA166, $Z$14:$Z$300), 0, 0), 0)), "")</f>
        <v/>
      </c>
      <c r="AB167" s="88" t="str">
        <f t="shared" si="2"/>
        <v/>
      </c>
      <c r="AC167">
        <v>154</v>
      </c>
      <c r="AE167" t="str">
        <f>IF(LISTADO_NOM!AI167="","",VLOOKUP(LISTADO_NOM!AI167,SEGUIMIENTOS,2,FALSE))</f>
        <v/>
      </c>
    </row>
    <row r="168" spans="26:31">
      <c r="Z168" s="88" t="str">
        <f>IF(LISTADO_NOM!K168="","",DATE(LISTADO_NOM!M168,LISTADO_NOM!L168,LISTADO_NOM!K168))</f>
        <v/>
      </c>
      <c r="AA168" s="88" t="str">
        <f>IFERROR(INDEX($Z$14:$Z$300, MATCH(0, INDEX(COUNTIF($AA$13:AA167, $Z$14:$Z$300), 0, 0), 0)), "")</f>
        <v/>
      </c>
      <c r="AB168" s="88" t="str">
        <f t="shared" si="2"/>
        <v/>
      </c>
      <c r="AC168">
        <v>155</v>
      </c>
      <c r="AE168" t="str">
        <f>IF(LISTADO_NOM!AI168="","",VLOOKUP(LISTADO_NOM!AI168,SEGUIMIENTOS,2,FALSE))</f>
        <v/>
      </c>
    </row>
    <row r="169" spans="26:31">
      <c r="Z169" s="88" t="str">
        <f>IF(LISTADO_NOM!K169="","",DATE(LISTADO_NOM!M169,LISTADO_NOM!L169,LISTADO_NOM!K169))</f>
        <v/>
      </c>
      <c r="AA169" s="88" t="str">
        <f>IFERROR(INDEX($Z$14:$Z$300, MATCH(0, INDEX(COUNTIF($AA$13:AA168, $Z$14:$Z$300), 0, 0), 0)), "")</f>
        <v/>
      </c>
      <c r="AB169" s="88" t="str">
        <f t="shared" si="2"/>
        <v/>
      </c>
      <c r="AC169">
        <v>156</v>
      </c>
      <c r="AE169" t="str">
        <f>IF(LISTADO_NOM!AI169="","",VLOOKUP(LISTADO_NOM!AI169,SEGUIMIENTOS,2,FALSE))</f>
        <v/>
      </c>
    </row>
    <row r="170" spans="26:31">
      <c r="Z170" s="88" t="str">
        <f>IF(LISTADO_NOM!K170="","",DATE(LISTADO_NOM!M170,LISTADO_NOM!L170,LISTADO_NOM!K170))</f>
        <v/>
      </c>
      <c r="AA170" s="88" t="str">
        <f>IFERROR(INDEX($Z$14:$Z$300, MATCH(0, INDEX(COUNTIF($AA$13:AA169, $Z$14:$Z$300), 0, 0), 0)), "")</f>
        <v/>
      </c>
      <c r="AB170" s="88" t="str">
        <f t="shared" si="2"/>
        <v/>
      </c>
      <c r="AC170">
        <v>157</v>
      </c>
      <c r="AE170" t="str">
        <f>IF(LISTADO_NOM!AI170="","",VLOOKUP(LISTADO_NOM!AI170,SEGUIMIENTOS,2,FALSE))</f>
        <v/>
      </c>
    </row>
    <row r="171" spans="26:31">
      <c r="Z171" s="88" t="str">
        <f>IF(LISTADO_NOM!K171="","",DATE(LISTADO_NOM!M171,LISTADO_NOM!L171,LISTADO_NOM!K171))</f>
        <v/>
      </c>
      <c r="AA171" s="88" t="str">
        <f>IFERROR(INDEX($Z$14:$Z$300, MATCH(0, INDEX(COUNTIF($AA$13:AA170, $Z$14:$Z$300), 0, 0), 0)), "")</f>
        <v/>
      </c>
      <c r="AB171" s="88" t="str">
        <f t="shared" si="2"/>
        <v/>
      </c>
      <c r="AC171">
        <v>158</v>
      </c>
      <c r="AE171" t="str">
        <f>IF(LISTADO_NOM!AI171="","",VLOOKUP(LISTADO_NOM!AI171,SEGUIMIENTOS,2,FALSE))</f>
        <v/>
      </c>
    </row>
    <row r="172" spans="26:31">
      <c r="Z172" s="88" t="str">
        <f>IF(LISTADO_NOM!K172="","",DATE(LISTADO_NOM!M172,LISTADO_NOM!L172,LISTADO_NOM!K172))</f>
        <v/>
      </c>
      <c r="AA172" s="88" t="str">
        <f>IFERROR(INDEX($Z$14:$Z$300, MATCH(0, INDEX(COUNTIF($AA$13:AA171, $Z$14:$Z$300), 0, 0), 0)), "")</f>
        <v/>
      </c>
      <c r="AB172" s="88" t="str">
        <f t="shared" si="2"/>
        <v/>
      </c>
      <c r="AC172">
        <v>159</v>
      </c>
      <c r="AE172" t="str">
        <f>IF(LISTADO_NOM!AI172="","",VLOOKUP(LISTADO_NOM!AI172,SEGUIMIENTOS,2,FALSE))</f>
        <v/>
      </c>
    </row>
    <row r="173" spans="26:31">
      <c r="Z173" s="88" t="str">
        <f>IF(LISTADO_NOM!K173="","",DATE(LISTADO_NOM!M173,LISTADO_NOM!L173,LISTADO_NOM!K173))</f>
        <v/>
      </c>
      <c r="AA173" s="88" t="str">
        <f>IFERROR(INDEX($Z$14:$Z$300, MATCH(0, INDEX(COUNTIF($AA$13:AA172, $Z$14:$Z$300), 0, 0), 0)), "")</f>
        <v/>
      </c>
      <c r="AB173" s="88" t="str">
        <f t="shared" si="2"/>
        <v/>
      </c>
      <c r="AC173">
        <v>160</v>
      </c>
      <c r="AE173" t="str">
        <f>IF(LISTADO_NOM!AI173="","",VLOOKUP(LISTADO_NOM!AI173,SEGUIMIENTOS,2,FALSE))</f>
        <v/>
      </c>
    </row>
    <row r="174" spans="26:31">
      <c r="Z174" s="88" t="str">
        <f>IF(LISTADO_NOM!K174="","",DATE(LISTADO_NOM!M174,LISTADO_NOM!L174,LISTADO_NOM!K174))</f>
        <v/>
      </c>
      <c r="AA174" s="88" t="str">
        <f>IFERROR(INDEX($Z$14:$Z$300, MATCH(0, INDEX(COUNTIF($AA$13:AA173, $Z$14:$Z$300), 0, 0), 0)), "")</f>
        <v/>
      </c>
      <c r="AB174" s="88" t="str">
        <f t="shared" si="2"/>
        <v/>
      </c>
      <c r="AC174">
        <v>161</v>
      </c>
      <c r="AE174" t="str">
        <f>IF(LISTADO_NOM!AI174="","",VLOOKUP(LISTADO_NOM!AI174,SEGUIMIENTOS,2,FALSE))</f>
        <v/>
      </c>
    </row>
    <row r="175" spans="26:31">
      <c r="Z175" s="88" t="str">
        <f>IF(LISTADO_NOM!K175="","",DATE(LISTADO_NOM!M175,LISTADO_NOM!L175,LISTADO_NOM!K175))</f>
        <v/>
      </c>
      <c r="AA175" s="88" t="str">
        <f>IFERROR(INDEX($Z$14:$Z$300, MATCH(0, INDEX(COUNTIF($AA$13:AA174, $Z$14:$Z$300), 0, 0), 0)), "")</f>
        <v/>
      </c>
      <c r="AB175" s="88" t="str">
        <f t="shared" si="2"/>
        <v/>
      </c>
      <c r="AC175">
        <v>162</v>
      </c>
      <c r="AE175" t="str">
        <f>IF(LISTADO_NOM!AI175="","",VLOOKUP(LISTADO_NOM!AI175,SEGUIMIENTOS,2,FALSE))</f>
        <v/>
      </c>
    </row>
    <row r="176" spans="26:31">
      <c r="Z176" s="88" t="str">
        <f>IF(LISTADO_NOM!K176="","",DATE(LISTADO_NOM!M176,LISTADO_NOM!L176,LISTADO_NOM!K176))</f>
        <v/>
      </c>
      <c r="AA176" s="88" t="str">
        <f>IFERROR(INDEX($Z$14:$Z$300, MATCH(0, INDEX(COUNTIF($AA$13:AA175, $Z$14:$Z$300), 0, 0), 0)), "")</f>
        <v/>
      </c>
      <c r="AB176" s="88" t="str">
        <f t="shared" si="2"/>
        <v/>
      </c>
      <c r="AC176">
        <v>163</v>
      </c>
      <c r="AE176" t="str">
        <f>IF(LISTADO_NOM!AI176="","",VLOOKUP(LISTADO_NOM!AI176,SEGUIMIENTOS,2,FALSE))</f>
        <v/>
      </c>
    </row>
    <row r="177" spans="26:31">
      <c r="Z177" s="88" t="str">
        <f>IF(LISTADO_NOM!K177="","",DATE(LISTADO_NOM!M177,LISTADO_NOM!L177,LISTADO_NOM!K177))</f>
        <v/>
      </c>
      <c r="AA177" s="88" t="str">
        <f>IFERROR(INDEX($Z$14:$Z$300, MATCH(0, INDEX(COUNTIF($AA$13:AA176, $Z$14:$Z$300), 0, 0), 0)), "")</f>
        <v/>
      </c>
      <c r="AB177" s="88" t="str">
        <f t="shared" si="2"/>
        <v/>
      </c>
      <c r="AC177">
        <v>164</v>
      </c>
      <c r="AE177" t="str">
        <f>IF(LISTADO_NOM!AI177="","",VLOOKUP(LISTADO_NOM!AI177,SEGUIMIENTOS,2,FALSE))</f>
        <v/>
      </c>
    </row>
    <row r="178" spans="26:31">
      <c r="Z178" s="88" t="str">
        <f>IF(LISTADO_NOM!K178="","",DATE(LISTADO_NOM!M178,LISTADO_NOM!L178,LISTADO_NOM!K178))</f>
        <v/>
      </c>
      <c r="AA178" s="88" t="str">
        <f>IFERROR(INDEX($Z$14:$Z$300, MATCH(0, INDEX(COUNTIF($AA$13:AA177, $Z$14:$Z$300), 0, 0), 0)), "")</f>
        <v/>
      </c>
      <c r="AB178" s="88" t="str">
        <f t="shared" si="2"/>
        <v/>
      </c>
      <c r="AC178">
        <v>165</v>
      </c>
      <c r="AE178" t="str">
        <f>IF(LISTADO_NOM!AI178="","",VLOOKUP(LISTADO_NOM!AI178,SEGUIMIENTOS,2,FALSE))</f>
        <v/>
      </c>
    </row>
    <row r="179" spans="26:31">
      <c r="Z179" s="88" t="str">
        <f>IF(LISTADO_NOM!K179="","",DATE(LISTADO_NOM!M179,LISTADO_NOM!L179,LISTADO_NOM!K179))</f>
        <v/>
      </c>
      <c r="AA179" s="88" t="str">
        <f>IFERROR(INDEX($Z$14:$Z$300, MATCH(0, INDEX(COUNTIF($AA$13:AA178, $Z$14:$Z$300), 0, 0), 0)), "")</f>
        <v/>
      </c>
      <c r="AB179" s="88" t="str">
        <f t="shared" si="2"/>
        <v/>
      </c>
      <c r="AC179">
        <v>166</v>
      </c>
      <c r="AE179" t="str">
        <f>IF(LISTADO_NOM!AI179="","",VLOOKUP(LISTADO_NOM!AI179,SEGUIMIENTOS,2,FALSE))</f>
        <v/>
      </c>
    </row>
    <row r="180" spans="26:31">
      <c r="Z180" s="88" t="str">
        <f>IF(LISTADO_NOM!K180="","",DATE(LISTADO_NOM!M180,LISTADO_NOM!L180,LISTADO_NOM!K180))</f>
        <v/>
      </c>
      <c r="AA180" s="88" t="str">
        <f>IFERROR(INDEX($Z$14:$Z$300, MATCH(0, INDEX(COUNTIF($AA$13:AA179, $Z$14:$Z$300), 0, 0), 0)), "")</f>
        <v/>
      </c>
      <c r="AB180" s="88" t="str">
        <f t="shared" si="2"/>
        <v/>
      </c>
      <c r="AC180">
        <v>167</v>
      </c>
      <c r="AE180" t="str">
        <f>IF(LISTADO_NOM!AI180="","",VLOOKUP(LISTADO_NOM!AI180,SEGUIMIENTOS,2,FALSE))</f>
        <v/>
      </c>
    </row>
    <row r="181" spans="26:31">
      <c r="Z181" s="88" t="str">
        <f>IF(LISTADO_NOM!K181="","",DATE(LISTADO_NOM!M181,LISTADO_NOM!L181,LISTADO_NOM!K181))</f>
        <v/>
      </c>
      <c r="AA181" s="88" t="str">
        <f>IFERROR(INDEX($Z$14:$Z$300, MATCH(0, INDEX(COUNTIF($AA$13:AA180, $Z$14:$Z$300), 0, 0), 0)), "")</f>
        <v/>
      </c>
      <c r="AB181" s="88" t="str">
        <f t="shared" si="2"/>
        <v/>
      </c>
      <c r="AC181">
        <v>168</v>
      </c>
      <c r="AE181" t="str">
        <f>IF(LISTADO_NOM!AI181="","",VLOOKUP(LISTADO_NOM!AI181,SEGUIMIENTOS,2,FALSE))</f>
        <v/>
      </c>
    </row>
    <row r="182" spans="26:31">
      <c r="Z182" s="88" t="str">
        <f>IF(LISTADO_NOM!K182="","",DATE(LISTADO_NOM!M182,LISTADO_NOM!L182,LISTADO_NOM!K182))</f>
        <v/>
      </c>
      <c r="AA182" s="88" t="str">
        <f>IFERROR(INDEX($Z$14:$Z$300, MATCH(0, INDEX(COUNTIF($AA$13:AA181, $Z$14:$Z$300), 0, 0), 0)), "")</f>
        <v/>
      </c>
      <c r="AB182" s="88" t="str">
        <f t="shared" si="2"/>
        <v/>
      </c>
      <c r="AC182">
        <v>169</v>
      </c>
      <c r="AE182" t="str">
        <f>IF(LISTADO_NOM!AI182="","",VLOOKUP(LISTADO_NOM!AI182,SEGUIMIENTOS,2,FALSE))</f>
        <v/>
      </c>
    </row>
    <row r="183" spans="26:31">
      <c r="Z183" s="88" t="str">
        <f>IF(LISTADO_NOM!K183="","",DATE(LISTADO_NOM!M183,LISTADO_NOM!L183,LISTADO_NOM!K183))</f>
        <v/>
      </c>
      <c r="AA183" s="88" t="str">
        <f>IFERROR(INDEX($Z$14:$Z$300, MATCH(0, INDEX(COUNTIF($AA$13:AA182, $Z$14:$Z$300), 0, 0), 0)), "")</f>
        <v/>
      </c>
      <c r="AB183" s="88" t="str">
        <f t="shared" si="2"/>
        <v/>
      </c>
      <c r="AC183">
        <v>170</v>
      </c>
      <c r="AE183" t="str">
        <f>IF(LISTADO_NOM!AI183="","",VLOOKUP(LISTADO_NOM!AI183,SEGUIMIENTOS,2,FALSE))</f>
        <v/>
      </c>
    </row>
    <row r="184" spans="26:31">
      <c r="Z184" s="88" t="str">
        <f>IF(LISTADO_NOM!K184="","",DATE(LISTADO_NOM!M184,LISTADO_NOM!L184,LISTADO_NOM!K184))</f>
        <v/>
      </c>
      <c r="AA184" s="88" t="str">
        <f>IFERROR(INDEX($Z$14:$Z$300, MATCH(0, INDEX(COUNTIF($AA$13:AA183, $Z$14:$Z$300), 0, 0), 0)), "")</f>
        <v/>
      </c>
      <c r="AB184" s="88" t="str">
        <f t="shared" si="2"/>
        <v/>
      </c>
      <c r="AC184">
        <v>171</v>
      </c>
      <c r="AE184" t="str">
        <f>IF(LISTADO_NOM!AI184="","",VLOOKUP(LISTADO_NOM!AI184,SEGUIMIENTOS,2,FALSE))</f>
        <v/>
      </c>
    </row>
    <row r="185" spans="26:31">
      <c r="Z185" s="88" t="str">
        <f>IF(LISTADO_NOM!K185="","",DATE(LISTADO_NOM!M185,LISTADO_NOM!L185,LISTADO_NOM!K185))</f>
        <v/>
      </c>
      <c r="AA185" s="88" t="str">
        <f>IFERROR(INDEX($Z$14:$Z$300, MATCH(0, INDEX(COUNTIF($AA$13:AA184, $Z$14:$Z$300), 0, 0), 0)), "")</f>
        <v/>
      </c>
      <c r="AB185" s="88" t="str">
        <f t="shared" si="2"/>
        <v/>
      </c>
      <c r="AC185">
        <v>172</v>
      </c>
      <c r="AE185" t="str">
        <f>IF(LISTADO_NOM!AI185="","",VLOOKUP(LISTADO_NOM!AI185,SEGUIMIENTOS,2,FALSE))</f>
        <v/>
      </c>
    </row>
    <row r="186" spans="26:31">
      <c r="Z186" s="88" t="str">
        <f>IF(LISTADO_NOM!K186="","",DATE(LISTADO_NOM!M186,LISTADO_NOM!L186,LISTADO_NOM!K186))</f>
        <v/>
      </c>
      <c r="AA186" s="88" t="str">
        <f>IFERROR(INDEX($Z$14:$Z$300, MATCH(0, INDEX(COUNTIF($AA$13:AA185, $Z$14:$Z$300), 0, 0), 0)), "")</f>
        <v/>
      </c>
      <c r="AB186" s="88" t="str">
        <f t="shared" si="2"/>
        <v/>
      </c>
      <c r="AC186">
        <v>173</v>
      </c>
      <c r="AE186" t="str">
        <f>IF(LISTADO_NOM!AI186="","",VLOOKUP(LISTADO_NOM!AI186,SEGUIMIENTOS,2,FALSE))</f>
        <v/>
      </c>
    </row>
    <row r="187" spans="26:31">
      <c r="Z187" s="88" t="str">
        <f>IF(LISTADO_NOM!K187="","",DATE(LISTADO_NOM!M187,LISTADO_NOM!L187,LISTADO_NOM!K187))</f>
        <v/>
      </c>
      <c r="AA187" s="88" t="str">
        <f>IFERROR(INDEX($Z$14:$Z$300, MATCH(0, INDEX(COUNTIF($AA$13:AA186, $Z$14:$Z$300), 0, 0), 0)), "")</f>
        <v/>
      </c>
      <c r="AB187" s="88" t="str">
        <f t="shared" si="2"/>
        <v/>
      </c>
      <c r="AC187">
        <v>174</v>
      </c>
      <c r="AE187" t="str">
        <f>IF(LISTADO_NOM!AI187="","",VLOOKUP(LISTADO_NOM!AI187,SEGUIMIENTOS,2,FALSE))</f>
        <v/>
      </c>
    </row>
    <row r="188" spans="26:31">
      <c r="Z188" s="88" t="str">
        <f>IF(LISTADO_NOM!K188="","",DATE(LISTADO_NOM!M188,LISTADO_NOM!L188,LISTADO_NOM!K188))</f>
        <v/>
      </c>
      <c r="AA188" s="88" t="str">
        <f>IFERROR(INDEX($Z$14:$Z$300, MATCH(0, INDEX(COUNTIF($AA$13:AA187, $Z$14:$Z$300), 0, 0), 0)), "")</f>
        <v/>
      </c>
      <c r="AB188" s="88" t="str">
        <f t="shared" si="2"/>
        <v/>
      </c>
      <c r="AC188">
        <v>175</v>
      </c>
      <c r="AE188" t="str">
        <f>IF(LISTADO_NOM!AI188="","",VLOOKUP(LISTADO_NOM!AI188,SEGUIMIENTOS,2,FALSE))</f>
        <v/>
      </c>
    </row>
    <row r="189" spans="26:31">
      <c r="Z189" s="88" t="str">
        <f>IF(LISTADO_NOM!K189="","",DATE(LISTADO_NOM!M189,LISTADO_NOM!L189,LISTADO_NOM!K189))</f>
        <v/>
      </c>
      <c r="AA189" s="88" t="str">
        <f>IFERROR(INDEX($Z$14:$Z$300, MATCH(0, INDEX(COUNTIF($AA$13:AA188, $Z$14:$Z$300), 0, 0), 0)), "")</f>
        <v/>
      </c>
      <c r="AB189" s="88" t="str">
        <f t="shared" si="2"/>
        <v/>
      </c>
      <c r="AC189">
        <v>176</v>
      </c>
      <c r="AE189" t="str">
        <f>IF(LISTADO_NOM!AI189="","",VLOOKUP(LISTADO_NOM!AI189,SEGUIMIENTOS,2,FALSE))</f>
        <v/>
      </c>
    </row>
    <row r="190" spans="26:31">
      <c r="Z190" s="88" t="str">
        <f>IF(LISTADO_NOM!K190="","",DATE(LISTADO_NOM!M190,LISTADO_NOM!L190,LISTADO_NOM!K190))</f>
        <v/>
      </c>
      <c r="AA190" s="88" t="str">
        <f>IFERROR(INDEX($Z$14:$Z$300, MATCH(0, INDEX(COUNTIF($AA$13:AA189, $Z$14:$Z$300), 0, 0), 0)), "")</f>
        <v/>
      </c>
      <c r="AB190" s="88" t="str">
        <f t="shared" si="2"/>
        <v/>
      </c>
      <c r="AC190">
        <v>177</v>
      </c>
      <c r="AE190" t="str">
        <f>IF(LISTADO_NOM!AI190="","",VLOOKUP(LISTADO_NOM!AI190,SEGUIMIENTOS,2,FALSE))</f>
        <v/>
      </c>
    </row>
    <row r="191" spans="26:31">
      <c r="Z191" s="88" t="str">
        <f>IF(LISTADO_NOM!K191="","",DATE(LISTADO_NOM!M191,LISTADO_NOM!L191,LISTADO_NOM!K191))</f>
        <v/>
      </c>
      <c r="AA191" s="88" t="str">
        <f>IFERROR(INDEX($Z$14:$Z$300, MATCH(0, INDEX(COUNTIF($AA$13:AA190, $Z$14:$Z$300), 0, 0), 0)), "")</f>
        <v/>
      </c>
      <c r="AB191" s="88" t="str">
        <f t="shared" si="2"/>
        <v/>
      </c>
      <c r="AC191">
        <v>178</v>
      </c>
      <c r="AE191" t="str">
        <f>IF(LISTADO_NOM!AI191="","",VLOOKUP(LISTADO_NOM!AI191,SEGUIMIENTOS,2,FALSE))</f>
        <v/>
      </c>
    </row>
    <row r="192" spans="26:31">
      <c r="Z192" s="88" t="str">
        <f>IF(LISTADO_NOM!K192="","",DATE(LISTADO_NOM!M192,LISTADO_NOM!L192,LISTADO_NOM!K192))</f>
        <v/>
      </c>
      <c r="AA192" s="88" t="str">
        <f>IFERROR(INDEX($Z$14:$Z$300, MATCH(0, INDEX(COUNTIF($AA$13:AA191, $Z$14:$Z$300), 0, 0), 0)), "")</f>
        <v/>
      </c>
      <c r="AB192" s="88" t="str">
        <f t="shared" si="2"/>
        <v/>
      </c>
      <c r="AC192">
        <v>179</v>
      </c>
      <c r="AE192" t="str">
        <f>IF(LISTADO_NOM!AI192="","",VLOOKUP(LISTADO_NOM!AI192,SEGUIMIENTOS,2,FALSE))</f>
        <v/>
      </c>
    </row>
    <row r="193" spans="26:31">
      <c r="Z193" s="88" t="str">
        <f>IF(LISTADO_NOM!K193="","",DATE(LISTADO_NOM!M193,LISTADO_NOM!L193,LISTADO_NOM!K193))</f>
        <v/>
      </c>
      <c r="AA193" s="88" t="str">
        <f>IFERROR(INDEX($Z$14:$Z$300, MATCH(0, INDEX(COUNTIF($AA$13:AA192, $Z$14:$Z$300), 0, 0), 0)), "")</f>
        <v/>
      </c>
      <c r="AB193" s="88" t="str">
        <f t="shared" si="2"/>
        <v/>
      </c>
      <c r="AC193">
        <v>180</v>
      </c>
      <c r="AE193" t="str">
        <f>IF(LISTADO_NOM!AI193="","",VLOOKUP(LISTADO_NOM!AI193,SEGUIMIENTOS,2,FALSE))</f>
        <v/>
      </c>
    </row>
    <row r="194" spans="26:31">
      <c r="Z194" s="88" t="str">
        <f>IF(LISTADO_NOM!K194="","",DATE(LISTADO_NOM!M194,LISTADO_NOM!L194,LISTADO_NOM!K194))</f>
        <v/>
      </c>
      <c r="AA194" s="88" t="str">
        <f>IFERROR(INDEX($Z$14:$Z$300, MATCH(0, INDEX(COUNTIF($AA$13:AA193, $Z$14:$Z$300), 0, 0), 0)), "")</f>
        <v/>
      </c>
      <c r="AB194" s="88" t="str">
        <f t="shared" si="2"/>
        <v/>
      </c>
      <c r="AC194">
        <v>181</v>
      </c>
      <c r="AE194" t="str">
        <f>IF(LISTADO_NOM!AI194="","",VLOOKUP(LISTADO_NOM!AI194,SEGUIMIENTOS,2,FALSE))</f>
        <v/>
      </c>
    </row>
    <row r="195" spans="26:31">
      <c r="Z195" s="88" t="str">
        <f>IF(LISTADO_NOM!K195="","",DATE(LISTADO_NOM!M195,LISTADO_NOM!L195,LISTADO_NOM!K195))</f>
        <v/>
      </c>
      <c r="AA195" s="88" t="str">
        <f>IFERROR(INDEX($Z$14:$Z$300, MATCH(0, INDEX(COUNTIF($AA$13:AA194, $Z$14:$Z$300), 0, 0), 0)), "")</f>
        <v/>
      </c>
      <c r="AB195" s="88" t="str">
        <f t="shared" si="2"/>
        <v/>
      </c>
      <c r="AC195">
        <v>182</v>
      </c>
      <c r="AE195" t="str">
        <f>IF(LISTADO_NOM!AI195="","",VLOOKUP(LISTADO_NOM!AI195,SEGUIMIENTOS,2,FALSE))</f>
        <v/>
      </c>
    </row>
    <row r="196" spans="26:31">
      <c r="Z196" s="88" t="str">
        <f>IF(LISTADO_NOM!K196="","",DATE(LISTADO_NOM!M196,LISTADO_NOM!L196,LISTADO_NOM!K196))</f>
        <v/>
      </c>
      <c r="AA196" s="88" t="str">
        <f>IFERROR(INDEX($Z$14:$Z$300, MATCH(0, INDEX(COUNTIF($AA$13:AA195, $Z$14:$Z$300), 0, 0), 0)), "")</f>
        <v/>
      </c>
      <c r="AB196" s="88" t="str">
        <f t="shared" si="2"/>
        <v/>
      </c>
      <c r="AC196">
        <v>183</v>
      </c>
      <c r="AE196" t="str">
        <f>IF(LISTADO_NOM!AI196="","",VLOOKUP(LISTADO_NOM!AI196,SEGUIMIENTOS,2,FALSE))</f>
        <v/>
      </c>
    </row>
    <row r="197" spans="26:31">
      <c r="Z197" s="88" t="str">
        <f>IF(LISTADO_NOM!K197="","",DATE(LISTADO_NOM!M197,LISTADO_NOM!L197,LISTADO_NOM!K197))</f>
        <v/>
      </c>
      <c r="AA197" s="88" t="str">
        <f>IFERROR(INDEX($Z$14:$Z$300, MATCH(0, INDEX(COUNTIF($AA$13:AA196, $Z$14:$Z$300), 0, 0), 0)), "")</f>
        <v/>
      </c>
      <c r="AB197" s="88" t="str">
        <f t="shared" si="2"/>
        <v/>
      </c>
      <c r="AC197">
        <v>184</v>
      </c>
      <c r="AE197" t="str">
        <f>IF(LISTADO_NOM!AI197="","",VLOOKUP(LISTADO_NOM!AI197,SEGUIMIENTOS,2,FALSE))</f>
        <v/>
      </c>
    </row>
    <row r="198" spans="26:31">
      <c r="Z198" s="88" t="str">
        <f>IF(LISTADO_NOM!K198="","",DATE(LISTADO_NOM!M198,LISTADO_NOM!L198,LISTADO_NOM!K198))</f>
        <v/>
      </c>
      <c r="AA198" s="88" t="str">
        <f>IFERROR(INDEX($Z$14:$Z$300, MATCH(0, INDEX(COUNTIF($AA$13:AA197, $Z$14:$Z$300), 0, 0), 0)), "")</f>
        <v/>
      </c>
      <c r="AB198" s="88" t="str">
        <f t="shared" si="2"/>
        <v/>
      </c>
      <c r="AC198">
        <v>185</v>
      </c>
      <c r="AE198" t="str">
        <f>IF(LISTADO_NOM!AI198="","",VLOOKUP(LISTADO_NOM!AI198,SEGUIMIENTOS,2,FALSE))</f>
        <v/>
      </c>
    </row>
    <row r="199" spans="26:31">
      <c r="Z199" s="88" t="str">
        <f>IF(LISTADO_NOM!K199="","",DATE(LISTADO_NOM!M199,LISTADO_NOM!L199,LISTADO_NOM!K199))</f>
        <v/>
      </c>
      <c r="AA199" s="88" t="str">
        <f>IFERROR(INDEX($Z$14:$Z$300, MATCH(0, INDEX(COUNTIF($AA$13:AA198, $Z$14:$Z$300), 0, 0), 0)), "")</f>
        <v/>
      </c>
      <c r="AB199" s="88" t="str">
        <f t="shared" si="2"/>
        <v/>
      </c>
      <c r="AC199">
        <v>186</v>
      </c>
      <c r="AE199" t="str">
        <f>IF(LISTADO_NOM!AI199="","",VLOOKUP(LISTADO_NOM!AI199,SEGUIMIENTOS,2,FALSE))</f>
        <v/>
      </c>
    </row>
    <row r="200" spans="26:31">
      <c r="Z200" s="88" t="str">
        <f>IF(LISTADO_NOM!K200="","",DATE(LISTADO_NOM!M200,LISTADO_NOM!L200,LISTADO_NOM!K200))</f>
        <v/>
      </c>
      <c r="AA200" s="88" t="str">
        <f>IFERROR(INDEX($Z$14:$Z$300, MATCH(0, INDEX(COUNTIF($AA$13:AA199, $Z$14:$Z$300), 0, 0), 0)), "")</f>
        <v/>
      </c>
      <c r="AB200" s="88" t="str">
        <f t="shared" si="2"/>
        <v/>
      </c>
      <c r="AC200">
        <v>187</v>
      </c>
      <c r="AE200" t="str">
        <f>IF(LISTADO_NOM!AI200="","",VLOOKUP(LISTADO_NOM!AI200,SEGUIMIENTOS,2,FALSE))</f>
        <v/>
      </c>
    </row>
    <row r="201" spans="26:31">
      <c r="Z201" s="88" t="str">
        <f>IF(LISTADO_NOM!K201="","",DATE(LISTADO_NOM!M201,LISTADO_NOM!L201,LISTADO_NOM!K201))</f>
        <v/>
      </c>
      <c r="AA201" s="88" t="str">
        <f>IFERROR(INDEX($Z$14:$Z$300, MATCH(0, INDEX(COUNTIF($AA$13:AA200, $Z$14:$Z$300), 0, 0), 0)), "")</f>
        <v/>
      </c>
      <c r="AB201" s="88" t="str">
        <f t="shared" si="2"/>
        <v/>
      </c>
      <c r="AC201">
        <v>188</v>
      </c>
      <c r="AE201" t="str">
        <f>IF(LISTADO_NOM!AI201="","",VLOOKUP(LISTADO_NOM!AI201,SEGUIMIENTOS,2,FALSE))</f>
        <v/>
      </c>
    </row>
    <row r="202" spans="26:31">
      <c r="Z202" s="88" t="str">
        <f>IF(LISTADO_NOM!K202="","",DATE(LISTADO_NOM!M202,LISTADO_NOM!L202,LISTADO_NOM!K202))</f>
        <v/>
      </c>
      <c r="AA202" s="88" t="str">
        <f>IFERROR(INDEX($Z$14:$Z$300, MATCH(0, INDEX(COUNTIF($AA$13:AA201, $Z$14:$Z$300), 0, 0), 0)), "")</f>
        <v/>
      </c>
      <c r="AB202" s="88" t="str">
        <f t="shared" si="2"/>
        <v/>
      </c>
      <c r="AC202">
        <v>189</v>
      </c>
      <c r="AE202" t="str">
        <f>IF(LISTADO_NOM!AI202="","",VLOOKUP(LISTADO_NOM!AI202,SEGUIMIENTOS,2,FALSE))</f>
        <v/>
      </c>
    </row>
    <row r="203" spans="26:31">
      <c r="Z203" s="88" t="str">
        <f>IF(LISTADO_NOM!K203="","",DATE(LISTADO_NOM!M203,LISTADO_NOM!L203,LISTADO_NOM!K203))</f>
        <v/>
      </c>
      <c r="AA203" s="88" t="str">
        <f>IFERROR(INDEX($Z$14:$Z$300, MATCH(0, INDEX(COUNTIF($AA$13:AA202, $Z$14:$Z$300), 0, 0), 0)), "")</f>
        <v/>
      </c>
      <c r="AB203" s="88" t="str">
        <f t="shared" si="2"/>
        <v/>
      </c>
      <c r="AC203">
        <v>190</v>
      </c>
      <c r="AE203" t="str">
        <f>IF(LISTADO_NOM!AI203="","",VLOOKUP(LISTADO_NOM!AI203,SEGUIMIENTOS,2,FALSE))</f>
        <v/>
      </c>
    </row>
    <row r="204" spans="26:31">
      <c r="Z204" s="88" t="str">
        <f>IF(LISTADO_NOM!K204="","",DATE(LISTADO_NOM!M204,LISTADO_NOM!L204,LISTADO_NOM!K204))</f>
        <v/>
      </c>
      <c r="AA204" s="88" t="str">
        <f>IFERROR(INDEX($Z$14:$Z$300, MATCH(0, INDEX(COUNTIF($AA$13:AA203, $Z$14:$Z$300), 0, 0), 0)), "")</f>
        <v/>
      </c>
      <c r="AB204" s="88" t="str">
        <f t="shared" si="2"/>
        <v/>
      </c>
      <c r="AC204">
        <v>191</v>
      </c>
      <c r="AE204" t="str">
        <f>IF(LISTADO_NOM!AI204="","",VLOOKUP(LISTADO_NOM!AI204,SEGUIMIENTOS,2,FALSE))</f>
        <v/>
      </c>
    </row>
    <row r="205" spans="26:31">
      <c r="Z205" s="88" t="str">
        <f>IF(LISTADO_NOM!K205="","",DATE(LISTADO_NOM!M205,LISTADO_NOM!L205,LISTADO_NOM!K205))</f>
        <v/>
      </c>
      <c r="AA205" s="88" t="str">
        <f>IFERROR(INDEX($Z$14:$Z$300, MATCH(0, INDEX(COUNTIF($AA$13:AA204, $Z$14:$Z$300), 0, 0), 0)), "")</f>
        <v/>
      </c>
      <c r="AB205" s="88" t="str">
        <f t="shared" si="2"/>
        <v/>
      </c>
      <c r="AC205">
        <v>192</v>
      </c>
      <c r="AE205" t="str">
        <f>IF(LISTADO_NOM!AI205="","",VLOOKUP(LISTADO_NOM!AI205,SEGUIMIENTOS,2,FALSE))</f>
        <v/>
      </c>
    </row>
    <row r="206" spans="26:31">
      <c r="Z206" s="88" t="str">
        <f>IF(LISTADO_NOM!K206="","",DATE(LISTADO_NOM!M206,LISTADO_NOM!L206,LISTADO_NOM!K206))</f>
        <v/>
      </c>
      <c r="AA206" s="88" t="str">
        <f>IFERROR(INDEX($Z$14:$Z$300, MATCH(0, INDEX(COUNTIF($AA$13:AA205, $Z$14:$Z$300), 0, 0), 0)), "")</f>
        <v/>
      </c>
      <c r="AB206" s="88" t="str">
        <f t="shared" ref="AB206:AB269" si="3">IF(AA206="","",SMALL(ORDENA_,AC206))</f>
        <v/>
      </c>
      <c r="AC206">
        <v>193</v>
      </c>
      <c r="AE206" t="str">
        <f>IF(LISTADO_NOM!AI206="","",VLOOKUP(LISTADO_NOM!AI206,SEGUIMIENTOS,2,FALSE))</f>
        <v/>
      </c>
    </row>
    <row r="207" spans="26:31">
      <c r="Z207" s="88" t="str">
        <f>IF(LISTADO_NOM!K207="","",DATE(LISTADO_NOM!M207,LISTADO_NOM!L207,LISTADO_NOM!K207))</f>
        <v/>
      </c>
      <c r="AA207" s="88" t="str">
        <f>IFERROR(INDEX($Z$14:$Z$300, MATCH(0, INDEX(COUNTIF($AA$13:AA206, $Z$14:$Z$300), 0, 0), 0)), "")</f>
        <v/>
      </c>
      <c r="AB207" s="88" t="str">
        <f t="shared" si="3"/>
        <v/>
      </c>
      <c r="AC207">
        <v>194</v>
      </c>
      <c r="AE207" t="str">
        <f>IF(LISTADO_NOM!AI207="","",VLOOKUP(LISTADO_NOM!AI207,SEGUIMIENTOS,2,FALSE))</f>
        <v/>
      </c>
    </row>
    <row r="208" spans="26:31">
      <c r="Z208" s="88" t="str">
        <f>IF(LISTADO_NOM!K208="","",DATE(LISTADO_NOM!M208,LISTADO_NOM!L208,LISTADO_NOM!K208))</f>
        <v/>
      </c>
      <c r="AA208" s="88" t="str">
        <f>IFERROR(INDEX($Z$14:$Z$300, MATCH(0, INDEX(COUNTIF($AA$13:AA207, $Z$14:$Z$300), 0, 0), 0)), "")</f>
        <v/>
      </c>
      <c r="AB208" s="88" t="str">
        <f t="shared" si="3"/>
        <v/>
      </c>
      <c r="AC208">
        <v>195</v>
      </c>
      <c r="AE208" t="str">
        <f>IF(LISTADO_NOM!AI208="","",VLOOKUP(LISTADO_NOM!AI208,SEGUIMIENTOS,2,FALSE))</f>
        <v/>
      </c>
    </row>
    <row r="209" spans="26:31">
      <c r="Z209" s="88" t="str">
        <f>IF(LISTADO_NOM!K209="","",DATE(LISTADO_NOM!M209,LISTADO_NOM!L209,LISTADO_NOM!K209))</f>
        <v/>
      </c>
      <c r="AA209" s="88" t="str">
        <f>IFERROR(INDEX($Z$14:$Z$300, MATCH(0, INDEX(COUNTIF($AA$13:AA208, $Z$14:$Z$300), 0, 0), 0)), "")</f>
        <v/>
      </c>
      <c r="AB209" s="88" t="str">
        <f t="shared" si="3"/>
        <v/>
      </c>
      <c r="AC209">
        <v>196</v>
      </c>
      <c r="AE209" t="str">
        <f>IF(LISTADO_NOM!AI209="","",VLOOKUP(LISTADO_NOM!AI209,SEGUIMIENTOS,2,FALSE))</f>
        <v/>
      </c>
    </row>
    <row r="210" spans="26:31">
      <c r="Z210" s="88" t="str">
        <f>IF(LISTADO_NOM!K210="","",DATE(LISTADO_NOM!M210,LISTADO_NOM!L210,LISTADO_NOM!K210))</f>
        <v/>
      </c>
      <c r="AA210" s="88" t="str">
        <f>IFERROR(INDEX($Z$14:$Z$300, MATCH(0, INDEX(COUNTIF($AA$13:AA209, $Z$14:$Z$300), 0, 0), 0)), "")</f>
        <v/>
      </c>
      <c r="AB210" s="88" t="str">
        <f t="shared" si="3"/>
        <v/>
      </c>
      <c r="AC210">
        <v>197</v>
      </c>
      <c r="AE210" t="str">
        <f>IF(LISTADO_NOM!AI210="","",VLOOKUP(LISTADO_NOM!AI210,SEGUIMIENTOS,2,FALSE))</f>
        <v/>
      </c>
    </row>
    <row r="211" spans="26:31">
      <c r="Z211" s="88" t="str">
        <f>IF(LISTADO_NOM!K211="","",DATE(LISTADO_NOM!M211,LISTADO_NOM!L211,LISTADO_NOM!K211))</f>
        <v/>
      </c>
      <c r="AA211" s="88" t="str">
        <f>IFERROR(INDEX($Z$14:$Z$300, MATCH(0, INDEX(COUNTIF($AA$13:AA210, $Z$14:$Z$300), 0, 0), 0)), "")</f>
        <v/>
      </c>
      <c r="AB211" s="88" t="str">
        <f t="shared" si="3"/>
        <v/>
      </c>
      <c r="AC211">
        <v>198</v>
      </c>
      <c r="AE211" t="str">
        <f>IF(LISTADO_NOM!AI211="","",VLOOKUP(LISTADO_NOM!AI211,SEGUIMIENTOS,2,FALSE))</f>
        <v/>
      </c>
    </row>
    <row r="212" spans="26:31">
      <c r="Z212" s="88" t="str">
        <f>IF(LISTADO_NOM!K212="","",DATE(LISTADO_NOM!M212,LISTADO_NOM!L212,LISTADO_NOM!K212))</f>
        <v/>
      </c>
      <c r="AA212" s="88" t="str">
        <f>IFERROR(INDEX($Z$14:$Z$300, MATCH(0, INDEX(COUNTIF($AA$13:AA211, $Z$14:$Z$300), 0, 0), 0)), "")</f>
        <v/>
      </c>
      <c r="AB212" s="88" t="str">
        <f t="shared" si="3"/>
        <v/>
      </c>
      <c r="AC212">
        <v>199</v>
      </c>
      <c r="AE212" t="str">
        <f>IF(LISTADO_NOM!AI212="","",VLOOKUP(LISTADO_NOM!AI212,SEGUIMIENTOS,2,FALSE))</f>
        <v/>
      </c>
    </row>
    <row r="213" spans="26:31">
      <c r="Z213" s="88" t="str">
        <f>IF(LISTADO_NOM!K213="","",DATE(LISTADO_NOM!M213,LISTADO_NOM!L213,LISTADO_NOM!K213))</f>
        <v/>
      </c>
      <c r="AA213" s="88" t="str">
        <f>IFERROR(INDEX($Z$14:$Z$300, MATCH(0, INDEX(COUNTIF($AA$13:AA212, $Z$14:$Z$300), 0, 0), 0)), "")</f>
        <v/>
      </c>
      <c r="AB213" s="88" t="str">
        <f t="shared" si="3"/>
        <v/>
      </c>
      <c r="AC213">
        <v>200</v>
      </c>
      <c r="AE213" t="str">
        <f>IF(LISTADO_NOM!AI213="","",VLOOKUP(LISTADO_NOM!AI213,SEGUIMIENTOS,2,FALSE))</f>
        <v/>
      </c>
    </row>
    <row r="214" spans="26:31">
      <c r="Z214" s="88" t="str">
        <f>IF(LISTADO_NOM!K214="","",DATE(LISTADO_NOM!M214,LISTADO_NOM!L214,LISTADO_NOM!K214))</f>
        <v/>
      </c>
      <c r="AA214" s="88" t="str">
        <f>IFERROR(INDEX($Z$14:$Z$300, MATCH(0, INDEX(COUNTIF($AA$13:AA213, $Z$14:$Z$300), 0, 0), 0)), "")</f>
        <v/>
      </c>
      <c r="AB214" s="88" t="str">
        <f t="shared" si="3"/>
        <v/>
      </c>
      <c r="AC214">
        <v>201</v>
      </c>
      <c r="AE214" t="str">
        <f>IF(LISTADO_NOM!AI214="","",VLOOKUP(LISTADO_NOM!AI214,SEGUIMIENTOS,2,FALSE))</f>
        <v/>
      </c>
    </row>
    <row r="215" spans="26:31">
      <c r="Z215" s="88" t="str">
        <f>IF(LISTADO_NOM!K215="","",DATE(LISTADO_NOM!M215,LISTADO_NOM!L215,LISTADO_NOM!K215))</f>
        <v/>
      </c>
      <c r="AA215" s="88" t="str">
        <f>IFERROR(INDEX($Z$14:$Z$300, MATCH(0, INDEX(COUNTIF($AA$13:AA214, $Z$14:$Z$300), 0, 0), 0)), "")</f>
        <v/>
      </c>
      <c r="AB215" s="88" t="str">
        <f t="shared" si="3"/>
        <v/>
      </c>
      <c r="AC215">
        <v>202</v>
      </c>
      <c r="AE215" t="str">
        <f>IF(LISTADO_NOM!AI215="","",VLOOKUP(LISTADO_NOM!AI215,SEGUIMIENTOS,2,FALSE))</f>
        <v/>
      </c>
    </row>
    <row r="216" spans="26:31">
      <c r="Z216" s="88" t="str">
        <f>IF(LISTADO_NOM!K216="","",DATE(LISTADO_NOM!M216,LISTADO_NOM!L216,LISTADO_NOM!K216))</f>
        <v/>
      </c>
      <c r="AA216" s="88" t="str">
        <f>IFERROR(INDEX($Z$14:$Z$300, MATCH(0, INDEX(COUNTIF($AA$13:AA215, $Z$14:$Z$300), 0, 0), 0)), "")</f>
        <v/>
      </c>
      <c r="AB216" s="88" t="str">
        <f t="shared" si="3"/>
        <v/>
      </c>
      <c r="AC216">
        <v>203</v>
      </c>
      <c r="AE216" t="str">
        <f>IF(LISTADO_NOM!AI216="","",VLOOKUP(LISTADO_NOM!AI216,SEGUIMIENTOS,2,FALSE))</f>
        <v/>
      </c>
    </row>
    <row r="217" spans="26:31">
      <c r="Z217" s="88" t="str">
        <f>IF(LISTADO_NOM!K217="","",DATE(LISTADO_NOM!M217,LISTADO_NOM!L217,LISTADO_NOM!K217))</f>
        <v/>
      </c>
      <c r="AA217" s="88" t="str">
        <f>IFERROR(INDEX($Z$14:$Z$300, MATCH(0, INDEX(COUNTIF($AA$13:AA216, $Z$14:$Z$300), 0, 0), 0)), "")</f>
        <v/>
      </c>
      <c r="AB217" s="88" t="str">
        <f t="shared" si="3"/>
        <v/>
      </c>
      <c r="AC217">
        <v>204</v>
      </c>
      <c r="AE217" t="str">
        <f>IF(LISTADO_NOM!AI217="","",VLOOKUP(LISTADO_NOM!AI217,SEGUIMIENTOS,2,FALSE))</f>
        <v/>
      </c>
    </row>
    <row r="218" spans="26:31">
      <c r="Z218" s="88" t="str">
        <f>IF(LISTADO_NOM!K218="","",DATE(LISTADO_NOM!M218,LISTADO_NOM!L218,LISTADO_NOM!K218))</f>
        <v/>
      </c>
      <c r="AA218" s="88" t="str">
        <f>IFERROR(INDEX($Z$14:$Z$300, MATCH(0, INDEX(COUNTIF($AA$13:AA217, $Z$14:$Z$300), 0, 0), 0)), "")</f>
        <v/>
      </c>
      <c r="AB218" s="88" t="str">
        <f t="shared" si="3"/>
        <v/>
      </c>
      <c r="AC218">
        <v>205</v>
      </c>
      <c r="AE218" t="str">
        <f>IF(LISTADO_NOM!AI218="","",VLOOKUP(LISTADO_NOM!AI218,SEGUIMIENTOS,2,FALSE))</f>
        <v/>
      </c>
    </row>
    <row r="219" spans="26:31">
      <c r="Z219" s="88" t="str">
        <f>IF(LISTADO_NOM!K219="","",DATE(LISTADO_NOM!M219,LISTADO_NOM!L219,LISTADO_NOM!K219))</f>
        <v/>
      </c>
      <c r="AA219" s="88" t="str">
        <f>IFERROR(INDEX($Z$14:$Z$300, MATCH(0, INDEX(COUNTIF($AA$13:AA218, $Z$14:$Z$300), 0, 0), 0)), "")</f>
        <v/>
      </c>
      <c r="AB219" s="88" t="str">
        <f t="shared" si="3"/>
        <v/>
      </c>
      <c r="AC219">
        <v>206</v>
      </c>
      <c r="AE219" t="str">
        <f>IF(LISTADO_NOM!AI219="","",VLOOKUP(LISTADO_NOM!AI219,SEGUIMIENTOS,2,FALSE))</f>
        <v/>
      </c>
    </row>
    <row r="220" spans="26:31">
      <c r="Z220" s="88" t="str">
        <f>IF(LISTADO_NOM!K220="","",DATE(LISTADO_NOM!M220,LISTADO_NOM!L220,LISTADO_NOM!K220))</f>
        <v/>
      </c>
      <c r="AA220" s="88" t="str">
        <f>IFERROR(INDEX($Z$14:$Z$300, MATCH(0, INDEX(COUNTIF($AA$13:AA219, $Z$14:$Z$300), 0, 0), 0)), "")</f>
        <v/>
      </c>
      <c r="AB220" s="88" t="str">
        <f t="shared" si="3"/>
        <v/>
      </c>
      <c r="AC220">
        <v>207</v>
      </c>
      <c r="AE220" t="str">
        <f>IF(LISTADO_NOM!AI220="","",VLOOKUP(LISTADO_NOM!AI220,SEGUIMIENTOS,2,FALSE))</f>
        <v/>
      </c>
    </row>
    <row r="221" spans="26:31">
      <c r="Z221" s="88" t="str">
        <f>IF(LISTADO_NOM!K221="","",DATE(LISTADO_NOM!M221,LISTADO_NOM!L221,LISTADO_NOM!K221))</f>
        <v/>
      </c>
      <c r="AA221" s="88" t="str">
        <f>IFERROR(INDEX($Z$14:$Z$300, MATCH(0, INDEX(COUNTIF($AA$13:AA220, $Z$14:$Z$300), 0, 0), 0)), "")</f>
        <v/>
      </c>
      <c r="AB221" s="88" t="str">
        <f t="shared" si="3"/>
        <v/>
      </c>
      <c r="AC221">
        <v>208</v>
      </c>
      <c r="AE221" t="str">
        <f>IF(LISTADO_NOM!AI221="","",VLOOKUP(LISTADO_NOM!AI221,SEGUIMIENTOS,2,FALSE))</f>
        <v/>
      </c>
    </row>
    <row r="222" spans="26:31">
      <c r="Z222" s="88" t="str">
        <f>IF(LISTADO_NOM!K222="","",DATE(LISTADO_NOM!M222,LISTADO_NOM!L222,LISTADO_NOM!K222))</f>
        <v/>
      </c>
      <c r="AA222" s="88" t="str">
        <f>IFERROR(INDEX($Z$14:$Z$300, MATCH(0, INDEX(COUNTIF($AA$13:AA221, $Z$14:$Z$300), 0, 0), 0)), "")</f>
        <v/>
      </c>
      <c r="AB222" s="88" t="str">
        <f t="shared" si="3"/>
        <v/>
      </c>
      <c r="AC222">
        <v>209</v>
      </c>
      <c r="AE222" t="str">
        <f>IF(LISTADO_NOM!AI222="","",VLOOKUP(LISTADO_NOM!AI222,SEGUIMIENTOS,2,FALSE))</f>
        <v/>
      </c>
    </row>
    <row r="223" spans="26:31">
      <c r="Z223" s="88" t="str">
        <f>IF(LISTADO_NOM!K223="","",DATE(LISTADO_NOM!M223,LISTADO_NOM!L223,LISTADO_NOM!K223))</f>
        <v/>
      </c>
      <c r="AA223" s="88" t="str">
        <f>IFERROR(INDEX($Z$14:$Z$300, MATCH(0, INDEX(COUNTIF($AA$13:AA222, $Z$14:$Z$300), 0, 0), 0)), "")</f>
        <v/>
      </c>
      <c r="AB223" s="88" t="str">
        <f t="shared" si="3"/>
        <v/>
      </c>
      <c r="AC223">
        <v>210</v>
      </c>
      <c r="AE223" t="str">
        <f>IF(LISTADO_NOM!AI223="","",VLOOKUP(LISTADO_NOM!AI223,SEGUIMIENTOS,2,FALSE))</f>
        <v/>
      </c>
    </row>
    <row r="224" spans="26:31">
      <c r="Z224" s="88" t="str">
        <f>IF(LISTADO_NOM!K224="","",DATE(LISTADO_NOM!M224,LISTADO_NOM!L224,LISTADO_NOM!K224))</f>
        <v/>
      </c>
      <c r="AA224" s="88" t="str">
        <f>IFERROR(INDEX($Z$14:$Z$300, MATCH(0, INDEX(COUNTIF($AA$13:AA223, $Z$14:$Z$300), 0, 0), 0)), "")</f>
        <v/>
      </c>
      <c r="AB224" s="88" t="str">
        <f t="shared" si="3"/>
        <v/>
      </c>
      <c r="AC224">
        <v>211</v>
      </c>
      <c r="AE224" t="str">
        <f>IF(LISTADO_NOM!AI224="","",VLOOKUP(LISTADO_NOM!AI224,SEGUIMIENTOS,2,FALSE))</f>
        <v/>
      </c>
    </row>
    <row r="225" spans="26:31">
      <c r="Z225" s="88" t="str">
        <f>IF(LISTADO_NOM!K225="","",DATE(LISTADO_NOM!M225,LISTADO_NOM!L225,LISTADO_NOM!K225))</f>
        <v/>
      </c>
      <c r="AA225" s="88" t="str">
        <f>IFERROR(INDEX($Z$14:$Z$300, MATCH(0, INDEX(COUNTIF($AA$13:AA224, $Z$14:$Z$300), 0, 0), 0)), "")</f>
        <v/>
      </c>
      <c r="AB225" s="88" t="str">
        <f t="shared" si="3"/>
        <v/>
      </c>
      <c r="AC225">
        <v>212</v>
      </c>
      <c r="AE225" t="str">
        <f>IF(LISTADO_NOM!AI225="","",VLOOKUP(LISTADO_NOM!AI225,SEGUIMIENTOS,2,FALSE))</f>
        <v/>
      </c>
    </row>
    <row r="226" spans="26:31">
      <c r="Z226" s="88" t="str">
        <f>IF(LISTADO_NOM!K226="","",DATE(LISTADO_NOM!M226,LISTADO_NOM!L226,LISTADO_NOM!K226))</f>
        <v/>
      </c>
      <c r="AA226" s="88" t="str">
        <f>IFERROR(INDEX($Z$14:$Z$300, MATCH(0, INDEX(COUNTIF($AA$13:AA225, $Z$14:$Z$300), 0, 0), 0)), "")</f>
        <v/>
      </c>
      <c r="AB226" s="88" t="str">
        <f t="shared" si="3"/>
        <v/>
      </c>
      <c r="AC226">
        <v>213</v>
      </c>
      <c r="AE226" t="str">
        <f>IF(LISTADO_NOM!AI226="","",VLOOKUP(LISTADO_NOM!AI226,SEGUIMIENTOS,2,FALSE))</f>
        <v/>
      </c>
    </row>
    <row r="227" spans="26:31">
      <c r="Z227" s="88" t="str">
        <f>IF(LISTADO_NOM!K227="","",DATE(LISTADO_NOM!M227,LISTADO_NOM!L227,LISTADO_NOM!K227))</f>
        <v/>
      </c>
      <c r="AA227" s="88" t="str">
        <f>IFERROR(INDEX($Z$14:$Z$300, MATCH(0, INDEX(COUNTIF($AA$13:AA226, $Z$14:$Z$300), 0, 0), 0)), "")</f>
        <v/>
      </c>
      <c r="AB227" s="88" t="str">
        <f t="shared" si="3"/>
        <v/>
      </c>
      <c r="AC227">
        <v>214</v>
      </c>
      <c r="AE227" t="str">
        <f>IF(LISTADO_NOM!AI227="","",VLOOKUP(LISTADO_NOM!AI227,SEGUIMIENTOS,2,FALSE))</f>
        <v/>
      </c>
    </row>
    <row r="228" spans="26:31">
      <c r="Z228" s="88" t="str">
        <f>IF(LISTADO_NOM!K228="","",DATE(LISTADO_NOM!M228,LISTADO_NOM!L228,LISTADO_NOM!K228))</f>
        <v/>
      </c>
      <c r="AA228" s="88" t="str">
        <f>IFERROR(INDEX($Z$14:$Z$300, MATCH(0, INDEX(COUNTIF($AA$13:AA227, $Z$14:$Z$300), 0, 0), 0)), "")</f>
        <v/>
      </c>
      <c r="AB228" s="88" t="str">
        <f t="shared" si="3"/>
        <v/>
      </c>
      <c r="AC228">
        <v>215</v>
      </c>
      <c r="AE228" t="str">
        <f>IF(LISTADO_NOM!AI228="","",VLOOKUP(LISTADO_NOM!AI228,SEGUIMIENTOS,2,FALSE))</f>
        <v/>
      </c>
    </row>
    <row r="229" spans="26:31">
      <c r="Z229" s="88" t="str">
        <f>IF(LISTADO_NOM!K229="","",DATE(LISTADO_NOM!M229,LISTADO_NOM!L229,LISTADO_NOM!K229))</f>
        <v/>
      </c>
      <c r="AA229" s="88" t="str">
        <f>IFERROR(INDEX($Z$14:$Z$300, MATCH(0, INDEX(COUNTIF($AA$13:AA228, $Z$14:$Z$300), 0, 0), 0)), "")</f>
        <v/>
      </c>
      <c r="AB229" s="88" t="str">
        <f t="shared" si="3"/>
        <v/>
      </c>
      <c r="AC229">
        <v>216</v>
      </c>
      <c r="AE229" t="str">
        <f>IF(LISTADO_NOM!AI229="","",VLOOKUP(LISTADO_NOM!AI229,SEGUIMIENTOS,2,FALSE))</f>
        <v/>
      </c>
    </row>
    <row r="230" spans="26:31">
      <c r="Z230" s="88" t="str">
        <f>IF(LISTADO_NOM!K230="","",DATE(LISTADO_NOM!M230,LISTADO_NOM!L230,LISTADO_NOM!K230))</f>
        <v/>
      </c>
      <c r="AA230" s="88" t="str">
        <f>IFERROR(INDEX($Z$14:$Z$300, MATCH(0, INDEX(COUNTIF($AA$13:AA229, $Z$14:$Z$300), 0, 0), 0)), "")</f>
        <v/>
      </c>
      <c r="AB230" s="88" t="str">
        <f t="shared" si="3"/>
        <v/>
      </c>
      <c r="AC230">
        <v>217</v>
      </c>
      <c r="AE230" t="str">
        <f>IF(LISTADO_NOM!AI230="","",VLOOKUP(LISTADO_NOM!AI230,SEGUIMIENTOS,2,FALSE))</f>
        <v/>
      </c>
    </row>
    <row r="231" spans="26:31">
      <c r="Z231" s="88" t="str">
        <f>IF(LISTADO_NOM!K231="","",DATE(LISTADO_NOM!M231,LISTADO_NOM!L231,LISTADO_NOM!K231))</f>
        <v/>
      </c>
      <c r="AA231" s="88" t="str">
        <f>IFERROR(INDEX($Z$14:$Z$300, MATCH(0, INDEX(COUNTIF($AA$13:AA230, $Z$14:$Z$300), 0, 0), 0)), "")</f>
        <v/>
      </c>
      <c r="AB231" s="88" t="str">
        <f t="shared" si="3"/>
        <v/>
      </c>
      <c r="AC231">
        <v>218</v>
      </c>
      <c r="AE231" t="str">
        <f>IF(LISTADO_NOM!AI231="","",VLOOKUP(LISTADO_NOM!AI231,SEGUIMIENTOS,2,FALSE))</f>
        <v/>
      </c>
    </row>
    <row r="232" spans="26:31">
      <c r="Z232" s="88" t="str">
        <f>IF(LISTADO_NOM!K232="","",DATE(LISTADO_NOM!M232,LISTADO_NOM!L232,LISTADO_NOM!K232))</f>
        <v/>
      </c>
      <c r="AA232" s="88" t="str">
        <f>IFERROR(INDEX($Z$14:$Z$300, MATCH(0, INDEX(COUNTIF($AA$13:AA231, $Z$14:$Z$300), 0, 0), 0)), "")</f>
        <v/>
      </c>
      <c r="AB232" s="88" t="str">
        <f t="shared" si="3"/>
        <v/>
      </c>
      <c r="AC232">
        <v>219</v>
      </c>
      <c r="AE232" t="str">
        <f>IF(LISTADO_NOM!AI232="","",VLOOKUP(LISTADO_NOM!AI232,SEGUIMIENTOS,2,FALSE))</f>
        <v/>
      </c>
    </row>
    <row r="233" spans="26:31">
      <c r="Z233" s="88" t="str">
        <f>IF(LISTADO_NOM!K233="","",DATE(LISTADO_NOM!M233,LISTADO_NOM!L233,LISTADO_NOM!K233))</f>
        <v/>
      </c>
      <c r="AA233" s="88" t="str">
        <f>IFERROR(INDEX($Z$14:$Z$300, MATCH(0, INDEX(COUNTIF($AA$13:AA232, $Z$14:$Z$300), 0, 0), 0)), "")</f>
        <v/>
      </c>
      <c r="AB233" s="88" t="str">
        <f t="shared" si="3"/>
        <v/>
      </c>
      <c r="AC233">
        <v>220</v>
      </c>
      <c r="AE233" t="str">
        <f>IF(LISTADO_NOM!AI233="","",VLOOKUP(LISTADO_NOM!AI233,SEGUIMIENTOS,2,FALSE))</f>
        <v/>
      </c>
    </row>
    <row r="234" spans="26:31">
      <c r="Z234" s="88" t="str">
        <f>IF(LISTADO_NOM!K234="","",DATE(LISTADO_NOM!M234,LISTADO_NOM!L234,LISTADO_NOM!K234))</f>
        <v/>
      </c>
      <c r="AA234" s="88" t="str">
        <f>IFERROR(INDEX($Z$14:$Z$300, MATCH(0, INDEX(COUNTIF($AA$13:AA233, $Z$14:$Z$300), 0, 0), 0)), "")</f>
        <v/>
      </c>
      <c r="AB234" s="88" t="str">
        <f t="shared" si="3"/>
        <v/>
      </c>
      <c r="AC234">
        <v>221</v>
      </c>
      <c r="AE234" t="str">
        <f>IF(LISTADO_NOM!AI234="","",VLOOKUP(LISTADO_NOM!AI234,SEGUIMIENTOS,2,FALSE))</f>
        <v/>
      </c>
    </row>
    <row r="235" spans="26:31">
      <c r="Z235" s="88" t="str">
        <f>IF(LISTADO_NOM!K235="","",DATE(LISTADO_NOM!M235,LISTADO_NOM!L235,LISTADO_NOM!K235))</f>
        <v/>
      </c>
      <c r="AA235" s="88" t="str">
        <f>IFERROR(INDEX($Z$14:$Z$300, MATCH(0, INDEX(COUNTIF($AA$13:AA234, $Z$14:$Z$300), 0, 0), 0)), "")</f>
        <v/>
      </c>
      <c r="AB235" s="88" t="str">
        <f t="shared" si="3"/>
        <v/>
      </c>
      <c r="AC235">
        <v>222</v>
      </c>
      <c r="AE235" t="str">
        <f>IF(LISTADO_NOM!AI235="","",VLOOKUP(LISTADO_NOM!AI235,SEGUIMIENTOS,2,FALSE))</f>
        <v/>
      </c>
    </row>
    <row r="236" spans="26:31">
      <c r="Z236" s="88" t="str">
        <f>IF(LISTADO_NOM!K236="","",DATE(LISTADO_NOM!M236,LISTADO_NOM!L236,LISTADO_NOM!K236))</f>
        <v/>
      </c>
      <c r="AA236" s="88" t="str">
        <f>IFERROR(INDEX($Z$14:$Z$300, MATCH(0, INDEX(COUNTIF($AA$13:AA235, $Z$14:$Z$300), 0, 0), 0)), "")</f>
        <v/>
      </c>
      <c r="AB236" s="88" t="str">
        <f t="shared" si="3"/>
        <v/>
      </c>
      <c r="AC236">
        <v>223</v>
      </c>
      <c r="AE236" t="str">
        <f>IF(LISTADO_NOM!AI236="","",VLOOKUP(LISTADO_NOM!AI236,SEGUIMIENTOS,2,FALSE))</f>
        <v/>
      </c>
    </row>
    <row r="237" spans="26:31">
      <c r="Z237" s="88" t="str">
        <f>IF(LISTADO_NOM!K237="","",DATE(LISTADO_NOM!M237,LISTADO_NOM!L237,LISTADO_NOM!K237))</f>
        <v/>
      </c>
      <c r="AA237" s="88" t="str">
        <f>IFERROR(INDEX($Z$14:$Z$300, MATCH(0, INDEX(COUNTIF($AA$13:AA236, $Z$14:$Z$300), 0, 0), 0)), "")</f>
        <v/>
      </c>
      <c r="AB237" s="88" t="str">
        <f t="shared" si="3"/>
        <v/>
      </c>
      <c r="AC237">
        <v>224</v>
      </c>
      <c r="AE237" t="str">
        <f>IF(LISTADO_NOM!AI237="","",VLOOKUP(LISTADO_NOM!AI237,SEGUIMIENTOS,2,FALSE))</f>
        <v/>
      </c>
    </row>
    <row r="238" spans="26:31">
      <c r="Z238" s="88" t="str">
        <f>IF(LISTADO_NOM!K238="","",DATE(LISTADO_NOM!M238,LISTADO_NOM!L238,LISTADO_NOM!K238))</f>
        <v/>
      </c>
      <c r="AA238" s="88" t="str">
        <f>IFERROR(INDEX($Z$14:$Z$300, MATCH(0, INDEX(COUNTIF($AA$13:AA237, $Z$14:$Z$300), 0, 0), 0)), "")</f>
        <v/>
      </c>
      <c r="AB238" s="88" t="str">
        <f t="shared" si="3"/>
        <v/>
      </c>
      <c r="AC238">
        <v>225</v>
      </c>
      <c r="AE238" t="str">
        <f>IF(LISTADO_NOM!AI238="","",VLOOKUP(LISTADO_NOM!AI238,SEGUIMIENTOS,2,FALSE))</f>
        <v/>
      </c>
    </row>
    <row r="239" spans="26:31">
      <c r="Z239" s="88" t="str">
        <f>IF(LISTADO_NOM!K239="","",DATE(LISTADO_NOM!M239,LISTADO_NOM!L239,LISTADO_NOM!K239))</f>
        <v/>
      </c>
      <c r="AA239" s="88" t="str">
        <f>IFERROR(INDEX($Z$14:$Z$300, MATCH(0, INDEX(COUNTIF($AA$13:AA238, $Z$14:$Z$300), 0, 0), 0)), "")</f>
        <v/>
      </c>
      <c r="AB239" s="88" t="str">
        <f t="shared" si="3"/>
        <v/>
      </c>
      <c r="AC239">
        <v>226</v>
      </c>
      <c r="AE239" t="str">
        <f>IF(LISTADO_NOM!AI239="","",VLOOKUP(LISTADO_NOM!AI239,SEGUIMIENTOS,2,FALSE))</f>
        <v/>
      </c>
    </row>
    <row r="240" spans="26:31">
      <c r="Z240" s="88" t="str">
        <f>IF(LISTADO_NOM!K240="","",DATE(LISTADO_NOM!M240,LISTADO_NOM!L240,LISTADO_NOM!K240))</f>
        <v/>
      </c>
      <c r="AA240" s="88" t="str">
        <f>IFERROR(INDEX($Z$14:$Z$300, MATCH(0, INDEX(COUNTIF($AA$13:AA239, $Z$14:$Z$300), 0, 0), 0)), "")</f>
        <v/>
      </c>
      <c r="AB240" s="88" t="str">
        <f t="shared" si="3"/>
        <v/>
      </c>
      <c r="AC240">
        <v>227</v>
      </c>
      <c r="AE240" t="str">
        <f>IF(LISTADO_NOM!AI240="","",VLOOKUP(LISTADO_NOM!AI240,SEGUIMIENTOS,2,FALSE))</f>
        <v/>
      </c>
    </row>
    <row r="241" spans="26:31">
      <c r="Z241" s="88" t="str">
        <f>IF(LISTADO_NOM!K241="","",DATE(LISTADO_NOM!M241,LISTADO_NOM!L241,LISTADO_NOM!K241))</f>
        <v/>
      </c>
      <c r="AA241" s="88" t="str">
        <f>IFERROR(INDEX($Z$14:$Z$300, MATCH(0, INDEX(COUNTIF($AA$13:AA240, $Z$14:$Z$300), 0, 0), 0)), "")</f>
        <v/>
      </c>
      <c r="AB241" s="88" t="str">
        <f t="shared" si="3"/>
        <v/>
      </c>
      <c r="AC241">
        <v>228</v>
      </c>
      <c r="AE241" t="str">
        <f>IF(LISTADO_NOM!AI241="","",VLOOKUP(LISTADO_NOM!AI241,SEGUIMIENTOS,2,FALSE))</f>
        <v/>
      </c>
    </row>
    <row r="242" spans="26:31">
      <c r="Z242" s="88" t="str">
        <f>IF(LISTADO_NOM!K242="","",DATE(LISTADO_NOM!M242,LISTADO_NOM!L242,LISTADO_NOM!K242))</f>
        <v/>
      </c>
      <c r="AA242" s="88" t="str">
        <f>IFERROR(INDEX($Z$14:$Z$300, MATCH(0, INDEX(COUNTIF($AA$13:AA241, $Z$14:$Z$300), 0, 0), 0)), "")</f>
        <v/>
      </c>
      <c r="AB242" s="88" t="str">
        <f t="shared" si="3"/>
        <v/>
      </c>
      <c r="AC242">
        <v>229</v>
      </c>
      <c r="AE242" t="str">
        <f>IF(LISTADO_NOM!AI242="","",VLOOKUP(LISTADO_NOM!AI242,SEGUIMIENTOS,2,FALSE))</f>
        <v/>
      </c>
    </row>
    <row r="243" spans="26:31">
      <c r="Z243" s="88" t="str">
        <f>IF(LISTADO_NOM!K243="","",DATE(LISTADO_NOM!M243,LISTADO_NOM!L243,LISTADO_NOM!K243))</f>
        <v/>
      </c>
      <c r="AA243" s="88" t="str">
        <f>IFERROR(INDEX($Z$14:$Z$300, MATCH(0, INDEX(COUNTIF($AA$13:AA242, $Z$14:$Z$300), 0, 0), 0)), "")</f>
        <v/>
      </c>
      <c r="AB243" s="88" t="str">
        <f t="shared" si="3"/>
        <v/>
      </c>
      <c r="AC243">
        <v>230</v>
      </c>
      <c r="AE243" t="str">
        <f>IF(LISTADO_NOM!AI243="","",VLOOKUP(LISTADO_NOM!AI243,SEGUIMIENTOS,2,FALSE))</f>
        <v/>
      </c>
    </row>
    <row r="244" spans="26:31">
      <c r="Z244" s="88" t="str">
        <f>IF(LISTADO_NOM!K244="","",DATE(LISTADO_NOM!M244,LISTADO_NOM!L244,LISTADO_NOM!K244))</f>
        <v/>
      </c>
      <c r="AA244" s="88" t="str">
        <f>IFERROR(INDEX($Z$14:$Z$300, MATCH(0, INDEX(COUNTIF($AA$13:AA243, $Z$14:$Z$300), 0, 0), 0)), "")</f>
        <v/>
      </c>
      <c r="AB244" s="88" t="str">
        <f t="shared" si="3"/>
        <v/>
      </c>
      <c r="AC244">
        <v>231</v>
      </c>
      <c r="AE244" t="str">
        <f>IF(LISTADO_NOM!AI244="","",VLOOKUP(LISTADO_NOM!AI244,SEGUIMIENTOS,2,FALSE))</f>
        <v/>
      </c>
    </row>
    <row r="245" spans="26:31">
      <c r="Z245" s="88" t="str">
        <f>IF(LISTADO_NOM!K245="","",DATE(LISTADO_NOM!M245,LISTADO_NOM!L245,LISTADO_NOM!K245))</f>
        <v/>
      </c>
      <c r="AA245" s="88" t="str">
        <f>IFERROR(INDEX($Z$14:$Z$300, MATCH(0, INDEX(COUNTIF($AA$13:AA244, $Z$14:$Z$300), 0, 0), 0)), "")</f>
        <v/>
      </c>
      <c r="AB245" s="88" t="str">
        <f t="shared" si="3"/>
        <v/>
      </c>
      <c r="AC245">
        <v>232</v>
      </c>
      <c r="AE245" t="str">
        <f>IF(LISTADO_NOM!AI245="","",VLOOKUP(LISTADO_NOM!AI245,SEGUIMIENTOS,2,FALSE))</f>
        <v/>
      </c>
    </row>
    <row r="246" spans="26:31">
      <c r="Z246" s="88" t="str">
        <f>IF(LISTADO_NOM!K246="","",DATE(LISTADO_NOM!M246,LISTADO_NOM!L246,LISTADO_NOM!K246))</f>
        <v/>
      </c>
      <c r="AA246" s="88" t="str">
        <f>IFERROR(INDEX($Z$14:$Z$300, MATCH(0, INDEX(COUNTIF($AA$13:AA245, $Z$14:$Z$300), 0, 0), 0)), "")</f>
        <v/>
      </c>
      <c r="AB246" s="88" t="str">
        <f t="shared" si="3"/>
        <v/>
      </c>
      <c r="AC246">
        <v>233</v>
      </c>
      <c r="AE246" t="str">
        <f>IF(LISTADO_NOM!AI246="","",VLOOKUP(LISTADO_NOM!AI246,SEGUIMIENTOS,2,FALSE))</f>
        <v/>
      </c>
    </row>
    <row r="247" spans="26:31">
      <c r="Z247" s="88" t="str">
        <f>IF(LISTADO_NOM!K247="","",DATE(LISTADO_NOM!M247,LISTADO_NOM!L247,LISTADO_NOM!K247))</f>
        <v/>
      </c>
      <c r="AA247" s="88" t="str">
        <f>IFERROR(INDEX($Z$14:$Z$300, MATCH(0, INDEX(COUNTIF($AA$13:AA246, $Z$14:$Z$300), 0, 0), 0)), "")</f>
        <v/>
      </c>
      <c r="AB247" s="88" t="str">
        <f t="shared" si="3"/>
        <v/>
      </c>
      <c r="AC247">
        <v>234</v>
      </c>
      <c r="AE247" t="str">
        <f>IF(LISTADO_NOM!AI247="","",VLOOKUP(LISTADO_NOM!AI247,SEGUIMIENTOS,2,FALSE))</f>
        <v/>
      </c>
    </row>
    <row r="248" spans="26:31">
      <c r="Z248" s="88" t="str">
        <f>IF(LISTADO_NOM!K248="","",DATE(LISTADO_NOM!M248,LISTADO_NOM!L248,LISTADO_NOM!K248))</f>
        <v/>
      </c>
      <c r="AA248" s="88" t="str">
        <f>IFERROR(INDEX($Z$14:$Z$300, MATCH(0, INDEX(COUNTIF($AA$13:AA247, $Z$14:$Z$300), 0, 0), 0)), "")</f>
        <v/>
      </c>
      <c r="AB248" s="88" t="str">
        <f t="shared" si="3"/>
        <v/>
      </c>
      <c r="AC248">
        <v>235</v>
      </c>
      <c r="AE248" t="str">
        <f>IF(LISTADO_NOM!AI248="","",VLOOKUP(LISTADO_NOM!AI248,SEGUIMIENTOS,2,FALSE))</f>
        <v/>
      </c>
    </row>
    <row r="249" spans="26:31">
      <c r="Z249" s="88" t="str">
        <f>IF(LISTADO_NOM!K249="","",DATE(LISTADO_NOM!M249,LISTADO_NOM!L249,LISTADO_NOM!K249))</f>
        <v/>
      </c>
      <c r="AA249" s="88" t="str">
        <f>IFERROR(INDEX($Z$14:$Z$300, MATCH(0, INDEX(COUNTIF($AA$13:AA248, $Z$14:$Z$300), 0, 0), 0)), "")</f>
        <v/>
      </c>
      <c r="AB249" s="88" t="str">
        <f t="shared" si="3"/>
        <v/>
      </c>
      <c r="AC249">
        <v>236</v>
      </c>
      <c r="AE249" t="str">
        <f>IF(LISTADO_NOM!AI249="","",VLOOKUP(LISTADO_NOM!AI249,SEGUIMIENTOS,2,FALSE))</f>
        <v/>
      </c>
    </row>
    <row r="250" spans="26:31">
      <c r="Z250" s="88" t="str">
        <f>IF(LISTADO_NOM!K250="","",DATE(LISTADO_NOM!M250,LISTADO_NOM!L250,LISTADO_NOM!K250))</f>
        <v/>
      </c>
      <c r="AA250" s="88" t="str">
        <f>IFERROR(INDEX($Z$14:$Z$300, MATCH(0, INDEX(COUNTIF($AA$13:AA249, $Z$14:$Z$300), 0, 0), 0)), "")</f>
        <v/>
      </c>
      <c r="AB250" s="88" t="str">
        <f t="shared" si="3"/>
        <v/>
      </c>
      <c r="AC250">
        <v>237</v>
      </c>
      <c r="AE250" t="str">
        <f>IF(LISTADO_NOM!AI250="","",VLOOKUP(LISTADO_NOM!AI250,SEGUIMIENTOS,2,FALSE))</f>
        <v/>
      </c>
    </row>
    <row r="251" spans="26:31">
      <c r="Z251" s="88" t="str">
        <f>IF(LISTADO_NOM!K251="","",DATE(LISTADO_NOM!M251,LISTADO_NOM!L251,LISTADO_NOM!K251))</f>
        <v/>
      </c>
      <c r="AA251" s="88" t="str">
        <f>IFERROR(INDEX($Z$14:$Z$300, MATCH(0, INDEX(COUNTIF($AA$13:AA250, $Z$14:$Z$300), 0, 0), 0)), "")</f>
        <v/>
      </c>
      <c r="AB251" s="88" t="str">
        <f t="shared" si="3"/>
        <v/>
      </c>
      <c r="AC251">
        <v>238</v>
      </c>
      <c r="AE251" t="str">
        <f>IF(LISTADO_NOM!AI251="","",VLOOKUP(LISTADO_NOM!AI251,SEGUIMIENTOS,2,FALSE))</f>
        <v/>
      </c>
    </row>
    <row r="252" spans="26:31">
      <c r="Z252" s="88" t="str">
        <f>IF(LISTADO_NOM!K252="","",DATE(LISTADO_NOM!M252,LISTADO_NOM!L252,LISTADO_NOM!K252))</f>
        <v/>
      </c>
      <c r="AA252" s="88" t="str">
        <f>IFERROR(INDEX($Z$14:$Z$300, MATCH(0, INDEX(COUNTIF($AA$13:AA251, $Z$14:$Z$300), 0, 0), 0)), "")</f>
        <v/>
      </c>
      <c r="AB252" s="88" t="str">
        <f t="shared" si="3"/>
        <v/>
      </c>
      <c r="AC252">
        <v>239</v>
      </c>
      <c r="AE252" t="str">
        <f>IF(LISTADO_NOM!AI252="","",VLOOKUP(LISTADO_NOM!AI252,SEGUIMIENTOS,2,FALSE))</f>
        <v/>
      </c>
    </row>
    <row r="253" spans="26:31">
      <c r="Z253" s="88" t="str">
        <f>IF(LISTADO_NOM!K253="","",DATE(LISTADO_NOM!M253,LISTADO_NOM!L253,LISTADO_NOM!K253))</f>
        <v/>
      </c>
      <c r="AA253" s="88" t="str">
        <f>IFERROR(INDEX($Z$14:$Z$300, MATCH(0, INDEX(COUNTIF($AA$13:AA252, $Z$14:$Z$300), 0, 0), 0)), "")</f>
        <v/>
      </c>
      <c r="AB253" s="88" t="str">
        <f t="shared" si="3"/>
        <v/>
      </c>
      <c r="AC253">
        <v>240</v>
      </c>
      <c r="AE253" t="str">
        <f>IF(LISTADO_NOM!AI253="","",VLOOKUP(LISTADO_NOM!AI253,SEGUIMIENTOS,2,FALSE))</f>
        <v/>
      </c>
    </row>
    <row r="254" spans="26:31">
      <c r="Z254" s="88" t="str">
        <f>IF(LISTADO_NOM!K254="","",DATE(LISTADO_NOM!M254,LISTADO_NOM!L254,LISTADO_NOM!K254))</f>
        <v/>
      </c>
      <c r="AA254" s="88" t="str">
        <f>IFERROR(INDEX($Z$14:$Z$300, MATCH(0, INDEX(COUNTIF($AA$13:AA253, $Z$14:$Z$300), 0, 0), 0)), "")</f>
        <v/>
      </c>
      <c r="AB254" s="88" t="str">
        <f t="shared" si="3"/>
        <v/>
      </c>
      <c r="AC254">
        <v>241</v>
      </c>
      <c r="AE254" t="str">
        <f>IF(LISTADO_NOM!AI254="","",VLOOKUP(LISTADO_NOM!AI254,SEGUIMIENTOS,2,FALSE))</f>
        <v/>
      </c>
    </row>
    <row r="255" spans="26:31">
      <c r="Z255" s="88" t="str">
        <f>IF(LISTADO_NOM!K255="","",DATE(LISTADO_NOM!M255,LISTADO_NOM!L255,LISTADO_NOM!K255))</f>
        <v/>
      </c>
      <c r="AA255" s="88" t="str">
        <f>IFERROR(INDEX($Z$14:$Z$300, MATCH(0, INDEX(COUNTIF($AA$13:AA254, $Z$14:$Z$300), 0, 0), 0)), "")</f>
        <v/>
      </c>
      <c r="AB255" s="88" t="str">
        <f t="shared" si="3"/>
        <v/>
      </c>
      <c r="AC255">
        <v>242</v>
      </c>
      <c r="AE255" t="str">
        <f>IF(LISTADO_NOM!AI255="","",VLOOKUP(LISTADO_NOM!AI255,SEGUIMIENTOS,2,FALSE))</f>
        <v/>
      </c>
    </row>
    <row r="256" spans="26:31">
      <c r="Z256" s="88" t="str">
        <f>IF(LISTADO_NOM!K256="","",DATE(LISTADO_NOM!M256,LISTADO_NOM!L256,LISTADO_NOM!K256))</f>
        <v/>
      </c>
      <c r="AA256" s="88" t="str">
        <f>IFERROR(INDEX($Z$14:$Z$300, MATCH(0, INDEX(COUNTIF($AA$13:AA255, $Z$14:$Z$300), 0, 0), 0)), "")</f>
        <v/>
      </c>
      <c r="AB256" s="88" t="str">
        <f t="shared" si="3"/>
        <v/>
      </c>
      <c r="AC256">
        <v>243</v>
      </c>
      <c r="AE256" t="str">
        <f>IF(LISTADO_NOM!AI256="","",VLOOKUP(LISTADO_NOM!AI256,SEGUIMIENTOS,2,FALSE))</f>
        <v/>
      </c>
    </row>
    <row r="257" spans="26:31">
      <c r="Z257" s="88" t="str">
        <f>IF(LISTADO_NOM!K257="","",DATE(LISTADO_NOM!M257,LISTADO_NOM!L257,LISTADO_NOM!K257))</f>
        <v/>
      </c>
      <c r="AA257" s="88" t="str">
        <f>IFERROR(INDEX($Z$14:$Z$300, MATCH(0, INDEX(COUNTIF($AA$13:AA256, $Z$14:$Z$300), 0, 0), 0)), "")</f>
        <v/>
      </c>
      <c r="AB257" s="88" t="str">
        <f t="shared" si="3"/>
        <v/>
      </c>
      <c r="AC257">
        <v>244</v>
      </c>
      <c r="AE257" t="str">
        <f>IF(LISTADO_NOM!AI257="","",VLOOKUP(LISTADO_NOM!AI257,SEGUIMIENTOS,2,FALSE))</f>
        <v/>
      </c>
    </row>
    <row r="258" spans="26:31">
      <c r="Z258" s="88" t="str">
        <f>IF(LISTADO_NOM!K258="","",DATE(LISTADO_NOM!M258,LISTADO_NOM!L258,LISTADO_NOM!K258))</f>
        <v/>
      </c>
      <c r="AA258" s="88" t="str">
        <f>IFERROR(INDEX($Z$14:$Z$300, MATCH(0, INDEX(COUNTIF($AA$13:AA257, $Z$14:$Z$300), 0, 0), 0)), "")</f>
        <v/>
      </c>
      <c r="AB258" s="88" t="str">
        <f t="shared" si="3"/>
        <v/>
      </c>
      <c r="AC258">
        <v>245</v>
      </c>
      <c r="AE258" t="str">
        <f>IF(LISTADO_NOM!AI258="","",VLOOKUP(LISTADO_NOM!AI258,SEGUIMIENTOS,2,FALSE))</f>
        <v/>
      </c>
    </row>
    <row r="259" spans="26:31">
      <c r="Z259" s="88" t="str">
        <f>IF(LISTADO_NOM!K259="","",DATE(LISTADO_NOM!M259,LISTADO_NOM!L259,LISTADO_NOM!K259))</f>
        <v/>
      </c>
      <c r="AA259" s="88" t="str">
        <f>IFERROR(INDEX($Z$14:$Z$300, MATCH(0, INDEX(COUNTIF($AA$13:AA258, $Z$14:$Z$300), 0, 0), 0)), "")</f>
        <v/>
      </c>
      <c r="AB259" s="88" t="str">
        <f t="shared" si="3"/>
        <v/>
      </c>
      <c r="AC259">
        <v>246</v>
      </c>
      <c r="AE259" t="str">
        <f>IF(LISTADO_NOM!AI259="","",VLOOKUP(LISTADO_NOM!AI259,SEGUIMIENTOS,2,FALSE))</f>
        <v/>
      </c>
    </row>
    <row r="260" spans="26:31">
      <c r="Z260" s="88" t="str">
        <f>IF(LISTADO_NOM!K260="","",DATE(LISTADO_NOM!M260,LISTADO_NOM!L260,LISTADO_NOM!K260))</f>
        <v/>
      </c>
      <c r="AA260" s="88" t="str">
        <f>IFERROR(INDEX($Z$14:$Z$300, MATCH(0, INDEX(COUNTIF($AA$13:AA259, $Z$14:$Z$300), 0, 0), 0)), "")</f>
        <v/>
      </c>
      <c r="AB260" s="88" t="str">
        <f t="shared" si="3"/>
        <v/>
      </c>
      <c r="AC260">
        <v>247</v>
      </c>
      <c r="AE260" t="str">
        <f>IF(LISTADO_NOM!AI260="","",VLOOKUP(LISTADO_NOM!AI260,SEGUIMIENTOS,2,FALSE))</f>
        <v/>
      </c>
    </row>
    <row r="261" spans="26:31">
      <c r="Z261" s="88" t="str">
        <f>IF(LISTADO_NOM!K261="","",DATE(LISTADO_NOM!M261,LISTADO_NOM!L261,LISTADO_NOM!K261))</f>
        <v/>
      </c>
      <c r="AA261" s="88" t="str">
        <f>IFERROR(INDEX($Z$14:$Z$300, MATCH(0, INDEX(COUNTIF($AA$13:AA260, $Z$14:$Z$300), 0, 0), 0)), "")</f>
        <v/>
      </c>
      <c r="AB261" s="88" t="str">
        <f t="shared" si="3"/>
        <v/>
      </c>
      <c r="AC261">
        <v>248</v>
      </c>
      <c r="AE261" t="str">
        <f>IF(LISTADO_NOM!AI261="","",VLOOKUP(LISTADO_NOM!AI261,SEGUIMIENTOS,2,FALSE))</f>
        <v/>
      </c>
    </row>
    <row r="262" spans="26:31">
      <c r="Z262" s="88" t="str">
        <f>IF(LISTADO_NOM!K262="","",DATE(LISTADO_NOM!M262,LISTADO_NOM!L262,LISTADO_NOM!K262))</f>
        <v/>
      </c>
      <c r="AA262" s="88" t="str">
        <f>IFERROR(INDEX($Z$14:$Z$300, MATCH(0, INDEX(COUNTIF($AA$13:AA261, $Z$14:$Z$300), 0, 0), 0)), "")</f>
        <v/>
      </c>
      <c r="AB262" s="88" t="str">
        <f t="shared" si="3"/>
        <v/>
      </c>
      <c r="AC262">
        <v>249</v>
      </c>
      <c r="AE262" t="str">
        <f>IF(LISTADO_NOM!AI262="","",VLOOKUP(LISTADO_NOM!AI262,SEGUIMIENTOS,2,FALSE))</f>
        <v/>
      </c>
    </row>
    <row r="263" spans="26:31">
      <c r="Z263" s="88" t="str">
        <f>IF(LISTADO_NOM!K263="","",DATE(LISTADO_NOM!M263,LISTADO_NOM!L263,LISTADO_NOM!K263))</f>
        <v/>
      </c>
      <c r="AA263" s="88" t="str">
        <f>IFERROR(INDEX($Z$14:$Z$300, MATCH(0, INDEX(COUNTIF($AA$13:AA262, $Z$14:$Z$300), 0, 0), 0)), "")</f>
        <v/>
      </c>
      <c r="AB263" s="88" t="str">
        <f t="shared" si="3"/>
        <v/>
      </c>
      <c r="AC263">
        <v>250</v>
      </c>
      <c r="AE263" t="str">
        <f>IF(LISTADO_NOM!AI263="","",VLOOKUP(LISTADO_NOM!AI263,SEGUIMIENTOS,2,FALSE))</f>
        <v/>
      </c>
    </row>
    <row r="264" spans="26:31">
      <c r="Z264" s="88" t="str">
        <f>IF(LISTADO_NOM!K264="","",DATE(LISTADO_NOM!M264,LISTADO_NOM!L264,LISTADO_NOM!K264))</f>
        <v/>
      </c>
      <c r="AA264" s="88" t="str">
        <f>IFERROR(INDEX($Z$14:$Z$300, MATCH(0, INDEX(COUNTIF($AA$13:AA263, $Z$14:$Z$300), 0, 0), 0)), "")</f>
        <v/>
      </c>
      <c r="AB264" s="88" t="str">
        <f t="shared" si="3"/>
        <v/>
      </c>
      <c r="AC264">
        <v>251</v>
      </c>
      <c r="AE264" t="str">
        <f>IF(LISTADO_NOM!AI264="","",VLOOKUP(LISTADO_NOM!AI264,SEGUIMIENTOS,2,FALSE))</f>
        <v/>
      </c>
    </row>
    <row r="265" spans="26:31">
      <c r="Z265" s="88" t="str">
        <f>IF(LISTADO_NOM!K265="","",DATE(LISTADO_NOM!M265,LISTADO_NOM!L265,LISTADO_NOM!K265))</f>
        <v/>
      </c>
      <c r="AA265" s="88" t="str">
        <f>IFERROR(INDEX($Z$14:$Z$300, MATCH(0, INDEX(COUNTIF($AA$13:AA264, $Z$14:$Z$300), 0, 0), 0)), "")</f>
        <v/>
      </c>
      <c r="AB265" s="88" t="str">
        <f t="shared" si="3"/>
        <v/>
      </c>
      <c r="AC265">
        <v>252</v>
      </c>
      <c r="AE265" t="str">
        <f>IF(LISTADO_NOM!AI265="","",VLOOKUP(LISTADO_NOM!AI265,SEGUIMIENTOS,2,FALSE))</f>
        <v/>
      </c>
    </row>
    <row r="266" spans="26:31">
      <c r="Z266" s="88" t="str">
        <f>IF(LISTADO_NOM!K266="","",DATE(LISTADO_NOM!M266,LISTADO_NOM!L266,LISTADO_NOM!K266))</f>
        <v/>
      </c>
      <c r="AA266" s="88" t="str">
        <f>IFERROR(INDEX($Z$14:$Z$300, MATCH(0, INDEX(COUNTIF($AA$13:AA265, $Z$14:$Z$300), 0, 0), 0)), "")</f>
        <v/>
      </c>
      <c r="AB266" s="88" t="str">
        <f t="shared" si="3"/>
        <v/>
      </c>
      <c r="AC266">
        <v>253</v>
      </c>
      <c r="AE266" t="str">
        <f>IF(LISTADO_NOM!AI266="","",VLOOKUP(LISTADO_NOM!AI266,SEGUIMIENTOS,2,FALSE))</f>
        <v/>
      </c>
    </row>
    <row r="267" spans="26:31">
      <c r="Z267" s="88" t="str">
        <f>IF(LISTADO_NOM!K267="","",DATE(LISTADO_NOM!M267,LISTADO_NOM!L267,LISTADO_NOM!K267))</f>
        <v/>
      </c>
      <c r="AA267" s="88" t="str">
        <f>IFERROR(INDEX($Z$14:$Z$300, MATCH(0, INDEX(COUNTIF($AA$13:AA266, $Z$14:$Z$300), 0, 0), 0)), "")</f>
        <v/>
      </c>
      <c r="AB267" s="88" t="str">
        <f t="shared" si="3"/>
        <v/>
      </c>
      <c r="AC267">
        <v>254</v>
      </c>
      <c r="AE267" t="str">
        <f>IF(LISTADO_NOM!AI267="","",VLOOKUP(LISTADO_NOM!AI267,SEGUIMIENTOS,2,FALSE))</f>
        <v/>
      </c>
    </row>
    <row r="268" spans="26:31">
      <c r="Z268" s="88" t="str">
        <f>IF(LISTADO_NOM!K268="","",DATE(LISTADO_NOM!M268,LISTADO_NOM!L268,LISTADO_NOM!K268))</f>
        <v/>
      </c>
      <c r="AA268" s="88" t="str">
        <f>IFERROR(INDEX($Z$14:$Z$300, MATCH(0, INDEX(COUNTIF($AA$13:AA267, $Z$14:$Z$300), 0, 0), 0)), "")</f>
        <v/>
      </c>
      <c r="AB268" s="88" t="str">
        <f t="shared" si="3"/>
        <v/>
      </c>
      <c r="AC268">
        <v>255</v>
      </c>
      <c r="AE268" t="str">
        <f>IF(LISTADO_NOM!AI268="","",VLOOKUP(LISTADO_NOM!AI268,SEGUIMIENTOS,2,FALSE))</f>
        <v/>
      </c>
    </row>
    <row r="269" spans="26:31">
      <c r="Z269" s="88" t="str">
        <f>IF(LISTADO_NOM!K269="","",DATE(LISTADO_NOM!M269,LISTADO_NOM!L269,LISTADO_NOM!K269))</f>
        <v/>
      </c>
      <c r="AA269" s="88" t="str">
        <f>IFERROR(INDEX($Z$14:$Z$300, MATCH(0, INDEX(COUNTIF($AA$13:AA268, $Z$14:$Z$300), 0, 0), 0)), "")</f>
        <v/>
      </c>
      <c r="AB269" s="88" t="str">
        <f t="shared" si="3"/>
        <v/>
      </c>
      <c r="AC269">
        <v>256</v>
      </c>
      <c r="AE269" t="str">
        <f>IF(LISTADO_NOM!AI269="","",VLOOKUP(LISTADO_NOM!AI269,SEGUIMIENTOS,2,FALSE))</f>
        <v/>
      </c>
    </row>
    <row r="270" spans="26:31">
      <c r="Z270" s="88" t="str">
        <f>IF(LISTADO_NOM!K270="","",DATE(LISTADO_NOM!M270,LISTADO_NOM!L270,LISTADO_NOM!K270))</f>
        <v/>
      </c>
      <c r="AA270" s="88" t="str">
        <f>IFERROR(INDEX($Z$14:$Z$300, MATCH(0, INDEX(COUNTIF($AA$13:AA269, $Z$14:$Z$300), 0, 0), 0)), "")</f>
        <v/>
      </c>
      <c r="AB270" s="88" t="str">
        <f t="shared" ref="AB270:AB333" si="4">IF(AA270="","",SMALL(ORDENA_,AC270))</f>
        <v/>
      </c>
      <c r="AC270">
        <v>257</v>
      </c>
      <c r="AE270" t="str">
        <f>IF(LISTADO_NOM!AI270="","",VLOOKUP(LISTADO_NOM!AI270,SEGUIMIENTOS,2,FALSE))</f>
        <v/>
      </c>
    </row>
    <row r="271" spans="26:31">
      <c r="Z271" s="88" t="str">
        <f>IF(LISTADO_NOM!K271="","",DATE(LISTADO_NOM!M271,LISTADO_NOM!L271,LISTADO_NOM!K271))</f>
        <v/>
      </c>
      <c r="AA271" s="88" t="str">
        <f>IFERROR(INDEX($Z$14:$Z$300, MATCH(0, INDEX(COUNTIF($AA$13:AA270, $Z$14:$Z$300), 0, 0), 0)), "")</f>
        <v/>
      </c>
      <c r="AB271" s="88" t="str">
        <f t="shared" si="4"/>
        <v/>
      </c>
      <c r="AC271">
        <v>258</v>
      </c>
      <c r="AE271" t="str">
        <f>IF(LISTADO_NOM!AI271="","",VLOOKUP(LISTADO_NOM!AI271,SEGUIMIENTOS,2,FALSE))</f>
        <v/>
      </c>
    </row>
    <row r="272" spans="26:31">
      <c r="Z272" s="88" t="str">
        <f>IF(LISTADO_NOM!K272="","",DATE(LISTADO_NOM!M272,LISTADO_NOM!L272,LISTADO_NOM!K272))</f>
        <v/>
      </c>
      <c r="AA272" s="88" t="str">
        <f>IFERROR(INDEX($Z$14:$Z$300, MATCH(0, INDEX(COUNTIF($AA$13:AA271, $Z$14:$Z$300), 0, 0), 0)), "")</f>
        <v/>
      </c>
      <c r="AB272" s="88" t="str">
        <f t="shared" si="4"/>
        <v/>
      </c>
      <c r="AC272">
        <v>259</v>
      </c>
      <c r="AE272" t="str">
        <f>IF(LISTADO_NOM!AI272="","",VLOOKUP(LISTADO_NOM!AI272,SEGUIMIENTOS,2,FALSE))</f>
        <v/>
      </c>
    </row>
    <row r="273" spans="26:31">
      <c r="Z273" s="88" t="str">
        <f>IF(LISTADO_NOM!K273="","",DATE(LISTADO_NOM!M273,LISTADO_NOM!L273,LISTADO_NOM!K273))</f>
        <v/>
      </c>
      <c r="AA273" s="88" t="str">
        <f>IFERROR(INDEX($Z$14:$Z$300, MATCH(0, INDEX(COUNTIF($AA$13:AA272, $Z$14:$Z$300), 0, 0), 0)), "")</f>
        <v/>
      </c>
      <c r="AB273" s="88" t="str">
        <f t="shared" si="4"/>
        <v/>
      </c>
      <c r="AC273">
        <v>260</v>
      </c>
      <c r="AE273" t="str">
        <f>IF(LISTADO_NOM!AI273="","",VLOOKUP(LISTADO_NOM!AI273,SEGUIMIENTOS,2,FALSE))</f>
        <v/>
      </c>
    </row>
    <row r="274" spans="26:31">
      <c r="Z274" s="88" t="str">
        <f>IF(LISTADO_NOM!K274="","",DATE(LISTADO_NOM!M274,LISTADO_NOM!L274,LISTADO_NOM!K274))</f>
        <v/>
      </c>
      <c r="AA274" s="88" t="str">
        <f>IFERROR(INDEX($Z$14:$Z$300, MATCH(0, INDEX(COUNTIF($AA$13:AA273, $Z$14:$Z$300), 0, 0), 0)), "")</f>
        <v/>
      </c>
      <c r="AB274" s="88" t="str">
        <f t="shared" si="4"/>
        <v/>
      </c>
      <c r="AC274">
        <v>261</v>
      </c>
      <c r="AE274" t="str">
        <f>IF(LISTADO_NOM!AI274="","",VLOOKUP(LISTADO_NOM!AI274,SEGUIMIENTOS,2,FALSE))</f>
        <v/>
      </c>
    </row>
    <row r="275" spans="26:31">
      <c r="Z275" s="88" t="str">
        <f>IF(LISTADO_NOM!K275="","",DATE(LISTADO_NOM!M275,LISTADO_NOM!L275,LISTADO_NOM!K275))</f>
        <v/>
      </c>
      <c r="AA275" s="88" t="str">
        <f>IFERROR(INDEX($Z$14:$Z$300, MATCH(0, INDEX(COUNTIF($AA$13:AA274, $Z$14:$Z$300), 0, 0), 0)), "")</f>
        <v/>
      </c>
      <c r="AB275" s="88" t="str">
        <f t="shared" si="4"/>
        <v/>
      </c>
      <c r="AC275">
        <v>262</v>
      </c>
      <c r="AE275" t="str">
        <f>IF(LISTADO_NOM!AI275="","",VLOOKUP(LISTADO_NOM!AI275,SEGUIMIENTOS,2,FALSE))</f>
        <v/>
      </c>
    </row>
    <row r="276" spans="26:31">
      <c r="Z276" s="88" t="str">
        <f>IF(LISTADO_NOM!K276="","",DATE(LISTADO_NOM!M276,LISTADO_NOM!L276,LISTADO_NOM!K276))</f>
        <v/>
      </c>
      <c r="AA276" s="88" t="str">
        <f>IFERROR(INDEX($Z$14:$Z$300, MATCH(0, INDEX(COUNTIF($AA$13:AA275, $Z$14:$Z$300), 0, 0), 0)), "")</f>
        <v/>
      </c>
      <c r="AB276" s="88" t="str">
        <f t="shared" si="4"/>
        <v/>
      </c>
      <c r="AC276">
        <v>263</v>
      </c>
      <c r="AE276" t="str">
        <f>IF(LISTADO_NOM!AI276="","",VLOOKUP(LISTADO_NOM!AI276,SEGUIMIENTOS,2,FALSE))</f>
        <v/>
      </c>
    </row>
    <row r="277" spans="26:31">
      <c r="Z277" s="88" t="str">
        <f>IF(LISTADO_NOM!K277="","",DATE(LISTADO_NOM!M277,LISTADO_NOM!L277,LISTADO_NOM!K277))</f>
        <v/>
      </c>
      <c r="AA277" s="88" t="str">
        <f>IFERROR(INDEX($Z$14:$Z$300, MATCH(0, INDEX(COUNTIF($AA$13:AA276, $Z$14:$Z$300), 0, 0), 0)), "")</f>
        <v/>
      </c>
      <c r="AB277" s="88" t="str">
        <f t="shared" si="4"/>
        <v/>
      </c>
      <c r="AC277">
        <v>264</v>
      </c>
      <c r="AE277" t="str">
        <f>IF(LISTADO_NOM!AI277="","",VLOOKUP(LISTADO_NOM!AI277,SEGUIMIENTOS,2,FALSE))</f>
        <v/>
      </c>
    </row>
    <row r="278" spans="26:31">
      <c r="Z278" s="88" t="str">
        <f>IF(LISTADO_NOM!K278="","",DATE(LISTADO_NOM!M278,LISTADO_NOM!L278,LISTADO_NOM!K278))</f>
        <v/>
      </c>
      <c r="AA278" s="88" t="str">
        <f>IFERROR(INDEX($Z$14:$Z$300, MATCH(0, INDEX(COUNTIF($AA$13:AA277, $Z$14:$Z$300), 0, 0), 0)), "")</f>
        <v/>
      </c>
      <c r="AB278" s="88" t="str">
        <f t="shared" si="4"/>
        <v/>
      </c>
      <c r="AC278">
        <v>265</v>
      </c>
      <c r="AE278" t="str">
        <f>IF(LISTADO_NOM!AI278="","",VLOOKUP(LISTADO_NOM!AI278,SEGUIMIENTOS,2,FALSE))</f>
        <v/>
      </c>
    </row>
    <row r="279" spans="26:31">
      <c r="Z279" s="88" t="str">
        <f>IF(LISTADO_NOM!K279="","",DATE(LISTADO_NOM!M279,LISTADO_NOM!L279,LISTADO_NOM!K279))</f>
        <v/>
      </c>
      <c r="AA279" s="88" t="str">
        <f>IFERROR(INDEX($Z$14:$Z$300, MATCH(0, INDEX(COUNTIF($AA$13:AA278, $Z$14:$Z$300), 0, 0), 0)), "")</f>
        <v/>
      </c>
      <c r="AB279" s="88" t="str">
        <f t="shared" si="4"/>
        <v/>
      </c>
      <c r="AC279">
        <v>266</v>
      </c>
      <c r="AE279" t="str">
        <f>IF(LISTADO_NOM!AI279="","",VLOOKUP(LISTADO_NOM!AI279,SEGUIMIENTOS,2,FALSE))</f>
        <v/>
      </c>
    </row>
    <row r="280" spans="26:31">
      <c r="Z280" s="88" t="str">
        <f>IF(LISTADO_NOM!K280="","",DATE(LISTADO_NOM!M280,LISTADO_NOM!L280,LISTADO_NOM!K280))</f>
        <v/>
      </c>
      <c r="AA280" s="88" t="str">
        <f>IFERROR(INDEX($Z$14:$Z$300, MATCH(0, INDEX(COUNTIF($AA$13:AA279, $Z$14:$Z$300), 0, 0), 0)), "")</f>
        <v/>
      </c>
      <c r="AB280" s="88" t="str">
        <f t="shared" si="4"/>
        <v/>
      </c>
      <c r="AC280">
        <v>267</v>
      </c>
      <c r="AE280" t="str">
        <f>IF(LISTADO_NOM!AI280="","",VLOOKUP(LISTADO_NOM!AI280,SEGUIMIENTOS,2,FALSE))</f>
        <v/>
      </c>
    </row>
    <row r="281" spans="26:31">
      <c r="Z281" s="88" t="str">
        <f>IF(LISTADO_NOM!K281="","",DATE(LISTADO_NOM!M281,LISTADO_NOM!L281,LISTADO_NOM!K281))</f>
        <v/>
      </c>
      <c r="AA281" s="88" t="str">
        <f>IFERROR(INDEX($Z$14:$Z$300, MATCH(0, INDEX(COUNTIF($AA$13:AA280, $Z$14:$Z$300), 0, 0), 0)), "")</f>
        <v/>
      </c>
      <c r="AB281" s="88" t="str">
        <f t="shared" si="4"/>
        <v/>
      </c>
      <c r="AC281">
        <v>268</v>
      </c>
      <c r="AE281" t="str">
        <f>IF(LISTADO_NOM!AI281="","",VLOOKUP(LISTADO_NOM!AI281,SEGUIMIENTOS,2,FALSE))</f>
        <v/>
      </c>
    </row>
    <row r="282" spans="26:31">
      <c r="Z282" s="88" t="str">
        <f>IF(LISTADO_NOM!K282="","",DATE(LISTADO_NOM!M282,LISTADO_NOM!L282,LISTADO_NOM!K282))</f>
        <v/>
      </c>
      <c r="AA282" s="88" t="str">
        <f>IFERROR(INDEX($Z$14:$Z$300, MATCH(0, INDEX(COUNTIF($AA$13:AA281, $Z$14:$Z$300), 0, 0), 0)), "")</f>
        <v/>
      </c>
      <c r="AB282" s="88" t="str">
        <f t="shared" si="4"/>
        <v/>
      </c>
      <c r="AC282">
        <v>269</v>
      </c>
      <c r="AE282" t="str">
        <f>IF(LISTADO_NOM!AI282="","",VLOOKUP(LISTADO_NOM!AI282,SEGUIMIENTOS,2,FALSE))</f>
        <v/>
      </c>
    </row>
    <row r="283" spans="26:31">
      <c r="Z283" s="88" t="str">
        <f>IF(LISTADO_NOM!K283="","",DATE(LISTADO_NOM!M283,LISTADO_NOM!L283,LISTADO_NOM!K283))</f>
        <v/>
      </c>
      <c r="AA283" s="88" t="str">
        <f>IFERROR(INDEX($Z$14:$Z$300, MATCH(0, INDEX(COUNTIF($AA$13:AA282, $Z$14:$Z$300), 0, 0), 0)), "")</f>
        <v/>
      </c>
      <c r="AB283" s="88" t="str">
        <f t="shared" si="4"/>
        <v/>
      </c>
      <c r="AC283">
        <v>270</v>
      </c>
      <c r="AE283" t="str">
        <f>IF(LISTADO_NOM!AI283="","",VLOOKUP(LISTADO_NOM!AI283,SEGUIMIENTOS,2,FALSE))</f>
        <v/>
      </c>
    </row>
    <row r="284" spans="26:31">
      <c r="Z284" s="88" t="str">
        <f>IF(LISTADO_NOM!K284="","",DATE(LISTADO_NOM!M284,LISTADO_NOM!L284,LISTADO_NOM!K284))</f>
        <v/>
      </c>
      <c r="AA284" s="88" t="str">
        <f>IFERROR(INDEX($Z$14:$Z$300, MATCH(0, INDEX(COUNTIF($AA$13:AA283, $Z$14:$Z$300), 0, 0), 0)), "")</f>
        <v/>
      </c>
      <c r="AB284" s="88" t="str">
        <f t="shared" si="4"/>
        <v/>
      </c>
      <c r="AC284">
        <v>271</v>
      </c>
      <c r="AE284" t="str">
        <f>IF(LISTADO_NOM!AI284="","",VLOOKUP(LISTADO_NOM!AI284,SEGUIMIENTOS,2,FALSE))</f>
        <v/>
      </c>
    </row>
    <row r="285" spans="26:31">
      <c r="Z285" s="88" t="str">
        <f>IF(LISTADO_NOM!K285="","",DATE(LISTADO_NOM!M285,LISTADO_NOM!L285,LISTADO_NOM!K285))</f>
        <v/>
      </c>
      <c r="AA285" s="88" t="str">
        <f>IFERROR(INDEX($Z$14:$Z$300, MATCH(0, INDEX(COUNTIF($AA$13:AA284, $Z$14:$Z$300), 0, 0), 0)), "")</f>
        <v/>
      </c>
      <c r="AB285" s="88" t="str">
        <f t="shared" si="4"/>
        <v/>
      </c>
      <c r="AC285">
        <v>272</v>
      </c>
      <c r="AE285" t="str">
        <f>IF(LISTADO_NOM!AI285="","",VLOOKUP(LISTADO_NOM!AI285,SEGUIMIENTOS,2,FALSE))</f>
        <v/>
      </c>
    </row>
    <row r="286" spans="26:31">
      <c r="Z286" s="88" t="str">
        <f>IF(LISTADO_NOM!K286="","",DATE(LISTADO_NOM!M286,LISTADO_NOM!L286,LISTADO_NOM!K286))</f>
        <v/>
      </c>
      <c r="AA286" s="88" t="str">
        <f>IFERROR(INDEX($Z$14:$Z$300, MATCH(0, INDEX(COUNTIF($AA$13:AA285, $Z$14:$Z$300), 0, 0), 0)), "")</f>
        <v/>
      </c>
      <c r="AB286" s="88" t="str">
        <f t="shared" si="4"/>
        <v/>
      </c>
      <c r="AC286">
        <v>273</v>
      </c>
      <c r="AE286" t="str">
        <f>IF(LISTADO_NOM!AI286="","",VLOOKUP(LISTADO_NOM!AI286,SEGUIMIENTOS,2,FALSE))</f>
        <v/>
      </c>
    </row>
    <row r="287" spans="26:31">
      <c r="Z287" s="88" t="str">
        <f>IF(LISTADO_NOM!K287="","",DATE(LISTADO_NOM!M287,LISTADO_NOM!L287,LISTADO_NOM!K287))</f>
        <v/>
      </c>
      <c r="AA287" s="88" t="str">
        <f>IFERROR(INDEX($Z$14:$Z$300, MATCH(0, INDEX(COUNTIF($AA$13:AA286, $Z$14:$Z$300), 0, 0), 0)), "")</f>
        <v/>
      </c>
      <c r="AB287" s="88" t="str">
        <f t="shared" si="4"/>
        <v/>
      </c>
      <c r="AC287">
        <v>274</v>
      </c>
      <c r="AE287" t="str">
        <f>IF(LISTADO_NOM!AI287="","",VLOOKUP(LISTADO_NOM!AI287,SEGUIMIENTOS,2,FALSE))</f>
        <v/>
      </c>
    </row>
    <row r="288" spans="26:31">
      <c r="Z288" s="88" t="str">
        <f>IF(LISTADO_NOM!K288="","",DATE(LISTADO_NOM!M288,LISTADO_NOM!L288,LISTADO_NOM!K288))</f>
        <v/>
      </c>
      <c r="AA288" s="88" t="str">
        <f>IFERROR(INDEX($Z$14:$Z$300, MATCH(0, INDEX(COUNTIF($AA$13:AA287, $Z$14:$Z$300), 0, 0), 0)), "")</f>
        <v/>
      </c>
      <c r="AB288" s="88" t="str">
        <f t="shared" si="4"/>
        <v/>
      </c>
      <c r="AC288">
        <v>275</v>
      </c>
      <c r="AE288" t="str">
        <f>IF(LISTADO_NOM!AI288="","",VLOOKUP(LISTADO_NOM!AI288,SEGUIMIENTOS,2,FALSE))</f>
        <v/>
      </c>
    </row>
    <row r="289" spans="26:31">
      <c r="Z289" s="88" t="str">
        <f>IF(LISTADO_NOM!K289="","",DATE(LISTADO_NOM!M289,LISTADO_NOM!L289,LISTADO_NOM!K289))</f>
        <v/>
      </c>
      <c r="AA289" s="88" t="str">
        <f>IFERROR(INDEX($Z$14:$Z$300, MATCH(0, INDEX(COUNTIF($AA$13:AA288, $Z$14:$Z$300), 0, 0), 0)), "")</f>
        <v/>
      </c>
      <c r="AB289" s="88" t="str">
        <f t="shared" si="4"/>
        <v/>
      </c>
      <c r="AC289">
        <v>276</v>
      </c>
      <c r="AE289" t="str">
        <f>IF(LISTADO_NOM!AI289="","",VLOOKUP(LISTADO_NOM!AI289,SEGUIMIENTOS,2,FALSE))</f>
        <v/>
      </c>
    </row>
    <row r="290" spans="26:31">
      <c r="Z290" s="88" t="str">
        <f>IF(LISTADO_NOM!K290="","",DATE(LISTADO_NOM!M290,LISTADO_NOM!L290,LISTADO_NOM!K290))</f>
        <v/>
      </c>
      <c r="AA290" s="88" t="str">
        <f>IFERROR(INDEX($Z$14:$Z$300, MATCH(0, INDEX(COUNTIF($AA$13:AA289, $Z$14:$Z$300), 0, 0), 0)), "")</f>
        <v/>
      </c>
      <c r="AB290" s="88" t="str">
        <f t="shared" si="4"/>
        <v/>
      </c>
      <c r="AC290">
        <v>277</v>
      </c>
      <c r="AE290" t="str">
        <f>IF(LISTADO_NOM!AI290="","",VLOOKUP(LISTADO_NOM!AI290,SEGUIMIENTOS,2,FALSE))</f>
        <v/>
      </c>
    </row>
    <row r="291" spans="26:31">
      <c r="Z291" s="88" t="str">
        <f>IF(LISTADO_NOM!K291="","",DATE(LISTADO_NOM!M291,LISTADO_NOM!L291,LISTADO_NOM!K291))</f>
        <v/>
      </c>
      <c r="AA291" s="88" t="str">
        <f>IFERROR(INDEX($Z$14:$Z$300, MATCH(0, INDEX(COUNTIF($AA$13:AA290, $Z$14:$Z$300), 0, 0), 0)), "")</f>
        <v/>
      </c>
      <c r="AB291" s="88" t="str">
        <f t="shared" si="4"/>
        <v/>
      </c>
      <c r="AC291">
        <v>278</v>
      </c>
      <c r="AE291" t="str">
        <f>IF(LISTADO_NOM!AI291="","",VLOOKUP(LISTADO_NOM!AI291,SEGUIMIENTOS,2,FALSE))</f>
        <v/>
      </c>
    </row>
    <row r="292" spans="26:31">
      <c r="Z292" s="88" t="str">
        <f>IF(LISTADO_NOM!K292="","",DATE(LISTADO_NOM!M292,LISTADO_NOM!L292,LISTADO_NOM!K292))</f>
        <v/>
      </c>
      <c r="AA292" s="88" t="str">
        <f>IFERROR(INDEX($Z$14:$Z$300, MATCH(0, INDEX(COUNTIF($AA$13:AA291, $Z$14:$Z$300), 0, 0), 0)), "")</f>
        <v/>
      </c>
      <c r="AB292" s="88" t="str">
        <f t="shared" si="4"/>
        <v/>
      </c>
      <c r="AC292">
        <v>279</v>
      </c>
      <c r="AE292" t="str">
        <f>IF(LISTADO_NOM!AI292="","",VLOOKUP(LISTADO_NOM!AI292,SEGUIMIENTOS,2,FALSE))</f>
        <v/>
      </c>
    </row>
    <row r="293" spans="26:31">
      <c r="Z293" s="88" t="str">
        <f>IF(LISTADO_NOM!K293="","",DATE(LISTADO_NOM!M293,LISTADO_NOM!L293,LISTADO_NOM!K293))</f>
        <v/>
      </c>
      <c r="AA293" s="88" t="str">
        <f>IFERROR(INDEX($Z$14:$Z$300, MATCH(0, INDEX(COUNTIF($AA$13:AA292, $Z$14:$Z$300), 0, 0), 0)), "")</f>
        <v/>
      </c>
      <c r="AB293" s="88" t="str">
        <f t="shared" si="4"/>
        <v/>
      </c>
      <c r="AC293">
        <v>280</v>
      </c>
      <c r="AE293" t="str">
        <f>IF(LISTADO_NOM!AI293="","",VLOOKUP(LISTADO_NOM!AI293,SEGUIMIENTOS,2,FALSE))</f>
        <v/>
      </c>
    </row>
    <row r="294" spans="26:31">
      <c r="Z294" s="88" t="str">
        <f>IF(LISTADO_NOM!K294="","",DATE(LISTADO_NOM!M294,LISTADO_NOM!L294,LISTADO_NOM!K294))</f>
        <v/>
      </c>
      <c r="AA294" s="88" t="str">
        <f>IFERROR(INDEX($Z$14:$Z$300, MATCH(0, INDEX(COUNTIF($AA$13:AA293, $Z$14:$Z$300), 0, 0), 0)), "")</f>
        <v/>
      </c>
      <c r="AB294" s="88" t="str">
        <f t="shared" si="4"/>
        <v/>
      </c>
      <c r="AC294">
        <v>281</v>
      </c>
      <c r="AE294" t="str">
        <f>IF(LISTADO_NOM!AI294="","",VLOOKUP(LISTADO_NOM!AI294,SEGUIMIENTOS,2,FALSE))</f>
        <v/>
      </c>
    </row>
    <row r="295" spans="26:31">
      <c r="Z295" s="88" t="str">
        <f>IF(LISTADO_NOM!K295="","",DATE(LISTADO_NOM!M295,LISTADO_NOM!L295,LISTADO_NOM!K295))</f>
        <v/>
      </c>
      <c r="AA295" s="88" t="str">
        <f>IFERROR(INDEX($Z$14:$Z$300, MATCH(0, INDEX(COUNTIF($AA$13:AA294, $Z$14:$Z$300), 0, 0), 0)), "")</f>
        <v/>
      </c>
      <c r="AB295" s="88" t="str">
        <f t="shared" si="4"/>
        <v/>
      </c>
      <c r="AC295">
        <v>282</v>
      </c>
      <c r="AE295" t="str">
        <f>IF(LISTADO_NOM!AI295="","",VLOOKUP(LISTADO_NOM!AI295,SEGUIMIENTOS,2,FALSE))</f>
        <v/>
      </c>
    </row>
    <row r="296" spans="26:31">
      <c r="Z296" s="88" t="str">
        <f>IF(LISTADO_NOM!K296="","",DATE(LISTADO_NOM!M296,LISTADO_NOM!L296,LISTADO_NOM!K296))</f>
        <v/>
      </c>
      <c r="AA296" s="88" t="str">
        <f>IFERROR(INDEX($Z$14:$Z$300, MATCH(0, INDEX(COUNTIF($AA$13:AA295, $Z$14:$Z$300), 0, 0), 0)), "")</f>
        <v/>
      </c>
      <c r="AB296" s="88" t="str">
        <f t="shared" si="4"/>
        <v/>
      </c>
      <c r="AC296">
        <v>283</v>
      </c>
      <c r="AE296" t="str">
        <f>IF(LISTADO_NOM!AI296="","",VLOOKUP(LISTADO_NOM!AI296,SEGUIMIENTOS,2,FALSE))</f>
        <v/>
      </c>
    </row>
    <row r="297" spans="26:31">
      <c r="Z297" s="88" t="str">
        <f>IF(LISTADO_NOM!K297="","",DATE(LISTADO_NOM!M297,LISTADO_NOM!L297,LISTADO_NOM!K297))</f>
        <v/>
      </c>
      <c r="AA297" s="88" t="str">
        <f>IFERROR(INDEX($Z$14:$Z$300, MATCH(0, INDEX(COUNTIF($AA$13:AA296, $Z$14:$Z$300), 0, 0), 0)), "")</f>
        <v/>
      </c>
      <c r="AB297" s="88" t="str">
        <f t="shared" si="4"/>
        <v/>
      </c>
      <c r="AC297">
        <v>284</v>
      </c>
      <c r="AE297" t="str">
        <f>IF(LISTADO_NOM!AI297="","",VLOOKUP(LISTADO_NOM!AI297,SEGUIMIENTOS,2,FALSE))</f>
        <v/>
      </c>
    </row>
    <row r="298" spans="26:31">
      <c r="Z298" s="88" t="str">
        <f>IF(LISTADO_NOM!K298="","",DATE(LISTADO_NOM!M298,LISTADO_NOM!L298,LISTADO_NOM!K298))</f>
        <v/>
      </c>
      <c r="AA298" s="88" t="str">
        <f>IFERROR(INDEX($Z$14:$Z$300, MATCH(0, INDEX(COUNTIF($AA$13:AA297, $Z$14:$Z$300), 0, 0), 0)), "")</f>
        <v/>
      </c>
      <c r="AB298" s="88" t="str">
        <f t="shared" si="4"/>
        <v/>
      </c>
      <c r="AC298">
        <v>285</v>
      </c>
      <c r="AE298" t="str">
        <f>IF(LISTADO_NOM!AI298="","",VLOOKUP(LISTADO_NOM!AI298,SEGUIMIENTOS,2,FALSE))</f>
        <v/>
      </c>
    </row>
    <row r="299" spans="26:31">
      <c r="Z299" s="88" t="str">
        <f>IF(LISTADO_NOM!K299="","",DATE(LISTADO_NOM!M299,LISTADO_NOM!L299,LISTADO_NOM!K299))</f>
        <v/>
      </c>
      <c r="AA299" s="88" t="str">
        <f>IFERROR(INDEX($Z$14:$Z$300, MATCH(0, INDEX(COUNTIF($AA$13:AA298, $Z$14:$Z$300), 0, 0), 0)), "")</f>
        <v/>
      </c>
      <c r="AB299" s="88" t="str">
        <f t="shared" si="4"/>
        <v/>
      </c>
      <c r="AC299">
        <v>286</v>
      </c>
      <c r="AE299" t="str">
        <f>IF(LISTADO_NOM!AI299="","",VLOOKUP(LISTADO_NOM!AI299,SEGUIMIENTOS,2,FALSE))</f>
        <v/>
      </c>
    </row>
    <row r="300" spans="26:31">
      <c r="Z300" s="88" t="str">
        <f>IF(LISTADO_NOM!K300="","",DATE(LISTADO_NOM!M300,LISTADO_NOM!L300,LISTADO_NOM!K300))</f>
        <v/>
      </c>
      <c r="AA300" s="88" t="str">
        <f>IFERROR(INDEX($Z$14:$Z$300, MATCH(0, INDEX(COUNTIF($AA$13:AA299, $Z$14:$Z$300), 0, 0), 0)), "")</f>
        <v/>
      </c>
      <c r="AB300" s="88" t="str">
        <f t="shared" si="4"/>
        <v/>
      </c>
      <c r="AC300">
        <v>287</v>
      </c>
      <c r="AE300" t="str">
        <f>IF(LISTADO_NOM!AI300="","",VLOOKUP(LISTADO_NOM!AI300,SEGUIMIENTOS,2,FALSE))</f>
        <v/>
      </c>
    </row>
    <row r="301" spans="26:31">
      <c r="Z301" s="88" t="str">
        <f>IF(LISTADO_NOM!K301="","",DATE(LISTADO_NOM!M301,LISTADO_NOM!L301,LISTADO_NOM!K301))</f>
        <v/>
      </c>
      <c r="AA301" s="88" t="str">
        <f>IFERROR(INDEX($Z$14:$Z$300, MATCH(0, INDEX(COUNTIF($AA$13:AA300, $Z$14:$Z$300), 0, 0), 0)), "")</f>
        <v/>
      </c>
      <c r="AB301" s="88" t="str">
        <f t="shared" si="4"/>
        <v/>
      </c>
      <c r="AC301">
        <v>288</v>
      </c>
      <c r="AE301" t="str">
        <f>IF(LISTADO_NOM!AI301="","",VLOOKUP(LISTADO_NOM!AI301,SEGUIMIENTOS,2,FALSE))</f>
        <v/>
      </c>
    </row>
    <row r="302" spans="26:31">
      <c r="Z302" s="88" t="str">
        <f>IF(LISTADO_NOM!K302="","",DATE(LISTADO_NOM!M302,LISTADO_NOM!L302,LISTADO_NOM!K302))</f>
        <v/>
      </c>
      <c r="AA302" s="88" t="str">
        <f>IFERROR(INDEX($Z$14:$Z$300, MATCH(0, INDEX(COUNTIF($AA$13:AA301, $Z$14:$Z$300), 0, 0), 0)), "")</f>
        <v/>
      </c>
      <c r="AB302" s="88" t="str">
        <f t="shared" si="4"/>
        <v/>
      </c>
      <c r="AC302">
        <v>289</v>
      </c>
      <c r="AE302" t="str">
        <f>IF(LISTADO_NOM!AI302="","",VLOOKUP(LISTADO_NOM!AI302,SEGUIMIENTOS,2,FALSE))</f>
        <v/>
      </c>
    </row>
    <row r="303" spans="26:31">
      <c r="Z303" s="88" t="str">
        <f>IF(LISTADO_NOM!K303="","",DATE(LISTADO_NOM!M303,LISTADO_NOM!L303,LISTADO_NOM!K303))</f>
        <v/>
      </c>
      <c r="AA303" s="88" t="str">
        <f>IFERROR(INDEX($Z$14:$Z$300, MATCH(0, INDEX(COUNTIF($AA$13:AA302, $Z$14:$Z$300), 0, 0), 0)), "")</f>
        <v/>
      </c>
      <c r="AB303" s="88" t="str">
        <f t="shared" si="4"/>
        <v/>
      </c>
      <c r="AC303">
        <v>290</v>
      </c>
      <c r="AE303" t="str">
        <f>IF(LISTADO_NOM!AI303="","",VLOOKUP(LISTADO_NOM!AI303,SEGUIMIENTOS,2,FALSE))</f>
        <v/>
      </c>
    </row>
    <row r="304" spans="26:31">
      <c r="Z304" s="88" t="str">
        <f>IF(LISTADO_NOM!K304="","",DATE(LISTADO_NOM!M304,LISTADO_NOM!L304,LISTADO_NOM!K304))</f>
        <v/>
      </c>
      <c r="AA304" s="88" t="str">
        <f>IFERROR(INDEX($Z$14:$Z$300, MATCH(0, INDEX(COUNTIF($AA$13:AA303, $Z$14:$Z$300), 0, 0), 0)), "")</f>
        <v/>
      </c>
      <c r="AB304" s="88" t="str">
        <f t="shared" si="4"/>
        <v/>
      </c>
      <c r="AC304">
        <v>291</v>
      </c>
      <c r="AE304" t="str">
        <f>IF(LISTADO_NOM!AI304="","",VLOOKUP(LISTADO_NOM!AI304,SEGUIMIENTOS,2,FALSE))</f>
        <v/>
      </c>
    </row>
    <row r="305" spans="26:31">
      <c r="Z305" s="88" t="str">
        <f>IF(LISTADO_NOM!K305="","",DATE(LISTADO_NOM!M305,LISTADO_NOM!L305,LISTADO_NOM!K305))</f>
        <v/>
      </c>
      <c r="AA305" s="88" t="str">
        <f>IFERROR(INDEX($Z$14:$Z$300, MATCH(0, INDEX(COUNTIF($AA$13:AA304, $Z$14:$Z$300), 0, 0), 0)), "")</f>
        <v/>
      </c>
      <c r="AB305" s="88" t="str">
        <f t="shared" si="4"/>
        <v/>
      </c>
      <c r="AC305">
        <v>292</v>
      </c>
      <c r="AE305" t="str">
        <f>IF(LISTADO_NOM!AI305="","",VLOOKUP(LISTADO_NOM!AI305,SEGUIMIENTOS,2,FALSE))</f>
        <v/>
      </c>
    </row>
    <row r="306" spans="26:31">
      <c r="Z306" s="88" t="str">
        <f>IF(LISTADO_NOM!K306="","",DATE(LISTADO_NOM!M306,LISTADO_NOM!L306,LISTADO_NOM!K306))</f>
        <v/>
      </c>
      <c r="AA306" s="88" t="str">
        <f>IFERROR(INDEX($Z$14:$Z$300, MATCH(0, INDEX(COUNTIF($AA$13:AA305, $Z$14:$Z$300), 0, 0), 0)), "")</f>
        <v/>
      </c>
      <c r="AB306" s="88" t="str">
        <f t="shared" si="4"/>
        <v/>
      </c>
      <c r="AC306">
        <v>293</v>
      </c>
      <c r="AE306" t="str">
        <f>IF(LISTADO_NOM!AI306="","",VLOOKUP(LISTADO_NOM!AI306,SEGUIMIENTOS,2,FALSE))</f>
        <v/>
      </c>
    </row>
    <row r="307" spans="26:31">
      <c r="Z307" s="88" t="str">
        <f>IF(LISTADO_NOM!K307="","",DATE(LISTADO_NOM!M307,LISTADO_NOM!L307,LISTADO_NOM!K307))</f>
        <v/>
      </c>
      <c r="AA307" s="88" t="str">
        <f>IFERROR(INDEX($Z$14:$Z$300, MATCH(0, INDEX(COUNTIF($AA$13:AA306, $Z$14:$Z$300), 0, 0), 0)), "")</f>
        <v/>
      </c>
      <c r="AB307" s="88" t="str">
        <f t="shared" si="4"/>
        <v/>
      </c>
      <c r="AC307">
        <v>294</v>
      </c>
      <c r="AE307" t="str">
        <f>IF(LISTADO_NOM!AI307="","",VLOOKUP(LISTADO_NOM!AI307,SEGUIMIENTOS,2,FALSE))</f>
        <v/>
      </c>
    </row>
    <row r="308" spans="26:31">
      <c r="Z308" s="88" t="str">
        <f>IF(LISTADO_NOM!K308="","",DATE(LISTADO_NOM!M308,LISTADO_NOM!L308,LISTADO_NOM!K308))</f>
        <v/>
      </c>
      <c r="AA308" s="88" t="str">
        <f>IFERROR(INDEX($Z$14:$Z$300, MATCH(0, INDEX(COUNTIF($AA$13:AA307, $Z$14:$Z$300), 0, 0), 0)), "")</f>
        <v/>
      </c>
      <c r="AB308" s="88" t="str">
        <f t="shared" si="4"/>
        <v/>
      </c>
      <c r="AC308">
        <v>295</v>
      </c>
      <c r="AE308" t="str">
        <f>IF(LISTADO_NOM!AI308="","",VLOOKUP(LISTADO_NOM!AI308,SEGUIMIENTOS,2,FALSE))</f>
        <v/>
      </c>
    </row>
    <row r="309" spans="26:31">
      <c r="Z309" s="88" t="str">
        <f>IF(LISTADO_NOM!K309="","",DATE(LISTADO_NOM!M309,LISTADO_NOM!L309,LISTADO_NOM!K309))</f>
        <v/>
      </c>
      <c r="AA309" s="88" t="str">
        <f>IFERROR(INDEX($Z$14:$Z$300, MATCH(0, INDEX(COUNTIF($AA$13:AA308, $Z$14:$Z$300), 0, 0), 0)), "")</f>
        <v/>
      </c>
      <c r="AB309" s="88" t="str">
        <f t="shared" si="4"/>
        <v/>
      </c>
      <c r="AC309">
        <v>296</v>
      </c>
      <c r="AE309" t="str">
        <f>IF(LISTADO_NOM!AI309="","",VLOOKUP(LISTADO_NOM!AI309,SEGUIMIENTOS,2,FALSE))</f>
        <v/>
      </c>
    </row>
    <row r="310" spans="26:31">
      <c r="Z310" s="88" t="str">
        <f>IF(LISTADO_NOM!K310="","",DATE(LISTADO_NOM!M310,LISTADO_NOM!L310,LISTADO_NOM!K310))</f>
        <v/>
      </c>
      <c r="AA310" s="88" t="str">
        <f>IFERROR(INDEX($Z$14:$Z$300, MATCH(0, INDEX(COUNTIF($AA$13:AA309, $Z$14:$Z$300), 0, 0), 0)), "")</f>
        <v/>
      </c>
      <c r="AB310" s="88" t="str">
        <f t="shared" si="4"/>
        <v/>
      </c>
      <c r="AC310">
        <v>297</v>
      </c>
      <c r="AE310" t="str">
        <f>IF(LISTADO_NOM!AI310="","",VLOOKUP(LISTADO_NOM!AI310,SEGUIMIENTOS,2,FALSE))</f>
        <v/>
      </c>
    </row>
    <row r="311" spans="26:31">
      <c r="Z311" s="88" t="str">
        <f>IF(LISTADO_NOM!K311="","",DATE(LISTADO_NOM!M311,LISTADO_NOM!L311,LISTADO_NOM!K311))</f>
        <v/>
      </c>
      <c r="AA311" s="88" t="str">
        <f>IFERROR(INDEX($Z$14:$Z$300, MATCH(0, INDEX(COUNTIF($AA$13:AA310, $Z$14:$Z$300), 0, 0), 0)), "")</f>
        <v/>
      </c>
      <c r="AB311" s="88" t="str">
        <f t="shared" si="4"/>
        <v/>
      </c>
      <c r="AC311">
        <v>298</v>
      </c>
      <c r="AE311" t="str">
        <f>IF(LISTADO_NOM!AI311="","",VLOOKUP(LISTADO_NOM!AI311,SEGUIMIENTOS,2,FALSE))</f>
        <v/>
      </c>
    </row>
    <row r="312" spans="26:31">
      <c r="Z312" t="str">
        <f>IF(LISTADO_NOM!K312="","",DATE(LISTADO_NOM!M312,LISTADO_NOM!L312,LISTADO_NOM!K312))</f>
        <v/>
      </c>
      <c r="AA312" s="88" t="str">
        <f>IFERROR(INDEX($Z$14:$Z$300, MATCH(0, INDEX(COUNTIF($AA$13:AA311, $Z$14:$Z$300), 0, 0), 0)), "")</f>
        <v/>
      </c>
      <c r="AB312" s="88" t="str">
        <f t="shared" si="4"/>
        <v/>
      </c>
      <c r="AC312">
        <v>299</v>
      </c>
      <c r="AE312" t="str">
        <f>IF(LISTADO_NOM!AI312="","",VLOOKUP(LISTADO_NOM!AI312,SEGUIMIENTOS,2,FALSE))</f>
        <v/>
      </c>
    </row>
    <row r="313" spans="26:31">
      <c r="Z313" t="str">
        <f>IF(LISTADO_NOM!K313="","",DATE(LISTADO_NOM!M313,LISTADO_NOM!L313,LISTADO_NOM!K313))</f>
        <v/>
      </c>
      <c r="AA313" s="88" t="str">
        <f>IFERROR(INDEX($Z$14:$Z$300, MATCH(0, INDEX(COUNTIF($AA$13:AA312, $Z$14:$Z$300), 0, 0), 0)), "")</f>
        <v/>
      </c>
      <c r="AB313" s="88" t="str">
        <f t="shared" si="4"/>
        <v/>
      </c>
      <c r="AC313">
        <v>300</v>
      </c>
      <c r="AE313" t="str">
        <f>IF(LISTADO_NOM!AI313="","",VLOOKUP(LISTADO_NOM!AI313,SEGUIMIENTOS,2,FALSE))</f>
        <v/>
      </c>
    </row>
    <row r="314" spans="26:31">
      <c r="Z314" t="str">
        <f>IF(LISTADO_NOM!K314="","",DATE(LISTADO_NOM!M314,LISTADO_NOM!L314,LISTADO_NOM!K314))</f>
        <v/>
      </c>
      <c r="AA314" s="88" t="str">
        <f>IFERROR(INDEX($Z$14:$Z$300, MATCH(0, INDEX(COUNTIF($AA$13:AA313, $Z$14:$Z$300), 0, 0), 0)), "")</f>
        <v/>
      </c>
      <c r="AB314" s="88" t="str">
        <f t="shared" si="4"/>
        <v/>
      </c>
      <c r="AC314">
        <v>301</v>
      </c>
      <c r="AE314" t="str">
        <f>IF(LISTADO_NOM!AI314="","",VLOOKUP(LISTADO_NOM!AI314,SEGUIMIENTOS,2,FALSE))</f>
        <v/>
      </c>
    </row>
    <row r="315" spans="26:31">
      <c r="Z315" t="str">
        <f>IF(LISTADO_NOM!K315="","",DATE(LISTADO_NOM!M315,LISTADO_NOM!L315,LISTADO_NOM!K315))</f>
        <v/>
      </c>
      <c r="AA315" s="88" t="str">
        <f>IFERROR(INDEX($Z$14:$Z$300, MATCH(0, INDEX(COUNTIF($AA$13:AA314, $Z$14:$Z$300), 0, 0), 0)), "")</f>
        <v/>
      </c>
      <c r="AB315" s="88" t="str">
        <f t="shared" si="4"/>
        <v/>
      </c>
      <c r="AC315">
        <v>302</v>
      </c>
      <c r="AE315" t="str">
        <f>IF(LISTADO_NOM!AI315="","",VLOOKUP(LISTADO_NOM!AI315,SEGUIMIENTOS,2,FALSE))</f>
        <v/>
      </c>
    </row>
    <row r="316" spans="26:31">
      <c r="Z316" t="str">
        <f>IF(LISTADO_NOM!K316="","",DATE(LISTADO_NOM!M316,LISTADO_NOM!L316,LISTADO_NOM!K316))</f>
        <v/>
      </c>
      <c r="AA316" s="88" t="str">
        <f>IFERROR(INDEX($Z$14:$Z$300, MATCH(0, INDEX(COUNTIF($AA$13:AA315, $Z$14:$Z$300), 0, 0), 0)), "")</f>
        <v/>
      </c>
      <c r="AB316" s="88" t="str">
        <f t="shared" si="4"/>
        <v/>
      </c>
      <c r="AC316">
        <v>303</v>
      </c>
      <c r="AE316" t="str">
        <f>IF(LISTADO_NOM!AI316="","",VLOOKUP(LISTADO_NOM!AI316,SEGUIMIENTOS,2,FALSE))</f>
        <v/>
      </c>
    </row>
    <row r="317" spans="26:31">
      <c r="Z317" t="str">
        <f>IF(LISTADO_NOM!K317="","",DATE(LISTADO_NOM!M317,LISTADO_NOM!L317,LISTADO_NOM!K317))</f>
        <v/>
      </c>
      <c r="AA317" s="88" t="str">
        <f>IFERROR(INDEX($Z$14:$Z$300, MATCH(0, INDEX(COUNTIF($AA$13:AA316, $Z$14:$Z$300), 0, 0), 0)), "")</f>
        <v/>
      </c>
      <c r="AB317" s="88" t="str">
        <f t="shared" si="4"/>
        <v/>
      </c>
      <c r="AC317">
        <v>304</v>
      </c>
      <c r="AE317" t="str">
        <f>IF(LISTADO_NOM!AI317="","",VLOOKUP(LISTADO_NOM!AI317,SEGUIMIENTOS,2,FALSE))</f>
        <v/>
      </c>
    </row>
    <row r="318" spans="26:31">
      <c r="Z318" t="str">
        <f>IF(LISTADO_NOM!K318="","",DATE(LISTADO_NOM!M318,LISTADO_NOM!L318,LISTADO_NOM!K318))</f>
        <v/>
      </c>
      <c r="AA318" s="88" t="str">
        <f>IFERROR(INDEX($Z$14:$Z$300, MATCH(0, INDEX(COUNTIF($AA$13:AA317, $Z$14:$Z$300), 0, 0), 0)), "")</f>
        <v/>
      </c>
      <c r="AB318" s="88" t="str">
        <f t="shared" si="4"/>
        <v/>
      </c>
      <c r="AC318">
        <v>305</v>
      </c>
      <c r="AE318" t="str">
        <f>IF(LISTADO_NOM!AI318="","",VLOOKUP(LISTADO_NOM!AI318,SEGUIMIENTOS,2,FALSE))</f>
        <v/>
      </c>
    </row>
    <row r="319" spans="26:31">
      <c r="Z319" t="str">
        <f>IF(LISTADO_NOM!K319="","",DATE(LISTADO_NOM!M319,LISTADO_NOM!L319,LISTADO_NOM!K319))</f>
        <v/>
      </c>
      <c r="AA319" s="88" t="str">
        <f>IFERROR(INDEX($Z$14:$Z$300, MATCH(0, INDEX(COUNTIF($AA$13:AA318, $Z$14:$Z$300), 0, 0), 0)), "")</f>
        <v/>
      </c>
      <c r="AB319" s="88" t="str">
        <f t="shared" si="4"/>
        <v/>
      </c>
      <c r="AC319">
        <v>306</v>
      </c>
      <c r="AE319" t="str">
        <f>IF(LISTADO_NOM!AI319="","",VLOOKUP(LISTADO_NOM!AI319,SEGUIMIENTOS,2,FALSE))</f>
        <v/>
      </c>
    </row>
    <row r="320" spans="26:31">
      <c r="Z320" t="str">
        <f>IF(LISTADO_NOM!K320="","",DATE(LISTADO_NOM!M320,LISTADO_NOM!L320,LISTADO_NOM!K320))</f>
        <v/>
      </c>
      <c r="AA320" s="88" t="str">
        <f>IFERROR(INDEX($Z$14:$Z$300, MATCH(0, INDEX(COUNTIF($AA$13:AA319, $Z$14:$Z$300), 0, 0), 0)), "")</f>
        <v/>
      </c>
      <c r="AB320" s="88" t="str">
        <f t="shared" si="4"/>
        <v/>
      </c>
      <c r="AC320">
        <v>307</v>
      </c>
      <c r="AE320" t="str">
        <f>IF(LISTADO_NOM!AI320="","",VLOOKUP(LISTADO_NOM!AI320,SEGUIMIENTOS,2,FALSE))</f>
        <v/>
      </c>
    </row>
    <row r="321" spans="26:31">
      <c r="Z321" t="str">
        <f>IF(LISTADO_NOM!K321="","",DATE(LISTADO_NOM!M321,LISTADO_NOM!L321,LISTADO_NOM!K321))</f>
        <v/>
      </c>
      <c r="AA321" s="88" t="str">
        <f>IFERROR(INDEX($Z$14:$Z$300, MATCH(0, INDEX(COUNTIF($AA$13:AA320, $Z$14:$Z$300), 0, 0), 0)), "")</f>
        <v/>
      </c>
      <c r="AB321" s="88" t="str">
        <f t="shared" si="4"/>
        <v/>
      </c>
      <c r="AC321">
        <v>308</v>
      </c>
      <c r="AE321" t="str">
        <f>IF(LISTADO_NOM!AI321="","",VLOOKUP(LISTADO_NOM!AI321,SEGUIMIENTOS,2,FALSE))</f>
        <v/>
      </c>
    </row>
    <row r="322" spans="26:31">
      <c r="Z322" s="88" t="str">
        <f>IF(LISTADO_NOM!K322="","",DATE(LISTADO_NOM!M322,LISTADO_NOM!L322,LISTADO_NOM!K322))</f>
        <v/>
      </c>
      <c r="AA322" s="88" t="str">
        <f>IFERROR(INDEX($Z$14:$Z$300, MATCH(0, INDEX(COUNTIF($AA$13:AA321, $Z$14:$Z$300), 0, 0), 0)), "")</f>
        <v/>
      </c>
      <c r="AB322" s="88" t="str">
        <f t="shared" si="4"/>
        <v/>
      </c>
      <c r="AC322">
        <v>309</v>
      </c>
      <c r="AE322" t="str">
        <f>IF(LISTADO_NOM!AI322="","",VLOOKUP(LISTADO_NOM!AI322,SEGUIMIENTOS,2,FALSE))</f>
        <v/>
      </c>
    </row>
    <row r="323" spans="26:31">
      <c r="Z323" s="88" t="str">
        <f>IF(LISTADO_NOM!K323="","",DATE(LISTADO_NOM!M323,LISTADO_NOM!L323,LISTADO_NOM!K323))</f>
        <v/>
      </c>
      <c r="AA323" s="88" t="str">
        <f>IFERROR(INDEX($Z$14:$Z$300, MATCH(0, INDEX(COUNTIF($AA$13:AA322, $Z$14:$Z$300), 0, 0), 0)), "")</f>
        <v/>
      </c>
      <c r="AB323" s="88" t="str">
        <f t="shared" si="4"/>
        <v/>
      </c>
      <c r="AC323">
        <v>310</v>
      </c>
      <c r="AE323" t="str">
        <f>IF(LISTADO_NOM!AI323="","",VLOOKUP(LISTADO_NOM!AI323,SEGUIMIENTOS,2,FALSE))</f>
        <v/>
      </c>
    </row>
    <row r="324" spans="26:31">
      <c r="Z324" s="88" t="str">
        <f>IF(LISTADO_NOM!K324="","",DATE(LISTADO_NOM!M324,LISTADO_NOM!L324,LISTADO_NOM!K324))</f>
        <v/>
      </c>
      <c r="AA324" s="88" t="str">
        <f>IFERROR(INDEX($Z$14:$Z$300, MATCH(0, INDEX(COUNTIF($AA$13:AA323, $Z$14:$Z$300), 0, 0), 0)), "")</f>
        <v/>
      </c>
      <c r="AB324" s="88" t="str">
        <f t="shared" si="4"/>
        <v/>
      </c>
      <c r="AC324">
        <v>311</v>
      </c>
      <c r="AE324" t="str">
        <f>IF(LISTADO_NOM!AI324="","",VLOOKUP(LISTADO_NOM!AI324,SEGUIMIENTOS,2,FALSE))</f>
        <v/>
      </c>
    </row>
    <row r="325" spans="26:31">
      <c r="Z325" s="88" t="str">
        <f>IF(LISTADO_NOM!K325="","",DATE(LISTADO_NOM!M325,LISTADO_NOM!L325,LISTADO_NOM!K325))</f>
        <v/>
      </c>
      <c r="AA325" s="88" t="str">
        <f>IFERROR(INDEX($Z$14:$Z$300, MATCH(0, INDEX(COUNTIF($AA$13:AA324, $Z$14:$Z$300), 0, 0), 0)), "")</f>
        <v/>
      </c>
      <c r="AB325" s="88" t="str">
        <f t="shared" si="4"/>
        <v/>
      </c>
      <c r="AC325">
        <v>312</v>
      </c>
      <c r="AE325" t="str">
        <f>IF(LISTADO_NOM!AI325="","",VLOOKUP(LISTADO_NOM!AI325,SEGUIMIENTOS,2,FALSE))</f>
        <v/>
      </c>
    </row>
    <row r="326" spans="26:31">
      <c r="Z326" s="88" t="str">
        <f>IF(LISTADO_NOM!K326="","",DATE(LISTADO_NOM!M326,LISTADO_NOM!L326,LISTADO_NOM!K326))</f>
        <v/>
      </c>
      <c r="AA326" s="88" t="str">
        <f>IFERROR(INDEX($Z$14:$Z$300, MATCH(0, INDEX(COUNTIF($AA$13:AA325, $Z$14:$Z$300), 0, 0), 0)), "")</f>
        <v/>
      </c>
      <c r="AB326" s="88" t="str">
        <f t="shared" si="4"/>
        <v/>
      </c>
      <c r="AC326">
        <v>313</v>
      </c>
      <c r="AE326" t="str">
        <f>IF(LISTADO_NOM!AI326="","",VLOOKUP(LISTADO_NOM!AI326,SEGUIMIENTOS,2,FALSE))</f>
        <v/>
      </c>
    </row>
    <row r="327" spans="26:31">
      <c r="Z327" s="88" t="str">
        <f>IF(LISTADO_NOM!K327="","",DATE(LISTADO_NOM!M327,LISTADO_NOM!L327,LISTADO_NOM!K327))</f>
        <v/>
      </c>
      <c r="AA327" s="88" t="str">
        <f>IFERROR(INDEX($Z$14:$Z$300, MATCH(0, INDEX(COUNTIF($AA$13:AA326, $Z$14:$Z$300), 0, 0), 0)), "")</f>
        <v/>
      </c>
      <c r="AB327" s="88" t="str">
        <f t="shared" si="4"/>
        <v/>
      </c>
      <c r="AC327">
        <v>314</v>
      </c>
      <c r="AE327" t="str">
        <f>IF(LISTADO_NOM!AI327="","",VLOOKUP(LISTADO_NOM!AI327,SEGUIMIENTOS,2,FALSE))</f>
        <v/>
      </c>
    </row>
    <row r="328" spans="26:31">
      <c r="Z328" s="88" t="str">
        <f>IF(LISTADO_NOM!K328="","",DATE(LISTADO_NOM!M328,LISTADO_NOM!L328,LISTADO_NOM!K328))</f>
        <v/>
      </c>
      <c r="AA328" s="88" t="str">
        <f>IFERROR(INDEX($Z$14:$Z$300, MATCH(0, INDEX(COUNTIF($AA$13:AA327, $Z$14:$Z$300), 0, 0), 0)), "")</f>
        <v/>
      </c>
      <c r="AB328" s="88" t="str">
        <f t="shared" si="4"/>
        <v/>
      </c>
      <c r="AC328">
        <v>315</v>
      </c>
      <c r="AE328" t="str">
        <f>IF(LISTADO_NOM!AI328="","",VLOOKUP(LISTADO_NOM!AI328,SEGUIMIENTOS,2,FALSE))</f>
        <v/>
      </c>
    </row>
    <row r="329" spans="26:31">
      <c r="Z329" s="88" t="str">
        <f>IF(LISTADO_NOM!K329="","",DATE(LISTADO_NOM!M329,LISTADO_NOM!L329,LISTADO_NOM!K329))</f>
        <v/>
      </c>
      <c r="AA329" s="88" t="str">
        <f>IFERROR(INDEX($Z$14:$Z$300, MATCH(0, INDEX(COUNTIF($AA$13:AA328, $Z$14:$Z$300), 0, 0), 0)), "")</f>
        <v/>
      </c>
      <c r="AB329" s="88" t="str">
        <f t="shared" si="4"/>
        <v/>
      </c>
      <c r="AC329">
        <v>316</v>
      </c>
      <c r="AE329" t="str">
        <f>IF(LISTADO_NOM!AI329="","",VLOOKUP(LISTADO_NOM!AI329,SEGUIMIENTOS,2,FALSE))</f>
        <v/>
      </c>
    </row>
    <row r="330" spans="26:31">
      <c r="Z330" s="88" t="str">
        <f>IF(LISTADO_NOM!K330="","",DATE(LISTADO_NOM!M330,LISTADO_NOM!L330,LISTADO_NOM!K330))</f>
        <v/>
      </c>
      <c r="AA330" s="88" t="str">
        <f>IFERROR(INDEX($Z$14:$Z$300, MATCH(0, INDEX(COUNTIF($AA$13:AA329, $Z$14:$Z$300), 0, 0), 0)), "")</f>
        <v/>
      </c>
      <c r="AB330" s="88" t="str">
        <f t="shared" si="4"/>
        <v/>
      </c>
      <c r="AC330">
        <v>317</v>
      </c>
      <c r="AE330" t="str">
        <f>IF(LISTADO_NOM!AI330="","",VLOOKUP(LISTADO_NOM!AI330,SEGUIMIENTOS,2,FALSE))</f>
        <v/>
      </c>
    </row>
    <row r="331" spans="26:31">
      <c r="Z331" s="88" t="str">
        <f>IF(LISTADO_NOM!K331="","",DATE(LISTADO_NOM!M331,LISTADO_NOM!L331,LISTADO_NOM!K331))</f>
        <v/>
      </c>
      <c r="AA331" s="88" t="str">
        <f>IFERROR(INDEX($Z$14:$Z$300, MATCH(0, INDEX(COUNTIF($AA$13:AA330, $Z$14:$Z$300), 0, 0), 0)), "")</f>
        <v/>
      </c>
      <c r="AB331" s="88" t="str">
        <f t="shared" si="4"/>
        <v/>
      </c>
      <c r="AC331">
        <v>318</v>
      </c>
      <c r="AE331" t="str">
        <f>IF(LISTADO_NOM!AI331="","",VLOOKUP(LISTADO_NOM!AI331,SEGUIMIENTOS,2,FALSE))</f>
        <v/>
      </c>
    </row>
    <row r="332" spans="26:31">
      <c r="Z332" s="88" t="str">
        <f>IF(LISTADO_NOM!K332="","",DATE(LISTADO_NOM!M332,LISTADO_NOM!L332,LISTADO_NOM!K332))</f>
        <v/>
      </c>
      <c r="AA332" s="88" t="str">
        <f>IFERROR(INDEX($Z$14:$Z$300, MATCH(0, INDEX(COUNTIF($AA$13:AA331, $Z$14:$Z$300), 0, 0), 0)), "")</f>
        <v/>
      </c>
      <c r="AB332" s="88" t="str">
        <f t="shared" si="4"/>
        <v/>
      </c>
      <c r="AC332">
        <v>319</v>
      </c>
      <c r="AE332" t="str">
        <f>IF(LISTADO_NOM!AI332="","",VLOOKUP(LISTADO_NOM!AI332,SEGUIMIENTOS,2,FALSE))</f>
        <v/>
      </c>
    </row>
    <row r="333" spans="26:31">
      <c r="Z333" s="88" t="str">
        <f>IF(LISTADO_NOM!K333="","",DATE(LISTADO_NOM!M333,LISTADO_NOM!L333,LISTADO_NOM!K333))</f>
        <v/>
      </c>
      <c r="AA333" s="88" t="str">
        <f>IFERROR(INDEX($Z$14:$Z$300, MATCH(0, INDEX(COUNTIF($AA$13:AA332, $Z$14:$Z$300), 0, 0), 0)), "")</f>
        <v/>
      </c>
      <c r="AB333" s="88" t="str">
        <f t="shared" si="4"/>
        <v/>
      </c>
      <c r="AC333">
        <v>320</v>
      </c>
      <c r="AE333" t="str">
        <f>IF(LISTADO_NOM!AI333="","",VLOOKUP(LISTADO_NOM!AI333,SEGUIMIENTOS,2,FALSE))</f>
        <v/>
      </c>
    </row>
    <row r="334" spans="26:31">
      <c r="Z334" s="88" t="str">
        <f>IF(LISTADO_NOM!K334="","",DATE(LISTADO_NOM!M334,LISTADO_NOM!L334,LISTADO_NOM!K334))</f>
        <v/>
      </c>
      <c r="AA334" s="88" t="str">
        <f>IFERROR(INDEX($Z$14:$Z$300, MATCH(0, INDEX(COUNTIF($AA$13:AA333, $Z$14:$Z$300), 0, 0), 0)), "")</f>
        <v/>
      </c>
      <c r="AB334" s="88" t="str">
        <f t="shared" ref="AB334:AB397" si="5">IF(AA334="","",SMALL(ORDENA_,AC334))</f>
        <v/>
      </c>
      <c r="AC334">
        <v>321</v>
      </c>
      <c r="AE334" t="str">
        <f>IF(LISTADO_NOM!AI334="","",VLOOKUP(LISTADO_NOM!AI334,SEGUIMIENTOS,2,FALSE))</f>
        <v/>
      </c>
    </row>
    <row r="335" spans="26:31">
      <c r="Z335" s="88" t="str">
        <f>IF(LISTADO_NOM!K335="","",DATE(LISTADO_NOM!M335,LISTADO_NOM!L335,LISTADO_NOM!K335))</f>
        <v/>
      </c>
      <c r="AA335" s="88" t="str">
        <f>IFERROR(INDEX($Z$14:$Z$300, MATCH(0, INDEX(COUNTIF($AA$13:AA334, $Z$14:$Z$300), 0, 0), 0)), "")</f>
        <v/>
      </c>
      <c r="AB335" s="88" t="str">
        <f t="shared" si="5"/>
        <v/>
      </c>
      <c r="AC335">
        <v>322</v>
      </c>
      <c r="AE335" t="str">
        <f>IF(LISTADO_NOM!AI335="","",VLOOKUP(LISTADO_NOM!AI335,SEGUIMIENTOS,2,FALSE))</f>
        <v/>
      </c>
    </row>
    <row r="336" spans="26:31">
      <c r="Z336" s="88" t="str">
        <f>IF(LISTADO_NOM!K336="","",DATE(LISTADO_NOM!M336,LISTADO_NOM!L336,LISTADO_NOM!K336))</f>
        <v/>
      </c>
      <c r="AA336" s="88" t="str">
        <f>IFERROR(INDEX($Z$14:$Z$300, MATCH(0, INDEX(COUNTIF($AA$13:AA335, $Z$14:$Z$300), 0, 0), 0)), "")</f>
        <v/>
      </c>
      <c r="AB336" s="88" t="str">
        <f t="shared" si="5"/>
        <v/>
      </c>
      <c r="AC336">
        <v>323</v>
      </c>
      <c r="AE336" t="str">
        <f>IF(LISTADO_NOM!AI336="","",VLOOKUP(LISTADO_NOM!AI336,SEGUIMIENTOS,2,FALSE))</f>
        <v/>
      </c>
    </row>
    <row r="337" spans="26:31">
      <c r="Z337" s="88" t="str">
        <f>IF(LISTADO_NOM!K337="","",DATE(LISTADO_NOM!M337,LISTADO_NOM!L337,LISTADO_NOM!K337))</f>
        <v/>
      </c>
      <c r="AA337" s="88" t="str">
        <f>IFERROR(INDEX($Z$14:$Z$300, MATCH(0, INDEX(COUNTIF($AA$13:AA336, $Z$14:$Z$300), 0, 0), 0)), "")</f>
        <v/>
      </c>
      <c r="AB337" s="88" t="str">
        <f t="shared" si="5"/>
        <v/>
      </c>
      <c r="AC337">
        <v>324</v>
      </c>
      <c r="AE337" t="str">
        <f>IF(LISTADO_NOM!AI337="","",VLOOKUP(LISTADO_NOM!AI337,SEGUIMIENTOS,2,FALSE))</f>
        <v/>
      </c>
    </row>
    <row r="338" spans="26:31">
      <c r="Z338" s="88" t="str">
        <f>IF(LISTADO_NOM!K338="","",DATE(LISTADO_NOM!M338,LISTADO_NOM!L338,LISTADO_NOM!K338))</f>
        <v/>
      </c>
      <c r="AA338" s="88" t="str">
        <f>IFERROR(INDEX($Z$14:$Z$300, MATCH(0, INDEX(COUNTIF($AA$13:AA337, $Z$14:$Z$300), 0, 0), 0)), "")</f>
        <v/>
      </c>
      <c r="AB338" s="88" t="str">
        <f t="shared" si="5"/>
        <v/>
      </c>
      <c r="AC338">
        <v>325</v>
      </c>
      <c r="AE338" t="str">
        <f>IF(LISTADO_NOM!AI338="","",VLOOKUP(LISTADO_NOM!AI338,SEGUIMIENTOS,2,FALSE))</f>
        <v/>
      </c>
    </row>
    <row r="339" spans="26:31">
      <c r="Z339" s="88" t="str">
        <f>IF(LISTADO_NOM!K339="","",DATE(LISTADO_NOM!M339,LISTADO_NOM!L339,LISTADO_NOM!K339))</f>
        <v/>
      </c>
      <c r="AA339" s="88" t="str">
        <f>IFERROR(INDEX($Z$14:$Z$300, MATCH(0, INDEX(COUNTIF($AA$13:AA338, $Z$14:$Z$300), 0, 0), 0)), "")</f>
        <v/>
      </c>
      <c r="AB339" s="88" t="str">
        <f t="shared" si="5"/>
        <v/>
      </c>
      <c r="AC339">
        <v>326</v>
      </c>
      <c r="AE339" t="str">
        <f>IF(LISTADO_NOM!AI339="","",VLOOKUP(LISTADO_NOM!AI339,SEGUIMIENTOS,2,FALSE))</f>
        <v/>
      </c>
    </row>
    <row r="340" spans="26:31">
      <c r="Z340" s="88" t="str">
        <f>IF(LISTADO_NOM!K340="","",DATE(LISTADO_NOM!M340,LISTADO_NOM!L340,LISTADO_NOM!K340))</f>
        <v/>
      </c>
      <c r="AA340" s="88" t="str">
        <f>IFERROR(INDEX($Z$14:$Z$300, MATCH(0, INDEX(COUNTIF($AA$13:AA339, $Z$14:$Z$300), 0, 0), 0)), "")</f>
        <v/>
      </c>
      <c r="AB340" s="88" t="str">
        <f t="shared" si="5"/>
        <v/>
      </c>
      <c r="AC340">
        <v>327</v>
      </c>
      <c r="AE340" t="str">
        <f>IF(LISTADO_NOM!AI340="","",VLOOKUP(LISTADO_NOM!AI340,SEGUIMIENTOS,2,FALSE))</f>
        <v/>
      </c>
    </row>
    <row r="341" spans="26:31">
      <c r="Z341" s="88" t="str">
        <f>IF(LISTADO_NOM!K341="","",DATE(LISTADO_NOM!M341,LISTADO_NOM!L341,LISTADO_NOM!K341))</f>
        <v/>
      </c>
      <c r="AA341" s="88" t="str">
        <f>IFERROR(INDEX($Z$14:$Z$300, MATCH(0, INDEX(COUNTIF($AA$13:AA340, $Z$14:$Z$300), 0, 0), 0)), "")</f>
        <v/>
      </c>
      <c r="AB341" s="88" t="str">
        <f t="shared" si="5"/>
        <v/>
      </c>
      <c r="AC341">
        <v>328</v>
      </c>
      <c r="AE341" t="str">
        <f>IF(LISTADO_NOM!AI341="","",VLOOKUP(LISTADO_NOM!AI341,SEGUIMIENTOS,2,FALSE))</f>
        <v/>
      </c>
    </row>
    <row r="342" spans="26:31">
      <c r="Z342" s="88" t="str">
        <f>IF(LISTADO_NOM!K342="","",DATE(LISTADO_NOM!M342,LISTADO_NOM!L342,LISTADO_NOM!K342))</f>
        <v/>
      </c>
      <c r="AA342" s="88" t="str">
        <f>IFERROR(INDEX($Z$14:$Z$300, MATCH(0, INDEX(COUNTIF($AA$13:AA341, $Z$14:$Z$300), 0, 0), 0)), "")</f>
        <v/>
      </c>
      <c r="AB342" s="88" t="str">
        <f t="shared" si="5"/>
        <v/>
      </c>
      <c r="AC342">
        <v>329</v>
      </c>
      <c r="AE342" t="str">
        <f>IF(LISTADO_NOM!AI342="","",VLOOKUP(LISTADO_NOM!AI342,SEGUIMIENTOS,2,FALSE))</f>
        <v/>
      </c>
    </row>
    <row r="343" spans="26:31">
      <c r="Z343" s="88" t="str">
        <f>IF(LISTADO_NOM!K343="","",DATE(LISTADO_NOM!M343,LISTADO_NOM!L343,LISTADO_NOM!K343))</f>
        <v/>
      </c>
      <c r="AA343" s="88" t="str">
        <f>IFERROR(INDEX($Z$14:$Z$300, MATCH(0, INDEX(COUNTIF($AA$13:AA342, $Z$14:$Z$300), 0, 0), 0)), "")</f>
        <v/>
      </c>
      <c r="AB343" s="88" t="str">
        <f t="shared" si="5"/>
        <v/>
      </c>
      <c r="AC343">
        <v>330</v>
      </c>
      <c r="AE343" t="str">
        <f>IF(LISTADO_NOM!AI343="","",VLOOKUP(LISTADO_NOM!AI343,SEGUIMIENTOS,2,FALSE))</f>
        <v/>
      </c>
    </row>
    <row r="344" spans="26:31">
      <c r="Z344" s="88" t="str">
        <f>IF(LISTADO_NOM!K344="","",DATE(LISTADO_NOM!M344,LISTADO_NOM!L344,LISTADO_NOM!K344))</f>
        <v/>
      </c>
      <c r="AA344" s="88" t="str">
        <f>IFERROR(INDEX($Z$14:$Z$300, MATCH(0, INDEX(COUNTIF($AA$13:AA343, $Z$14:$Z$300), 0, 0), 0)), "")</f>
        <v/>
      </c>
      <c r="AB344" s="88" t="str">
        <f t="shared" si="5"/>
        <v/>
      </c>
      <c r="AC344">
        <v>331</v>
      </c>
      <c r="AE344" t="str">
        <f>IF(LISTADO_NOM!AI344="","",VLOOKUP(LISTADO_NOM!AI344,SEGUIMIENTOS,2,FALSE))</f>
        <v/>
      </c>
    </row>
    <row r="345" spans="26:31">
      <c r="Z345" s="88" t="str">
        <f>IF(LISTADO_NOM!K345="","",DATE(LISTADO_NOM!M345,LISTADO_NOM!L345,LISTADO_NOM!K345))</f>
        <v/>
      </c>
      <c r="AA345" s="88" t="str">
        <f>IFERROR(INDEX($Z$14:$Z$300, MATCH(0, INDEX(COUNTIF($AA$13:AA344, $Z$14:$Z$300), 0, 0), 0)), "")</f>
        <v/>
      </c>
      <c r="AB345" s="88" t="str">
        <f t="shared" si="5"/>
        <v/>
      </c>
      <c r="AC345">
        <v>332</v>
      </c>
      <c r="AE345" t="str">
        <f>IF(LISTADO_NOM!AI345="","",VLOOKUP(LISTADO_NOM!AI345,SEGUIMIENTOS,2,FALSE))</f>
        <v/>
      </c>
    </row>
    <row r="346" spans="26:31">
      <c r="Z346" s="88" t="str">
        <f>IF(LISTADO_NOM!K346="","",DATE(LISTADO_NOM!M346,LISTADO_NOM!L346,LISTADO_NOM!K346))</f>
        <v/>
      </c>
      <c r="AA346" s="88" t="str">
        <f>IFERROR(INDEX($Z$14:$Z$300, MATCH(0, INDEX(COUNTIF($AA$13:AA345, $Z$14:$Z$300), 0, 0), 0)), "")</f>
        <v/>
      </c>
      <c r="AB346" s="88" t="str">
        <f t="shared" si="5"/>
        <v/>
      </c>
      <c r="AC346">
        <v>333</v>
      </c>
      <c r="AE346" t="str">
        <f>IF(LISTADO_NOM!AI346="","",VLOOKUP(LISTADO_NOM!AI346,SEGUIMIENTOS,2,FALSE))</f>
        <v/>
      </c>
    </row>
    <row r="347" spans="26:31">
      <c r="Z347" s="88" t="str">
        <f>IF(LISTADO_NOM!K347="","",DATE(LISTADO_NOM!M347,LISTADO_NOM!L347,LISTADO_NOM!K347))</f>
        <v/>
      </c>
      <c r="AA347" s="88" t="str">
        <f>IFERROR(INDEX($Z$14:$Z$300, MATCH(0, INDEX(COUNTIF($AA$13:AA346, $Z$14:$Z$300), 0, 0), 0)), "")</f>
        <v/>
      </c>
      <c r="AB347" s="88" t="str">
        <f t="shared" si="5"/>
        <v/>
      </c>
      <c r="AC347">
        <v>334</v>
      </c>
      <c r="AE347" t="str">
        <f>IF(LISTADO_NOM!AI347="","",VLOOKUP(LISTADO_NOM!AI347,SEGUIMIENTOS,2,FALSE))</f>
        <v/>
      </c>
    </row>
    <row r="348" spans="26:31">
      <c r="Z348" s="88" t="str">
        <f>IF(LISTADO_NOM!K348="","",DATE(LISTADO_NOM!M348,LISTADO_NOM!L348,LISTADO_NOM!K348))</f>
        <v/>
      </c>
      <c r="AA348" s="88" t="str">
        <f>IFERROR(INDEX($Z$14:$Z$300, MATCH(0, INDEX(COUNTIF($AA$13:AA347, $Z$14:$Z$300), 0, 0), 0)), "")</f>
        <v/>
      </c>
      <c r="AB348" s="88" t="str">
        <f t="shared" si="5"/>
        <v/>
      </c>
      <c r="AC348">
        <v>335</v>
      </c>
      <c r="AE348" t="str">
        <f>IF(LISTADO_NOM!AI348="","",VLOOKUP(LISTADO_NOM!AI348,SEGUIMIENTOS,2,FALSE))</f>
        <v/>
      </c>
    </row>
    <row r="349" spans="26:31">
      <c r="Z349" s="88" t="str">
        <f>IF(LISTADO_NOM!K349="","",DATE(LISTADO_NOM!M349,LISTADO_NOM!L349,LISTADO_NOM!K349))</f>
        <v/>
      </c>
      <c r="AA349" s="88" t="str">
        <f>IFERROR(INDEX($Z$14:$Z$300, MATCH(0, INDEX(COUNTIF($AA$13:AA348, $Z$14:$Z$300), 0, 0), 0)), "")</f>
        <v/>
      </c>
      <c r="AB349" s="88" t="str">
        <f t="shared" si="5"/>
        <v/>
      </c>
      <c r="AC349">
        <v>336</v>
      </c>
      <c r="AE349" t="str">
        <f>IF(LISTADO_NOM!AI349="","",VLOOKUP(LISTADO_NOM!AI349,SEGUIMIENTOS,2,FALSE))</f>
        <v/>
      </c>
    </row>
    <row r="350" spans="26:31">
      <c r="Z350" s="88" t="str">
        <f>IF(LISTADO_NOM!K350="","",DATE(LISTADO_NOM!M350,LISTADO_NOM!L350,LISTADO_NOM!K350))</f>
        <v/>
      </c>
      <c r="AA350" s="88" t="str">
        <f>IFERROR(INDEX($Z$14:$Z$300, MATCH(0, INDEX(COUNTIF($AA$13:AA349, $Z$14:$Z$300), 0, 0), 0)), "")</f>
        <v/>
      </c>
      <c r="AB350" s="88" t="str">
        <f t="shared" si="5"/>
        <v/>
      </c>
      <c r="AC350">
        <v>337</v>
      </c>
      <c r="AE350" t="str">
        <f>IF(LISTADO_NOM!AI350="","",VLOOKUP(LISTADO_NOM!AI350,SEGUIMIENTOS,2,FALSE))</f>
        <v/>
      </c>
    </row>
    <row r="351" spans="26:31">
      <c r="Z351" s="88" t="str">
        <f>IF(LISTADO_NOM!K351="","",DATE(LISTADO_NOM!M351,LISTADO_NOM!L351,LISTADO_NOM!K351))</f>
        <v/>
      </c>
      <c r="AA351" s="88" t="str">
        <f>IFERROR(INDEX($Z$14:$Z$300, MATCH(0, INDEX(COUNTIF($AA$13:AA350, $Z$14:$Z$300), 0, 0), 0)), "")</f>
        <v/>
      </c>
      <c r="AB351" s="88" t="str">
        <f t="shared" si="5"/>
        <v/>
      </c>
      <c r="AC351">
        <v>338</v>
      </c>
      <c r="AE351" t="str">
        <f>IF(LISTADO_NOM!AI351="","",VLOOKUP(LISTADO_NOM!AI351,SEGUIMIENTOS,2,FALSE))</f>
        <v/>
      </c>
    </row>
    <row r="352" spans="26:31">
      <c r="Z352" s="88" t="str">
        <f>IF(LISTADO_NOM!K352="","",DATE(LISTADO_NOM!M352,LISTADO_NOM!L352,LISTADO_NOM!K352))</f>
        <v/>
      </c>
      <c r="AA352" s="88" t="str">
        <f>IFERROR(INDEX($Z$14:$Z$300, MATCH(0, INDEX(COUNTIF($AA$13:AA351, $Z$14:$Z$300), 0, 0), 0)), "")</f>
        <v/>
      </c>
      <c r="AB352" s="88" t="str">
        <f t="shared" si="5"/>
        <v/>
      </c>
      <c r="AC352">
        <v>339</v>
      </c>
      <c r="AE352" t="str">
        <f>IF(LISTADO_NOM!AI352="","",VLOOKUP(LISTADO_NOM!AI352,SEGUIMIENTOS,2,FALSE))</f>
        <v/>
      </c>
    </row>
    <row r="353" spans="26:31">
      <c r="Z353" s="88" t="str">
        <f>IF(LISTADO_NOM!K353="","",DATE(LISTADO_NOM!M353,LISTADO_NOM!L353,LISTADO_NOM!K353))</f>
        <v/>
      </c>
      <c r="AA353" s="88" t="str">
        <f>IFERROR(INDEX($Z$14:$Z$300, MATCH(0, INDEX(COUNTIF($AA$13:AA352, $Z$14:$Z$300), 0, 0), 0)), "")</f>
        <v/>
      </c>
      <c r="AB353" s="88" t="str">
        <f t="shared" si="5"/>
        <v/>
      </c>
      <c r="AC353">
        <v>340</v>
      </c>
      <c r="AE353" t="str">
        <f>IF(LISTADO_NOM!AI353="","",VLOOKUP(LISTADO_NOM!AI353,SEGUIMIENTOS,2,FALSE))</f>
        <v/>
      </c>
    </row>
    <row r="354" spans="26:31">
      <c r="Z354" s="88" t="str">
        <f>IF(LISTADO_NOM!K354="","",DATE(LISTADO_NOM!M354,LISTADO_NOM!L354,LISTADO_NOM!K354))</f>
        <v/>
      </c>
      <c r="AA354" s="88" t="str">
        <f>IFERROR(INDEX($Z$14:$Z$300, MATCH(0, INDEX(COUNTIF($AA$13:AA353, $Z$14:$Z$300), 0, 0), 0)), "")</f>
        <v/>
      </c>
      <c r="AB354" s="88" t="str">
        <f t="shared" si="5"/>
        <v/>
      </c>
      <c r="AC354">
        <v>341</v>
      </c>
      <c r="AE354" t="str">
        <f>IF(LISTADO_NOM!AI354="","",VLOOKUP(LISTADO_NOM!AI354,SEGUIMIENTOS,2,FALSE))</f>
        <v/>
      </c>
    </row>
    <row r="355" spans="26:31">
      <c r="Z355" s="88" t="str">
        <f>IF(LISTADO_NOM!K355="","",DATE(LISTADO_NOM!M355,LISTADO_NOM!L355,LISTADO_NOM!K355))</f>
        <v/>
      </c>
      <c r="AA355" s="88" t="str">
        <f>IFERROR(INDEX($Z$14:$Z$300, MATCH(0, INDEX(COUNTIF($AA$13:AA354, $Z$14:$Z$300), 0, 0), 0)), "")</f>
        <v/>
      </c>
      <c r="AB355" s="88" t="str">
        <f t="shared" si="5"/>
        <v/>
      </c>
      <c r="AC355">
        <v>342</v>
      </c>
      <c r="AE355" t="str">
        <f>IF(LISTADO_NOM!AI355="","",VLOOKUP(LISTADO_NOM!AI355,SEGUIMIENTOS,2,FALSE))</f>
        <v/>
      </c>
    </row>
    <row r="356" spans="26:31">
      <c r="Z356" s="88" t="str">
        <f>IF(LISTADO_NOM!K356="","",DATE(LISTADO_NOM!M356,LISTADO_NOM!L356,LISTADO_NOM!K356))</f>
        <v/>
      </c>
      <c r="AA356" s="88" t="str">
        <f>IFERROR(INDEX($Z$14:$Z$300, MATCH(0, INDEX(COUNTIF($AA$13:AA355, $Z$14:$Z$300), 0, 0), 0)), "")</f>
        <v/>
      </c>
      <c r="AB356" s="88" t="str">
        <f t="shared" si="5"/>
        <v/>
      </c>
      <c r="AC356">
        <v>343</v>
      </c>
      <c r="AE356" t="str">
        <f>IF(LISTADO_NOM!AI356="","",VLOOKUP(LISTADO_NOM!AI356,SEGUIMIENTOS,2,FALSE))</f>
        <v/>
      </c>
    </row>
    <row r="357" spans="26:31">
      <c r="Z357" s="88" t="str">
        <f>IF(LISTADO_NOM!K357="","",DATE(LISTADO_NOM!M357,LISTADO_NOM!L357,LISTADO_NOM!K357))</f>
        <v/>
      </c>
      <c r="AA357" s="88" t="str">
        <f>IFERROR(INDEX($Z$14:$Z$300, MATCH(0, INDEX(COUNTIF($AA$13:AA356, $Z$14:$Z$300), 0, 0), 0)), "")</f>
        <v/>
      </c>
      <c r="AB357" s="88" t="str">
        <f t="shared" si="5"/>
        <v/>
      </c>
      <c r="AC357">
        <v>344</v>
      </c>
      <c r="AE357" t="str">
        <f>IF(LISTADO_NOM!AI357="","",VLOOKUP(LISTADO_NOM!AI357,SEGUIMIENTOS,2,FALSE))</f>
        <v/>
      </c>
    </row>
    <row r="358" spans="26:31">
      <c r="Z358" s="88" t="str">
        <f>IF(LISTADO_NOM!K358="","",DATE(LISTADO_NOM!M358,LISTADO_NOM!L358,LISTADO_NOM!K358))</f>
        <v/>
      </c>
      <c r="AA358" s="88" t="str">
        <f>IFERROR(INDEX($Z$14:$Z$300, MATCH(0, INDEX(COUNTIF($AA$13:AA357, $Z$14:$Z$300), 0, 0), 0)), "")</f>
        <v/>
      </c>
      <c r="AB358" s="88" t="str">
        <f t="shared" si="5"/>
        <v/>
      </c>
      <c r="AC358">
        <v>345</v>
      </c>
      <c r="AE358" t="str">
        <f>IF(LISTADO_NOM!AI358="","",VLOOKUP(LISTADO_NOM!AI358,SEGUIMIENTOS,2,FALSE))</f>
        <v/>
      </c>
    </row>
    <row r="359" spans="26:31">
      <c r="Z359" s="88" t="str">
        <f>IF(LISTADO_NOM!K359="","",DATE(LISTADO_NOM!M359,LISTADO_NOM!L359,LISTADO_NOM!K359))</f>
        <v/>
      </c>
      <c r="AA359" s="88" t="str">
        <f>IFERROR(INDEX($Z$14:$Z$300, MATCH(0, INDEX(COUNTIF($AA$13:AA358, $Z$14:$Z$300), 0, 0), 0)), "")</f>
        <v/>
      </c>
      <c r="AB359" s="88" t="str">
        <f t="shared" si="5"/>
        <v/>
      </c>
      <c r="AC359">
        <v>346</v>
      </c>
      <c r="AE359" t="str">
        <f>IF(LISTADO_NOM!AI359="","",VLOOKUP(LISTADO_NOM!AI359,SEGUIMIENTOS,2,FALSE))</f>
        <v/>
      </c>
    </row>
    <row r="360" spans="26:31">
      <c r="Z360" s="88" t="str">
        <f>IF(LISTADO_NOM!K360="","",DATE(LISTADO_NOM!M360,LISTADO_NOM!L360,LISTADO_NOM!K360))</f>
        <v/>
      </c>
      <c r="AA360" s="88" t="str">
        <f>IFERROR(INDEX($Z$14:$Z$300, MATCH(0, INDEX(COUNTIF($AA$13:AA359, $Z$14:$Z$300), 0, 0), 0)), "")</f>
        <v/>
      </c>
      <c r="AB360" s="88" t="str">
        <f t="shared" si="5"/>
        <v/>
      </c>
      <c r="AC360">
        <v>347</v>
      </c>
      <c r="AE360" t="str">
        <f>IF(LISTADO_NOM!AI360="","",VLOOKUP(LISTADO_NOM!AI360,SEGUIMIENTOS,2,FALSE))</f>
        <v/>
      </c>
    </row>
    <row r="361" spans="26:31">
      <c r="Z361" s="88" t="str">
        <f>IF(LISTADO_NOM!K361="","",DATE(LISTADO_NOM!M361,LISTADO_NOM!L361,LISTADO_NOM!K361))</f>
        <v/>
      </c>
      <c r="AA361" s="88" t="str">
        <f>IFERROR(INDEX($Z$14:$Z$300, MATCH(0, INDEX(COUNTIF($AA$13:AA360, $Z$14:$Z$300), 0, 0), 0)), "")</f>
        <v/>
      </c>
      <c r="AB361" s="88" t="str">
        <f t="shared" si="5"/>
        <v/>
      </c>
      <c r="AC361">
        <v>348</v>
      </c>
      <c r="AE361" t="str">
        <f>IF(LISTADO_NOM!AI361="","",VLOOKUP(LISTADO_NOM!AI361,SEGUIMIENTOS,2,FALSE))</f>
        <v/>
      </c>
    </row>
    <row r="362" spans="26:31">
      <c r="Z362" s="88" t="str">
        <f>IF(LISTADO_NOM!K362="","",DATE(LISTADO_NOM!M362,LISTADO_NOM!L362,LISTADO_NOM!K362))</f>
        <v/>
      </c>
      <c r="AA362" s="88" t="str">
        <f>IFERROR(INDEX($Z$14:$Z$300, MATCH(0, INDEX(COUNTIF($AA$13:AA361, $Z$14:$Z$300), 0, 0), 0)), "")</f>
        <v/>
      </c>
      <c r="AB362" s="88" t="str">
        <f t="shared" si="5"/>
        <v/>
      </c>
      <c r="AC362">
        <v>349</v>
      </c>
      <c r="AE362" t="str">
        <f>IF(LISTADO_NOM!AI362="","",VLOOKUP(LISTADO_NOM!AI362,SEGUIMIENTOS,2,FALSE))</f>
        <v/>
      </c>
    </row>
    <row r="363" spans="26:31">
      <c r="Z363" s="88" t="str">
        <f>IF(LISTADO_NOM!K363="","",DATE(LISTADO_NOM!M363,LISTADO_NOM!L363,LISTADO_NOM!K363))</f>
        <v/>
      </c>
      <c r="AA363" s="88" t="str">
        <f>IFERROR(INDEX($Z$14:$Z$300, MATCH(0, INDEX(COUNTIF($AA$13:AA362, $Z$14:$Z$300), 0, 0), 0)), "")</f>
        <v/>
      </c>
      <c r="AB363" s="88" t="str">
        <f t="shared" si="5"/>
        <v/>
      </c>
      <c r="AC363">
        <v>350</v>
      </c>
      <c r="AE363" t="str">
        <f>IF(LISTADO_NOM!AI363="","",VLOOKUP(LISTADO_NOM!AI363,SEGUIMIENTOS,2,FALSE))</f>
        <v/>
      </c>
    </row>
    <row r="364" spans="26:31">
      <c r="Z364" s="88" t="str">
        <f>IF(LISTADO_NOM!K364="","",DATE(LISTADO_NOM!M364,LISTADO_NOM!L364,LISTADO_NOM!K364))</f>
        <v/>
      </c>
      <c r="AA364" s="88" t="str">
        <f>IFERROR(INDEX($Z$14:$Z$300, MATCH(0, INDEX(COUNTIF($AA$13:AA363, $Z$14:$Z$300), 0, 0), 0)), "")</f>
        <v/>
      </c>
      <c r="AB364" s="88" t="str">
        <f t="shared" si="5"/>
        <v/>
      </c>
      <c r="AC364">
        <v>351</v>
      </c>
      <c r="AE364" t="str">
        <f>IF(LISTADO_NOM!AI364="","",VLOOKUP(LISTADO_NOM!AI364,SEGUIMIENTOS,2,FALSE))</f>
        <v/>
      </c>
    </row>
    <row r="365" spans="26:31">
      <c r="Z365" s="88" t="str">
        <f>IF(LISTADO_NOM!K365="","",DATE(LISTADO_NOM!M365,LISTADO_NOM!L365,LISTADO_NOM!K365))</f>
        <v/>
      </c>
      <c r="AA365" s="88" t="str">
        <f>IFERROR(INDEX($Z$14:$Z$300, MATCH(0, INDEX(COUNTIF($AA$13:AA364, $Z$14:$Z$300), 0, 0), 0)), "")</f>
        <v/>
      </c>
      <c r="AB365" s="88" t="str">
        <f t="shared" si="5"/>
        <v/>
      </c>
      <c r="AC365">
        <v>352</v>
      </c>
      <c r="AE365" t="str">
        <f>IF(LISTADO_NOM!AI365="","",VLOOKUP(LISTADO_NOM!AI365,SEGUIMIENTOS,2,FALSE))</f>
        <v/>
      </c>
    </row>
    <row r="366" spans="26:31">
      <c r="Z366" s="88" t="str">
        <f>IF(LISTADO_NOM!K366="","",DATE(LISTADO_NOM!M366,LISTADO_NOM!L366,LISTADO_NOM!K366))</f>
        <v/>
      </c>
      <c r="AA366" s="88" t="str">
        <f>IFERROR(INDEX($Z$14:$Z$300, MATCH(0, INDEX(COUNTIF($AA$13:AA365, $Z$14:$Z$300), 0, 0), 0)), "")</f>
        <v/>
      </c>
      <c r="AB366" s="88" t="str">
        <f t="shared" si="5"/>
        <v/>
      </c>
      <c r="AC366">
        <v>353</v>
      </c>
      <c r="AE366" t="str">
        <f>IF(LISTADO_NOM!AI366="","",VLOOKUP(LISTADO_NOM!AI366,SEGUIMIENTOS,2,FALSE))</f>
        <v/>
      </c>
    </row>
    <row r="367" spans="26:31">
      <c r="Z367" s="88" t="str">
        <f>IF(LISTADO_NOM!K367="","",DATE(LISTADO_NOM!M367,LISTADO_NOM!L367,LISTADO_NOM!K367))</f>
        <v/>
      </c>
      <c r="AA367" s="88" t="str">
        <f>IFERROR(INDEX($Z$14:$Z$300, MATCH(0, INDEX(COUNTIF($AA$13:AA366, $Z$14:$Z$300), 0, 0), 0)), "")</f>
        <v/>
      </c>
      <c r="AB367" s="88" t="str">
        <f t="shared" si="5"/>
        <v/>
      </c>
      <c r="AC367">
        <v>354</v>
      </c>
      <c r="AE367" t="str">
        <f>IF(LISTADO_NOM!AI367="","",VLOOKUP(LISTADO_NOM!AI367,SEGUIMIENTOS,2,FALSE))</f>
        <v/>
      </c>
    </row>
    <row r="368" spans="26:31">
      <c r="Z368" s="88" t="str">
        <f>IF(LISTADO_NOM!K368="","",DATE(LISTADO_NOM!M368,LISTADO_NOM!L368,LISTADO_NOM!K368))</f>
        <v/>
      </c>
      <c r="AA368" s="88" t="str">
        <f>IFERROR(INDEX($Z$14:$Z$300, MATCH(0, INDEX(COUNTIF($AA$13:AA367, $Z$14:$Z$300), 0, 0), 0)), "")</f>
        <v/>
      </c>
      <c r="AB368" s="88" t="str">
        <f t="shared" si="5"/>
        <v/>
      </c>
      <c r="AC368">
        <v>355</v>
      </c>
      <c r="AE368" t="str">
        <f>IF(LISTADO_NOM!AI368="","",VLOOKUP(LISTADO_NOM!AI368,SEGUIMIENTOS,2,FALSE))</f>
        <v/>
      </c>
    </row>
    <row r="369" spans="26:31">
      <c r="Z369" s="88" t="str">
        <f>IF(LISTADO_NOM!K369="","",DATE(LISTADO_NOM!M369,LISTADO_NOM!L369,LISTADO_NOM!K369))</f>
        <v/>
      </c>
      <c r="AA369" s="88" t="str">
        <f>IFERROR(INDEX($Z$14:$Z$300, MATCH(0, INDEX(COUNTIF($AA$13:AA368, $Z$14:$Z$300), 0, 0), 0)), "")</f>
        <v/>
      </c>
      <c r="AB369" s="88" t="str">
        <f t="shared" si="5"/>
        <v/>
      </c>
      <c r="AC369">
        <v>356</v>
      </c>
      <c r="AE369" t="str">
        <f>IF(LISTADO_NOM!AI369="","",VLOOKUP(LISTADO_NOM!AI369,SEGUIMIENTOS,2,FALSE))</f>
        <v/>
      </c>
    </row>
    <row r="370" spans="26:31">
      <c r="Z370" s="88" t="str">
        <f>IF(LISTADO_NOM!K370="","",DATE(LISTADO_NOM!M370,LISTADO_NOM!L370,LISTADO_NOM!K370))</f>
        <v/>
      </c>
      <c r="AA370" s="88" t="str">
        <f>IFERROR(INDEX($Z$14:$Z$300, MATCH(0, INDEX(COUNTIF($AA$13:AA369, $Z$14:$Z$300), 0, 0), 0)), "")</f>
        <v/>
      </c>
      <c r="AB370" s="88" t="str">
        <f t="shared" si="5"/>
        <v/>
      </c>
      <c r="AC370">
        <v>357</v>
      </c>
      <c r="AE370" t="str">
        <f>IF(LISTADO_NOM!AI370="","",VLOOKUP(LISTADO_NOM!AI370,SEGUIMIENTOS,2,FALSE))</f>
        <v/>
      </c>
    </row>
    <row r="371" spans="26:31">
      <c r="Z371" s="88" t="str">
        <f>IF(LISTADO_NOM!K371="","",DATE(LISTADO_NOM!M371,LISTADO_NOM!L371,LISTADO_NOM!K371))</f>
        <v/>
      </c>
      <c r="AA371" s="88" t="str">
        <f>IFERROR(INDEX($Z$14:$Z$300, MATCH(0, INDEX(COUNTIF($AA$13:AA370, $Z$14:$Z$300), 0, 0), 0)), "")</f>
        <v/>
      </c>
      <c r="AB371" s="88" t="str">
        <f t="shared" si="5"/>
        <v/>
      </c>
      <c r="AC371">
        <v>358</v>
      </c>
      <c r="AE371" t="str">
        <f>IF(LISTADO_NOM!AI371="","",VLOOKUP(LISTADO_NOM!AI371,SEGUIMIENTOS,2,FALSE))</f>
        <v/>
      </c>
    </row>
    <row r="372" spans="26:31">
      <c r="Z372" s="88" t="str">
        <f>IF(LISTADO_NOM!K372="","",DATE(LISTADO_NOM!M372,LISTADO_NOM!L372,LISTADO_NOM!K372))</f>
        <v/>
      </c>
      <c r="AA372" s="88" t="str">
        <f>IFERROR(INDEX($Z$14:$Z$300, MATCH(0, INDEX(COUNTIF($AA$13:AA371, $Z$14:$Z$300), 0, 0), 0)), "")</f>
        <v/>
      </c>
      <c r="AB372" s="88" t="str">
        <f t="shared" si="5"/>
        <v/>
      </c>
      <c r="AC372">
        <v>359</v>
      </c>
      <c r="AE372" t="str">
        <f>IF(LISTADO_NOM!AI372="","",VLOOKUP(LISTADO_NOM!AI372,SEGUIMIENTOS,2,FALSE))</f>
        <v/>
      </c>
    </row>
    <row r="373" spans="26:31">
      <c r="Z373" s="88" t="str">
        <f>IF(LISTADO_NOM!K373="","",DATE(LISTADO_NOM!M373,LISTADO_NOM!L373,LISTADO_NOM!K373))</f>
        <v/>
      </c>
      <c r="AA373" s="88" t="str">
        <f>IFERROR(INDEX($Z$14:$Z$300, MATCH(0, INDEX(COUNTIF($AA$13:AA372, $Z$14:$Z$300), 0, 0), 0)), "")</f>
        <v/>
      </c>
      <c r="AB373" s="88" t="str">
        <f t="shared" si="5"/>
        <v/>
      </c>
      <c r="AC373">
        <v>360</v>
      </c>
      <c r="AE373" t="str">
        <f>IF(LISTADO_NOM!AI373="","",VLOOKUP(LISTADO_NOM!AI373,SEGUIMIENTOS,2,FALSE))</f>
        <v/>
      </c>
    </row>
    <row r="374" spans="26:31">
      <c r="Z374" s="88" t="str">
        <f>IF(LISTADO_NOM!K374="","",DATE(LISTADO_NOM!M374,LISTADO_NOM!L374,LISTADO_NOM!K374))</f>
        <v/>
      </c>
      <c r="AA374" s="88" t="str">
        <f>IFERROR(INDEX($Z$14:$Z$300, MATCH(0, INDEX(COUNTIF($AA$13:AA373, $Z$14:$Z$300), 0, 0), 0)), "")</f>
        <v/>
      </c>
      <c r="AB374" s="88" t="str">
        <f t="shared" si="5"/>
        <v/>
      </c>
      <c r="AC374">
        <v>361</v>
      </c>
      <c r="AE374" t="str">
        <f>IF(LISTADO_NOM!AI374="","",VLOOKUP(LISTADO_NOM!AI374,SEGUIMIENTOS,2,FALSE))</f>
        <v/>
      </c>
    </row>
    <row r="375" spans="26:31">
      <c r="Z375" s="88" t="str">
        <f>IF(LISTADO_NOM!K375="","",DATE(LISTADO_NOM!M375,LISTADO_NOM!L375,LISTADO_NOM!K375))</f>
        <v/>
      </c>
      <c r="AA375" s="88" t="str">
        <f>IFERROR(INDEX($Z$14:$Z$300, MATCH(0, INDEX(COUNTIF($AA$13:AA374, $Z$14:$Z$300), 0, 0), 0)), "")</f>
        <v/>
      </c>
      <c r="AB375" s="88" t="str">
        <f t="shared" si="5"/>
        <v/>
      </c>
      <c r="AC375">
        <v>362</v>
      </c>
      <c r="AE375" t="str">
        <f>IF(LISTADO_NOM!AI375="","",VLOOKUP(LISTADO_NOM!AI375,SEGUIMIENTOS,2,FALSE))</f>
        <v/>
      </c>
    </row>
    <row r="376" spans="26:31">
      <c r="Z376" s="88" t="str">
        <f>IF(LISTADO_NOM!K376="","",DATE(LISTADO_NOM!M376,LISTADO_NOM!L376,LISTADO_NOM!K376))</f>
        <v/>
      </c>
      <c r="AA376" s="88" t="str">
        <f>IFERROR(INDEX($Z$14:$Z$300, MATCH(0, INDEX(COUNTIF($AA$13:AA375, $Z$14:$Z$300), 0, 0), 0)), "")</f>
        <v/>
      </c>
      <c r="AB376" s="88" t="str">
        <f t="shared" si="5"/>
        <v/>
      </c>
      <c r="AC376">
        <v>363</v>
      </c>
      <c r="AE376" t="str">
        <f>IF(LISTADO_NOM!AI376="","",VLOOKUP(LISTADO_NOM!AI376,SEGUIMIENTOS,2,FALSE))</f>
        <v/>
      </c>
    </row>
    <row r="377" spans="26:31">
      <c r="Z377" s="88" t="str">
        <f>IF(LISTADO_NOM!K377="","",DATE(LISTADO_NOM!M377,LISTADO_NOM!L377,LISTADO_NOM!K377))</f>
        <v/>
      </c>
      <c r="AA377" s="88" t="str">
        <f>IFERROR(INDEX($Z$14:$Z$300, MATCH(0, INDEX(COUNTIF($AA$13:AA376, $Z$14:$Z$300), 0, 0), 0)), "")</f>
        <v/>
      </c>
      <c r="AB377" s="88" t="str">
        <f t="shared" si="5"/>
        <v/>
      </c>
      <c r="AC377">
        <v>364</v>
      </c>
      <c r="AE377" t="str">
        <f>IF(LISTADO_NOM!AI377="","",VLOOKUP(LISTADO_NOM!AI377,SEGUIMIENTOS,2,FALSE))</f>
        <v/>
      </c>
    </row>
    <row r="378" spans="26:31">
      <c r="Z378" s="88" t="str">
        <f>IF(LISTADO_NOM!K378="","",DATE(LISTADO_NOM!M378,LISTADO_NOM!L378,LISTADO_NOM!K378))</f>
        <v/>
      </c>
      <c r="AA378" s="88" t="str">
        <f>IFERROR(INDEX($Z$14:$Z$300, MATCH(0, INDEX(COUNTIF($AA$13:AA377, $Z$14:$Z$300), 0, 0), 0)), "")</f>
        <v/>
      </c>
      <c r="AB378" s="88" t="str">
        <f t="shared" si="5"/>
        <v/>
      </c>
      <c r="AC378">
        <v>365</v>
      </c>
      <c r="AE378" t="str">
        <f>IF(LISTADO_NOM!AI378="","",VLOOKUP(LISTADO_NOM!AI378,SEGUIMIENTOS,2,FALSE))</f>
        <v/>
      </c>
    </row>
    <row r="379" spans="26:31">
      <c r="Z379" s="88" t="str">
        <f>IF(LISTADO_NOM!K379="","",DATE(LISTADO_NOM!M379,LISTADO_NOM!L379,LISTADO_NOM!K379))</f>
        <v/>
      </c>
      <c r="AA379" s="88" t="str">
        <f>IFERROR(INDEX($Z$14:$Z$300, MATCH(0, INDEX(COUNTIF($AA$13:AA378, $Z$14:$Z$300), 0, 0), 0)), "")</f>
        <v/>
      </c>
      <c r="AB379" s="88" t="str">
        <f t="shared" si="5"/>
        <v/>
      </c>
      <c r="AC379">
        <v>366</v>
      </c>
      <c r="AE379" t="str">
        <f>IF(LISTADO_NOM!AI379="","",VLOOKUP(LISTADO_NOM!AI379,SEGUIMIENTOS,2,FALSE))</f>
        <v/>
      </c>
    </row>
    <row r="380" spans="26:31">
      <c r="Z380" s="88" t="str">
        <f>IF(LISTADO_NOM!K380="","",DATE(LISTADO_NOM!M380,LISTADO_NOM!L380,LISTADO_NOM!K380))</f>
        <v/>
      </c>
      <c r="AA380" s="88" t="str">
        <f>IFERROR(INDEX($Z$14:$Z$300, MATCH(0, INDEX(COUNTIF($AA$13:AA379, $Z$14:$Z$300), 0, 0), 0)), "")</f>
        <v/>
      </c>
      <c r="AB380" s="88" t="str">
        <f t="shared" si="5"/>
        <v/>
      </c>
      <c r="AC380">
        <v>367</v>
      </c>
      <c r="AE380" t="str">
        <f>IF(LISTADO_NOM!AI380="","",VLOOKUP(LISTADO_NOM!AI380,SEGUIMIENTOS,2,FALSE))</f>
        <v/>
      </c>
    </row>
    <row r="381" spans="26:31">
      <c r="Z381" s="88" t="str">
        <f>IF(LISTADO_NOM!K381="","",DATE(LISTADO_NOM!M381,LISTADO_NOM!L381,LISTADO_NOM!K381))</f>
        <v/>
      </c>
      <c r="AA381" s="88" t="str">
        <f>IFERROR(INDEX($Z$14:$Z$300, MATCH(0, INDEX(COUNTIF($AA$13:AA380, $Z$14:$Z$300), 0, 0), 0)), "")</f>
        <v/>
      </c>
      <c r="AB381" s="88" t="str">
        <f t="shared" si="5"/>
        <v/>
      </c>
      <c r="AC381">
        <v>368</v>
      </c>
      <c r="AE381" t="str">
        <f>IF(LISTADO_NOM!AI381="","",VLOOKUP(LISTADO_NOM!AI381,SEGUIMIENTOS,2,FALSE))</f>
        <v/>
      </c>
    </row>
    <row r="382" spans="26:31">
      <c r="Z382" s="88" t="str">
        <f>IF(LISTADO_NOM!K382="","",DATE(LISTADO_NOM!M382,LISTADO_NOM!L382,LISTADO_NOM!K382))</f>
        <v/>
      </c>
      <c r="AA382" s="88" t="str">
        <f>IFERROR(INDEX($Z$14:$Z$300, MATCH(0, INDEX(COUNTIF($AA$13:AA381, $Z$14:$Z$300), 0, 0), 0)), "")</f>
        <v/>
      </c>
      <c r="AB382" s="88" t="str">
        <f t="shared" si="5"/>
        <v/>
      </c>
      <c r="AC382">
        <v>369</v>
      </c>
      <c r="AE382" t="str">
        <f>IF(LISTADO_NOM!AI382="","",VLOOKUP(LISTADO_NOM!AI382,SEGUIMIENTOS,2,FALSE))</f>
        <v/>
      </c>
    </row>
    <row r="383" spans="26:31">
      <c r="Z383" s="88" t="str">
        <f>IF(LISTADO_NOM!K383="","",DATE(LISTADO_NOM!M383,LISTADO_NOM!L383,LISTADO_NOM!K383))</f>
        <v/>
      </c>
      <c r="AA383" s="88" t="str">
        <f>IFERROR(INDEX($Z$14:$Z$300, MATCH(0, INDEX(COUNTIF($AA$13:AA382, $Z$14:$Z$300), 0, 0), 0)), "")</f>
        <v/>
      </c>
      <c r="AB383" s="88" t="str">
        <f t="shared" si="5"/>
        <v/>
      </c>
      <c r="AC383">
        <v>370</v>
      </c>
      <c r="AE383" t="str">
        <f>IF(LISTADO_NOM!AI383="","",VLOOKUP(LISTADO_NOM!AI383,SEGUIMIENTOS,2,FALSE))</f>
        <v/>
      </c>
    </row>
    <row r="384" spans="26:31">
      <c r="Z384" s="88" t="str">
        <f>IF(LISTADO_NOM!K384="","",DATE(LISTADO_NOM!M384,LISTADO_NOM!L384,LISTADO_NOM!K384))</f>
        <v/>
      </c>
      <c r="AA384" s="88" t="str">
        <f>IFERROR(INDEX($Z$14:$Z$300, MATCH(0, INDEX(COUNTIF($AA$13:AA383, $Z$14:$Z$300), 0, 0), 0)), "")</f>
        <v/>
      </c>
      <c r="AB384" s="88" t="str">
        <f t="shared" si="5"/>
        <v/>
      </c>
      <c r="AC384">
        <v>371</v>
      </c>
      <c r="AE384" t="str">
        <f>IF(LISTADO_NOM!AI384="","",VLOOKUP(LISTADO_NOM!AI384,SEGUIMIENTOS,2,FALSE))</f>
        <v/>
      </c>
    </row>
    <row r="385" spans="26:31">
      <c r="Z385" s="88" t="str">
        <f>IF(LISTADO_NOM!K385="","",DATE(LISTADO_NOM!M385,LISTADO_NOM!L385,LISTADO_NOM!K385))</f>
        <v/>
      </c>
      <c r="AA385" s="88" t="str">
        <f>IFERROR(INDEX($Z$14:$Z$300, MATCH(0, INDEX(COUNTIF($AA$13:AA384, $Z$14:$Z$300), 0, 0), 0)), "")</f>
        <v/>
      </c>
      <c r="AB385" s="88" t="str">
        <f t="shared" si="5"/>
        <v/>
      </c>
      <c r="AC385">
        <v>372</v>
      </c>
      <c r="AE385" t="str">
        <f>IF(LISTADO_NOM!AI385="","",VLOOKUP(LISTADO_NOM!AI385,SEGUIMIENTOS,2,FALSE))</f>
        <v/>
      </c>
    </row>
    <row r="386" spans="26:31">
      <c r="Z386" s="88" t="str">
        <f>IF(LISTADO_NOM!K386="","",DATE(LISTADO_NOM!M386,LISTADO_NOM!L386,LISTADO_NOM!K386))</f>
        <v/>
      </c>
      <c r="AA386" s="88" t="str">
        <f>IFERROR(INDEX($Z$14:$Z$300, MATCH(0, INDEX(COUNTIF($AA$13:AA385, $Z$14:$Z$300), 0, 0), 0)), "")</f>
        <v/>
      </c>
      <c r="AB386" s="88" t="str">
        <f t="shared" si="5"/>
        <v/>
      </c>
      <c r="AC386">
        <v>373</v>
      </c>
      <c r="AE386" t="str">
        <f>IF(LISTADO_NOM!AI386="","",VLOOKUP(LISTADO_NOM!AI386,SEGUIMIENTOS,2,FALSE))</f>
        <v/>
      </c>
    </row>
    <row r="387" spans="26:31">
      <c r="Z387" s="88" t="str">
        <f>IF(LISTADO_NOM!K387="","",DATE(LISTADO_NOM!M387,LISTADO_NOM!L387,LISTADO_NOM!K387))</f>
        <v/>
      </c>
      <c r="AA387" s="88" t="str">
        <f>IFERROR(INDEX($Z$14:$Z$300, MATCH(0, INDEX(COUNTIF($AA$13:AA386, $Z$14:$Z$300), 0, 0), 0)), "")</f>
        <v/>
      </c>
      <c r="AB387" s="88" t="str">
        <f t="shared" si="5"/>
        <v/>
      </c>
      <c r="AC387">
        <v>374</v>
      </c>
      <c r="AE387" t="str">
        <f>IF(LISTADO_NOM!AI387="","",VLOOKUP(LISTADO_NOM!AI387,SEGUIMIENTOS,2,FALSE))</f>
        <v/>
      </c>
    </row>
    <row r="388" spans="26:31">
      <c r="Z388" s="88" t="str">
        <f>IF(LISTADO_NOM!K388="","",DATE(LISTADO_NOM!M388,LISTADO_NOM!L388,LISTADO_NOM!K388))</f>
        <v/>
      </c>
      <c r="AA388" s="88" t="str">
        <f>IFERROR(INDEX($Z$14:$Z$300, MATCH(0, INDEX(COUNTIF($AA$13:AA387, $Z$14:$Z$300), 0, 0), 0)), "")</f>
        <v/>
      </c>
      <c r="AB388" s="88" t="str">
        <f t="shared" si="5"/>
        <v/>
      </c>
      <c r="AC388">
        <v>375</v>
      </c>
      <c r="AE388" t="str">
        <f>IF(LISTADO_NOM!AI388="","",VLOOKUP(LISTADO_NOM!AI388,SEGUIMIENTOS,2,FALSE))</f>
        <v/>
      </c>
    </row>
    <row r="389" spans="26:31">
      <c r="Z389" s="88" t="str">
        <f>IF(LISTADO_NOM!K389="","",DATE(LISTADO_NOM!M389,LISTADO_NOM!L389,LISTADO_NOM!K389))</f>
        <v/>
      </c>
      <c r="AA389" s="88" t="str">
        <f>IFERROR(INDEX($Z$14:$Z$300, MATCH(0, INDEX(COUNTIF($AA$13:AA388, $Z$14:$Z$300), 0, 0), 0)), "")</f>
        <v/>
      </c>
      <c r="AB389" s="88" t="str">
        <f t="shared" si="5"/>
        <v/>
      </c>
      <c r="AC389">
        <v>376</v>
      </c>
      <c r="AE389" t="str">
        <f>IF(LISTADO_NOM!AI389="","",VLOOKUP(LISTADO_NOM!AI389,SEGUIMIENTOS,2,FALSE))</f>
        <v/>
      </c>
    </row>
    <row r="390" spans="26:31">
      <c r="Z390" s="88" t="str">
        <f>IF(LISTADO_NOM!K390="","",DATE(LISTADO_NOM!M390,LISTADO_NOM!L390,LISTADO_NOM!K390))</f>
        <v/>
      </c>
      <c r="AA390" s="88" t="str">
        <f>IFERROR(INDEX($Z$14:$Z$300, MATCH(0, INDEX(COUNTIF($AA$13:AA389, $Z$14:$Z$300), 0, 0), 0)), "")</f>
        <v/>
      </c>
      <c r="AB390" s="88" t="str">
        <f t="shared" si="5"/>
        <v/>
      </c>
      <c r="AC390">
        <v>377</v>
      </c>
      <c r="AE390" t="str">
        <f>IF(LISTADO_NOM!AI390="","",VLOOKUP(LISTADO_NOM!AI390,SEGUIMIENTOS,2,FALSE))</f>
        <v/>
      </c>
    </row>
    <row r="391" spans="26:31">
      <c r="Z391" s="88" t="str">
        <f>IF(LISTADO_NOM!K391="","",DATE(LISTADO_NOM!M391,LISTADO_NOM!L391,LISTADO_NOM!K391))</f>
        <v/>
      </c>
      <c r="AA391" s="88" t="str">
        <f>IFERROR(INDEX($Z$14:$Z$300, MATCH(0, INDEX(COUNTIF($AA$13:AA390, $Z$14:$Z$300), 0, 0), 0)), "")</f>
        <v/>
      </c>
      <c r="AB391" s="88" t="str">
        <f t="shared" si="5"/>
        <v/>
      </c>
      <c r="AC391">
        <v>378</v>
      </c>
      <c r="AE391" t="str">
        <f>IF(LISTADO_NOM!AI391="","",VLOOKUP(LISTADO_NOM!AI391,SEGUIMIENTOS,2,FALSE))</f>
        <v/>
      </c>
    </row>
    <row r="392" spans="26:31">
      <c r="Z392" s="88" t="str">
        <f>IF(LISTADO_NOM!K392="","",DATE(LISTADO_NOM!M392,LISTADO_NOM!L392,LISTADO_NOM!K392))</f>
        <v/>
      </c>
      <c r="AA392" s="88" t="str">
        <f>IFERROR(INDEX($Z$14:$Z$300, MATCH(0, INDEX(COUNTIF($AA$13:AA391, $Z$14:$Z$300), 0, 0), 0)), "")</f>
        <v/>
      </c>
      <c r="AB392" s="88" t="str">
        <f t="shared" si="5"/>
        <v/>
      </c>
      <c r="AC392">
        <v>379</v>
      </c>
      <c r="AE392" t="str">
        <f>IF(LISTADO_NOM!AI392="","",VLOOKUP(LISTADO_NOM!AI392,SEGUIMIENTOS,2,FALSE))</f>
        <v/>
      </c>
    </row>
    <row r="393" spans="26:31">
      <c r="Z393" s="88" t="str">
        <f>IF(LISTADO_NOM!K393="","",DATE(LISTADO_NOM!M393,LISTADO_NOM!L393,LISTADO_NOM!K393))</f>
        <v/>
      </c>
      <c r="AA393" s="88" t="str">
        <f>IFERROR(INDEX($Z$14:$Z$300, MATCH(0, INDEX(COUNTIF($AA$13:AA392, $Z$14:$Z$300), 0, 0), 0)), "")</f>
        <v/>
      </c>
      <c r="AB393" s="88" t="str">
        <f t="shared" si="5"/>
        <v/>
      </c>
      <c r="AC393">
        <v>380</v>
      </c>
      <c r="AE393" t="str">
        <f>IF(LISTADO_NOM!AI393="","",VLOOKUP(LISTADO_NOM!AI393,SEGUIMIENTOS,2,FALSE))</f>
        <v/>
      </c>
    </row>
    <row r="394" spans="26:31">
      <c r="Z394" s="88" t="str">
        <f>IF(LISTADO_NOM!K394="","",DATE(LISTADO_NOM!M394,LISTADO_NOM!L394,LISTADO_NOM!K394))</f>
        <v/>
      </c>
      <c r="AA394" s="88" t="str">
        <f>IFERROR(INDEX($Z$14:$Z$300, MATCH(0, INDEX(COUNTIF($AA$13:AA393, $Z$14:$Z$300), 0, 0), 0)), "")</f>
        <v/>
      </c>
      <c r="AB394" s="88" t="str">
        <f t="shared" si="5"/>
        <v/>
      </c>
      <c r="AC394">
        <v>381</v>
      </c>
      <c r="AE394" t="str">
        <f>IF(LISTADO_NOM!AI394="","",VLOOKUP(LISTADO_NOM!AI394,SEGUIMIENTOS,2,FALSE))</f>
        <v/>
      </c>
    </row>
    <row r="395" spans="26:31">
      <c r="Z395" s="88" t="str">
        <f>IF(LISTADO_NOM!K395="","",DATE(LISTADO_NOM!M395,LISTADO_NOM!L395,LISTADO_NOM!K395))</f>
        <v/>
      </c>
      <c r="AA395" s="88" t="str">
        <f>IFERROR(INDEX($Z$14:$Z$300, MATCH(0, INDEX(COUNTIF($AA$13:AA394, $Z$14:$Z$300), 0, 0), 0)), "")</f>
        <v/>
      </c>
      <c r="AB395" s="88" t="str">
        <f t="shared" si="5"/>
        <v/>
      </c>
      <c r="AC395">
        <v>382</v>
      </c>
      <c r="AE395" t="str">
        <f>IF(LISTADO_NOM!AI395="","",VLOOKUP(LISTADO_NOM!AI395,SEGUIMIENTOS,2,FALSE))</f>
        <v/>
      </c>
    </row>
    <row r="396" spans="26:31">
      <c r="Z396" s="88" t="str">
        <f>IF(LISTADO_NOM!K396="","",DATE(LISTADO_NOM!M396,LISTADO_NOM!L396,LISTADO_NOM!K396))</f>
        <v/>
      </c>
      <c r="AA396" s="88" t="str">
        <f>IFERROR(INDEX($Z$14:$Z$300, MATCH(0, INDEX(COUNTIF($AA$13:AA395, $Z$14:$Z$300), 0, 0), 0)), "")</f>
        <v/>
      </c>
      <c r="AB396" s="88" t="str">
        <f t="shared" si="5"/>
        <v/>
      </c>
      <c r="AC396">
        <v>383</v>
      </c>
      <c r="AE396" t="str">
        <f>IF(LISTADO_NOM!AI396="","",VLOOKUP(LISTADO_NOM!AI396,SEGUIMIENTOS,2,FALSE))</f>
        <v/>
      </c>
    </row>
    <row r="397" spans="26:31">
      <c r="Z397" s="88" t="str">
        <f>IF(LISTADO_NOM!K397="","",DATE(LISTADO_NOM!M397,LISTADO_NOM!L397,LISTADO_NOM!K397))</f>
        <v/>
      </c>
      <c r="AA397" s="88" t="str">
        <f>IFERROR(INDEX($Z$14:$Z$300, MATCH(0, INDEX(COUNTIF($AA$13:AA396, $Z$14:$Z$300), 0, 0), 0)), "")</f>
        <v/>
      </c>
      <c r="AB397" s="88" t="str">
        <f t="shared" si="5"/>
        <v/>
      </c>
      <c r="AC397">
        <v>384</v>
      </c>
      <c r="AE397" t="str">
        <f>IF(LISTADO_NOM!AI397="","",VLOOKUP(LISTADO_NOM!AI397,SEGUIMIENTOS,2,FALSE))</f>
        <v/>
      </c>
    </row>
    <row r="398" spans="26:31">
      <c r="Z398" s="88" t="str">
        <f>IF(LISTADO_NOM!K398="","",DATE(LISTADO_NOM!M398,LISTADO_NOM!L398,LISTADO_NOM!K398))</f>
        <v/>
      </c>
      <c r="AA398" s="88" t="str">
        <f>IFERROR(INDEX($Z$14:$Z$300, MATCH(0, INDEX(COUNTIF($AA$13:AA397, $Z$14:$Z$300), 0, 0), 0)), "")</f>
        <v/>
      </c>
      <c r="AB398" s="88" t="str">
        <f t="shared" ref="AB398:AB461" si="6">IF(AA398="","",SMALL(ORDENA_,AC398))</f>
        <v/>
      </c>
      <c r="AC398">
        <v>385</v>
      </c>
      <c r="AE398" t="str">
        <f>IF(LISTADO_NOM!AI398="","",VLOOKUP(LISTADO_NOM!AI398,SEGUIMIENTOS,2,FALSE))</f>
        <v/>
      </c>
    </row>
    <row r="399" spans="26:31">
      <c r="Z399" s="88" t="str">
        <f>IF(LISTADO_NOM!K399="","",DATE(LISTADO_NOM!M399,LISTADO_NOM!L399,LISTADO_NOM!K399))</f>
        <v/>
      </c>
      <c r="AA399" s="88" t="str">
        <f>IFERROR(INDEX($Z$14:$Z$300, MATCH(0, INDEX(COUNTIF($AA$13:AA398, $Z$14:$Z$300), 0, 0), 0)), "")</f>
        <v/>
      </c>
      <c r="AB399" s="88" t="str">
        <f t="shared" si="6"/>
        <v/>
      </c>
      <c r="AC399">
        <v>386</v>
      </c>
      <c r="AE399" t="str">
        <f>IF(LISTADO_NOM!AI399="","",VLOOKUP(LISTADO_NOM!AI399,SEGUIMIENTOS,2,FALSE))</f>
        <v/>
      </c>
    </row>
    <row r="400" spans="26:31">
      <c r="Z400" s="88" t="str">
        <f>IF(LISTADO_NOM!K400="","",DATE(LISTADO_NOM!M400,LISTADO_NOM!L400,LISTADO_NOM!K400))</f>
        <v/>
      </c>
      <c r="AA400" s="88" t="str">
        <f>IFERROR(INDEX($Z$14:$Z$300, MATCH(0, INDEX(COUNTIF($AA$13:AA399, $Z$14:$Z$300), 0, 0), 0)), "")</f>
        <v/>
      </c>
      <c r="AB400" s="88" t="str">
        <f t="shared" si="6"/>
        <v/>
      </c>
      <c r="AC400">
        <v>387</v>
      </c>
      <c r="AE400" t="str">
        <f>IF(LISTADO_NOM!AI400="","",VLOOKUP(LISTADO_NOM!AI400,SEGUIMIENTOS,2,FALSE))</f>
        <v/>
      </c>
    </row>
    <row r="401" spans="26:31">
      <c r="Z401" s="88" t="str">
        <f>IF(LISTADO_NOM!K401="","",DATE(LISTADO_NOM!M401,LISTADO_NOM!L401,LISTADO_NOM!K401))</f>
        <v/>
      </c>
      <c r="AA401" s="88" t="str">
        <f>IFERROR(INDEX($Z$14:$Z$300, MATCH(0, INDEX(COUNTIF($AA$13:AA400, $Z$14:$Z$300), 0, 0), 0)), "")</f>
        <v/>
      </c>
      <c r="AB401" s="88" t="str">
        <f t="shared" si="6"/>
        <v/>
      </c>
      <c r="AC401">
        <v>388</v>
      </c>
      <c r="AE401" t="str">
        <f>IF(LISTADO_NOM!AI401="","",VLOOKUP(LISTADO_NOM!AI401,SEGUIMIENTOS,2,FALSE))</f>
        <v/>
      </c>
    </row>
    <row r="402" spans="26:31">
      <c r="Z402" s="88" t="str">
        <f>IF(LISTADO_NOM!K402="","",DATE(LISTADO_NOM!M402,LISTADO_NOM!L402,LISTADO_NOM!K402))</f>
        <v/>
      </c>
      <c r="AA402" s="88" t="str">
        <f>IFERROR(INDEX($Z$14:$Z$300, MATCH(0, INDEX(COUNTIF($AA$13:AA401, $Z$14:$Z$300), 0, 0), 0)), "")</f>
        <v/>
      </c>
      <c r="AB402" s="88" t="str">
        <f t="shared" si="6"/>
        <v/>
      </c>
      <c r="AC402">
        <v>389</v>
      </c>
      <c r="AE402" t="str">
        <f>IF(LISTADO_NOM!AI402="","",VLOOKUP(LISTADO_NOM!AI402,SEGUIMIENTOS,2,FALSE))</f>
        <v/>
      </c>
    </row>
    <row r="403" spans="26:31">
      <c r="Z403" s="88" t="str">
        <f>IF(LISTADO_NOM!K403="","",DATE(LISTADO_NOM!M403,LISTADO_NOM!L403,LISTADO_NOM!K403))</f>
        <v/>
      </c>
      <c r="AA403" s="88" t="str">
        <f>IFERROR(INDEX($Z$14:$Z$300, MATCH(0, INDEX(COUNTIF($AA$13:AA402, $Z$14:$Z$300), 0, 0), 0)), "")</f>
        <v/>
      </c>
      <c r="AB403" s="88" t="str">
        <f t="shared" si="6"/>
        <v/>
      </c>
      <c r="AC403">
        <v>390</v>
      </c>
      <c r="AE403" t="str">
        <f>IF(LISTADO_NOM!AI403="","",VLOOKUP(LISTADO_NOM!AI403,SEGUIMIENTOS,2,FALSE))</f>
        <v/>
      </c>
    </row>
    <row r="404" spans="26:31">
      <c r="Z404" s="88" t="str">
        <f>IF(LISTADO_NOM!K404="","",DATE(LISTADO_NOM!M404,LISTADO_NOM!L404,LISTADO_NOM!K404))</f>
        <v/>
      </c>
      <c r="AA404" s="88" t="str">
        <f>IFERROR(INDEX($Z$14:$Z$300, MATCH(0, INDEX(COUNTIF($AA$13:AA403, $Z$14:$Z$300), 0, 0), 0)), "")</f>
        <v/>
      </c>
      <c r="AB404" s="88" t="str">
        <f t="shared" si="6"/>
        <v/>
      </c>
      <c r="AC404">
        <v>391</v>
      </c>
      <c r="AE404" t="str">
        <f>IF(LISTADO_NOM!AI404="","",VLOOKUP(LISTADO_NOM!AI404,SEGUIMIENTOS,2,FALSE))</f>
        <v/>
      </c>
    </row>
    <row r="405" spans="26:31">
      <c r="Z405" s="88" t="str">
        <f>IF(LISTADO_NOM!K405="","",DATE(LISTADO_NOM!M405,LISTADO_NOM!L405,LISTADO_NOM!K405))</f>
        <v/>
      </c>
      <c r="AA405" s="88" t="str">
        <f>IFERROR(INDEX($Z$14:$Z$300, MATCH(0, INDEX(COUNTIF($AA$13:AA404, $Z$14:$Z$300), 0, 0), 0)), "")</f>
        <v/>
      </c>
      <c r="AB405" s="88" t="str">
        <f t="shared" si="6"/>
        <v/>
      </c>
      <c r="AC405">
        <v>392</v>
      </c>
      <c r="AE405" t="str">
        <f>IF(LISTADO_NOM!AI405="","",VLOOKUP(LISTADO_NOM!AI405,SEGUIMIENTOS,2,FALSE))</f>
        <v/>
      </c>
    </row>
    <row r="406" spans="26:31">
      <c r="Z406" s="88" t="str">
        <f>IF(LISTADO_NOM!K406="","",DATE(LISTADO_NOM!M406,LISTADO_NOM!L406,LISTADO_NOM!K406))</f>
        <v/>
      </c>
      <c r="AA406" s="88" t="str">
        <f>IFERROR(INDEX($Z$14:$Z$300, MATCH(0, INDEX(COUNTIF($AA$13:AA405, $Z$14:$Z$300), 0, 0), 0)), "")</f>
        <v/>
      </c>
      <c r="AB406" s="88" t="str">
        <f t="shared" si="6"/>
        <v/>
      </c>
      <c r="AC406">
        <v>393</v>
      </c>
      <c r="AE406" t="str">
        <f>IF(LISTADO_NOM!AI406="","",VLOOKUP(LISTADO_NOM!AI406,SEGUIMIENTOS,2,FALSE))</f>
        <v/>
      </c>
    </row>
    <row r="407" spans="26:31">
      <c r="Z407" s="88" t="str">
        <f>IF(LISTADO_NOM!K407="","",DATE(LISTADO_NOM!M407,LISTADO_NOM!L407,LISTADO_NOM!K407))</f>
        <v/>
      </c>
      <c r="AA407" s="88" t="str">
        <f>IFERROR(INDEX($Z$14:$Z$300, MATCH(0, INDEX(COUNTIF($AA$13:AA406, $Z$14:$Z$300), 0, 0), 0)), "")</f>
        <v/>
      </c>
      <c r="AB407" s="88" t="str">
        <f t="shared" si="6"/>
        <v/>
      </c>
      <c r="AC407">
        <v>394</v>
      </c>
      <c r="AE407" t="str">
        <f>IF(LISTADO_NOM!AI407="","",VLOOKUP(LISTADO_NOM!AI407,SEGUIMIENTOS,2,FALSE))</f>
        <v/>
      </c>
    </row>
    <row r="408" spans="26:31">
      <c r="Z408" s="88" t="str">
        <f>IF(LISTADO_NOM!K408="","",DATE(LISTADO_NOM!M408,LISTADO_NOM!L408,LISTADO_NOM!K408))</f>
        <v/>
      </c>
      <c r="AA408" s="88" t="str">
        <f>IFERROR(INDEX($Z$14:$Z$300, MATCH(0, INDEX(COUNTIF($AA$13:AA407, $Z$14:$Z$300), 0, 0), 0)), "")</f>
        <v/>
      </c>
      <c r="AB408" s="88" t="str">
        <f t="shared" si="6"/>
        <v/>
      </c>
      <c r="AC408">
        <v>395</v>
      </c>
      <c r="AE408" t="str">
        <f>IF(LISTADO_NOM!AI408="","",VLOOKUP(LISTADO_NOM!AI408,SEGUIMIENTOS,2,FALSE))</f>
        <v/>
      </c>
    </row>
    <row r="409" spans="26:31">
      <c r="Z409" s="88" t="str">
        <f>IF(LISTADO_NOM!K409="","",DATE(LISTADO_NOM!M409,LISTADO_NOM!L409,LISTADO_NOM!K409))</f>
        <v/>
      </c>
      <c r="AA409" s="88" t="str">
        <f>IFERROR(INDEX($Z$14:$Z$300, MATCH(0, INDEX(COUNTIF($AA$13:AA408, $Z$14:$Z$300), 0, 0), 0)), "")</f>
        <v/>
      </c>
      <c r="AB409" s="88" t="str">
        <f t="shared" si="6"/>
        <v/>
      </c>
      <c r="AC409">
        <v>396</v>
      </c>
      <c r="AE409" t="str">
        <f>IF(LISTADO_NOM!AI409="","",VLOOKUP(LISTADO_NOM!AI409,SEGUIMIENTOS,2,FALSE))</f>
        <v/>
      </c>
    </row>
    <row r="410" spans="26:31">
      <c r="Z410" s="88" t="str">
        <f>IF(LISTADO_NOM!K410="","",DATE(LISTADO_NOM!M410,LISTADO_NOM!L410,LISTADO_NOM!K410))</f>
        <v/>
      </c>
      <c r="AA410" s="88" t="str">
        <f>IFERROR(INDEX($Z$14:$Z$300, MATCH(0, INDEX(COUNTIF($AA$13:AA409, $Z$14:$Z$300), 0, 0), 0)), "")</f>
        <v/>
      </c>
      <c r="AB410" s="88" t="str">
        <f t="shared" si="6"/>
        <v/>
      </c>
      <c r="AC410">
        <v>397</v>
      </c>
      <c r="AE410" t="str">
        <f>IF(LISTADO_NOM!AI410="","",VLOOKUP(LISTADO_NOM!AI410,SEGUIMIENTOS,2,FALSE))</f>
        <v/>
      </c>
    </row>
    <row r="411" spans="26:31">
      <c r="Z411" s="88" t="str">
        <f>IF(LISTADO_NOM!K411="","",DATE(LISTADO_NOM!M411,LISTADO_NOM!L411,LISTADO_NOM!K411))</f>
        <v/>
      </c>
      <c r="AA411" s="88" t="str">
        <f>IFERROR(INDEX($Z$14:$Z$300, MATCH(0, INDEX(COUNTIF($AA$13:AA410, $Z$14:$Z$300), 0, 0), 0)), "")</f>
        <v/>
      </c>
      <c r="AB411" s="88" t="str">
        <f t="shared" si="6"/>
        <v/>
      </c>
      <c r="AC411">
        <v>398</v>
      </c>
      <c r="AE411" t="str">
        <f>IF(LISTADO_NOM!AI411="","",VLOOKUP(LISTADO_NOM!AI411,SEGUIMIENTOS,2,FALSE))</f>
        <v/>
      </c>
    </row>
    <row r="412" spans="26:31">
      <c r="Z412" s="88" t="str">
        <f>IF(LISTADO_NOM!K412="","",DATE(LISTADO_NOM!M412,LISTADO_NOM!L412,LISTADO_NOM!K412))</f>
        <v/>
      </c>
      <c r="AA412" s="88" t="str">
        <f>IFERROR(INDEX($Z$14:$Z$300, MATCH(0, INDEX(COUNTIF($AA$13:AA411, $Z$14:$Z$300), 0, 0), 0)), "")</f>
        <v/>
      </c>
      <c r="AB412" s="88" t="str">
        <f t="shared" si="6"/>
        <v/>
      </c>
      <c r="AC412">
        <v>399</v>
      </c>
      <c r="AE412" t="str">
        <f>IF(LISTADO_NOM!AI412="","",VLOOKUP(LISTADO_NOM!AI412,SEGUIMIENTOS,2,FALSE))</f>
        <v/>
      </c>
    </row>
    <row r="413" spans="26:31">
      <c r="Z413" s="88" t="str">
        <f>IF(LISTADO_NOM!K413="","",DATE(LISTADO_NOM!M413,LISTADO_NOM!L413,LISTADO_NOM!K413))</f>
        <v/>
      </c>
      <c r="AA413" s="88" t="str">
        <f>IFERROR(INDEX($Z$14:$Z$300, MATCH(0, INDEX(COUNTIF($AA$13:AA412, $Z$14:$Z$300), 0, 0), 0)), "")</f>
        <v/>
      </c>
      <c r="AB413" s="88" t="str">
        <f t="shared" si="6"/>
        <v/>
      </c>
      <c r="AC413">
        <v>400</v>
      </c>
      <c r="AE413" t="str">
        <f>IF(LISTADO_NOM!AI413="","",VLOOKUP(LISTADO_NOM!AI413,SEGUIMIENTOS,2,FALSE))</f>
        <v/>
      </c>
    </row>
    <row r="414" spans="26:31">
      <c r="Z414" s="88" t="str">
        <f>IF(LISTADO_NOM!K414="","",DATE(LISTADO_NOM!M414,LISTADO_NOM!L414,LISTADO_NOM!K414))</f>
        <v/>
      </c>
      <c r="AA414" s="88" t="str">
        <f>IFERROR(INDEX($Z$14:$Z$300, MATCH(0, INDEX(COUNTIF($AA$13:AA413, $Z$14:$Z$300), 0, 0), 0)), "")</f>
        <v/>
      </c>
      <c r="AB414" s="88" t="str">
        <f t="shared" si="6"/>
        <v/>
      </c>
      <c r="AC414">
        <v>401</v>
      </c>
      <c r="AE414" t="str">
        <f>IF(LISTADO_NOM!AI414="","",VLOOKUP(LISTADO_NOM!AI414,SEGUIMIENTOS,2,FALSE))</f>
        <v/>
      </c>
    </row>
    <row r="415" spans="26:31">
      <c r="Z415" s="88" t="str">
        <f>IF(LISTADO_NOM!K415="","",DATE(LISTADO_NOM!M415,LISTADO_NOM!L415,LISTADO_NOM!K415))</f>
        <v/>
      </c>
      <c r="AA415" s="88" t="str">
        <f>IFERROR(INDEX($Z$14:$Z$300, MATCH(0, INDEX(COUNTIF($AA$13:AA414, $Z$14:$Z$300), 0, 0), 0)), "")</f>
        <v/>
      </c>
      <c r="AB415" s="88" t="str">
        <f t="shared" si="6"/>
        <v/>
      </c>
      <c r="AC415">
        <v>402</v>
      </c>
      <c r="AE415" t="str">
        <f>IF(LISTADO_NOM!AI415="","",VLOOKUP(LISTADO_NOM!AI415,SEGUIMIENTOS,2,FALSE))</f>
        <v/>
      </c>
    </row>
    <row r="416" spans="26:31">
      <c r="Z416" s="88" t="str">
        <f>IF(LISTADO_NOM!K416="","",DATE(LISTADO_NOM!M416,LISTADO_NOM!L416,LISTADO_NOM!K416))</f>
        <v/>
      </c>
      <c r="AA416" s="88" t="str">
        <f>IFERROR(INDEX($Z$14:$Z$300, MATCH(0, INDEX(COUNTIF($AA$13:AA415, $Z$14:$Z$300), 0, 0), 0)), "")</f>
        <v/>
      </c>
      <c r="AB416" s="88" t="str">
        <f t="shared" si="6"/>
        <v/>
      </c>
      <c r="AC416">
        <v>403</v>
      </c>
      <c r="AE416" t="str">
        <f>IF(LISTADO_NOM!AI416="","",VLOOKUP(LISTADO_NOM!AI416,SEGUIMIENTOS,2,FALSE))</f>
        <v/>
      </c>
    </row>
    <row r="417" spans="26:31">
      <c r="Z417" s="88" t="str">
        <f>IF(LISTADO_NOM!K417="","",DATE(LISTADO_NOM!M417,LISTADO_NOM!L417,LISTADO_NOM!K417))</f>
        <v/>
      </c>
      <c r="AA417" s="88" t="str">
        <f>IFERROR(INDEX($Z$14:$Z$300, MATCH(0, INDEX(COUNTIF($AA$13:AA416, $Z$14:$Z$300), 0, 0), 0)), "")</f>
        <v/>
      </c>
      <c r="AB417" s="88" t="str">
        <f t="shared" si="6"/>
        <v/>
      </c>
      <c r="AC417">
        <v>404</v>
      </c>
      <c r="AE417" t="str">
        <f>IF(LISTADO_NOM!AI417="","",VLOOKUP(LISTADO_NOM!AI417,SEGUIMIENTOS,2,FALSE))</f>
        <v/>
      </c>
    </row>
    <row r="418" spans="26:31">
      <c r="Z418" s="88" t="str">
        <f>IF(LISTADO_NOM!K418="","",DATE(LISTADO_NOM!M418,LISTADO_NOM!L418,LISTADO_NOM!K418))</f>
        <v/>
      </c>
      <c r="AA418" s="88" t="str">
        <f>IFERROR(INDEX($Z$14:$Z$300, MATCH(0, INDEX(COUNTIF($AA$13:AA417, $Z$14:$Z$300), 0, 0), 0)), "")</f>
        <v/>
      </c>
      <c r="AB418" s="88" t="str">
        <f t="shared" si="6"/>
        <v/>
      </c>
      <c r="AC418">
        <v>405</v>
      </c>
      <c r="AE418" t="str">
        <f>IF(LISTADO_NOM!AI418="","",VLOOKUP(LISTADO_NOM!AI418,SEGUIMIENTOS,2,FALSE))</f>
        <v/>
      </c>
    </row>
    <row r="419" spans="26:31">
      <c r="Z419" s="88" t="str">
        <f>IF(LISTADO_NOM!K419="","",DATE(LISTADO_NOM!M419,LISTADO_NOM!L419,LISTADO_NOM!K419))</f>
        <v/>
      </c>
      <c r="AA419" s="88" t="str">
        <f>IFERROR(INDEX($Z$14:$Z$300, MATCH(0, INDEX(COUNTIF($AA$13:AA418, $Z$14:$Z$300), 0, 0), 0)), "")</f>
        <v/>
      </c>
      <c r="AB419" s="88" t="str">
        <f t="shared" si="6"/>
        <v/>
      </c>
      <c r="AC419">
        <v>406</v>
      </c>
      <c r="AE419" t="str">
        <f>IF(LISTADO_NOM!AI419="","",VLOOKUP(LISTADO_NOM!AI419,SEGUIMIENTOS,2,FALSE))</f>
        <v/>
      </c>
    </row>
    <row r="420" spans="26:31">
      <c r="Z420" s="88" t="str">
        <f>IF(LISTADO_NOM!K420="","",DATE(LISTADO_NOM!M420,LISTADO_NOM!L420,LISTADO_NOM!K420))</f>
        <v/>
      </c>
      <c r="AA420" s="88" t="str">
        <f>IFERROR(INDEX($Z$14:$Z$300, MATCH(0, INDEX(COUNTIF($AA$13:AA419, $Z$14:$Z$300), 0, 0), 0)), "")</f>
        <v/>
      </c>
      <c r="AB420" s="88" t="str">
        <f t="shared" si="6"/>
        <v/>
      </c>
      <c r="AC420">
        <v>407</v>
      </c>
      <c r="AE420" t="str">
        <f>IF(LISTADO_NOM!AI420="","",VLOOKUP(LISTADO_NOM!AI420,SEGUIMIENTOS,2,FALSE))</f>
        <v/>
      </c>
    </row>
    <row r="421" spans="26:31">
      <c r="Z421" s="88" t="str">
        <f>IF(LISTADO_NOM!K421="","",DATE(LISTADO_NOM!M421,LISTADO_NOM!L421,LISTADO_NOM!K421))</f>
        <v/>
      </c>
      <c r="AA421" s="88" t="str">
        <f>IFERROR(INDEX($Z$14:$Z$300, MATCH(0, INDEX(COUNTIF($AA$13:AA420, $Z$14:$Z$300), 0, 0), 0)), "")</f>
        <v/>
      </c>
      <c r="AB421" s="88" t="str">
        <f t="shared" si="6"/>
        <v/>
      </c>
      <c r="AC421">
        <v>408</v>
      </c>
      <c r="AE421" t="str">
        <f>IF(LISTADO_NOM!AI421="","",VLOOKUP(LISTADO_NOM!AI421,SEGUIMIENTOS,2,FALSE))</f>
        <v/>
      </c>
    </row>
    <row r="422" spans="26:31">
      <c r="Z422" s="88" t="str">
        <f>IF(LISTADO_NOM!K422="","",DATE(LISTADO_NOM!M422,LISTADO_NOM!L422,LISTADO_NOM!K422))</f>
        <v/>
      </c>
      <c r="AA422" s="88" t="str">
        <f>IFERROR(INDEX($Z$14:$Z$300, MATCH(0, INDEX(COUNTIF($AA$13:AA421, $Z$14:$Z$300), 0, 0), 0)), "")</f>
        <v/>
      </c>
      <c r="AB422" s="88" t="str">
        <f t="shared" si="6"/>
        <v/>
      </c>
      <c r="AC422">
        <v>409</v>
      </c>
      <c r="AE422" t="str">
        <f>IF(LISTADO_NOM!AI422="","",VLOOKUP(LISTADO_NOM!AI422,SEGUIMIENTOS,2,FALSE))</f>
        <v/>
      </c>
    </row>
    <row r="423" spans="26:31">
      <c r="Z423" s="88" t="str">
        <f>IF(LISTADO_NOM!K423="","",DATE(LISTADO_NOM!M423,LISTADO_NOM!L423,LISTADO_NOM!K423))</f>
        <v/>
      </c>
      <c r="AA423" s="88" t="str">
        <f>IFERROR(INDEX($Z$14:$Z$300, MATCH(0, INDEX(COUNTIF($AA$13:AA422, $Z$14:$Z$300), 0, 0), 0)), "")</f>
        <v/>
      </c>
      <c r="AB423" s="88" t="str">
        <f t="shared" si="6"/>
        <v/>
      </c>
      <c r="AC423">
        <v>410</v>
      </c>
      <c r="AE423" t="str">
        <f>IF(LISTADO_NOM!AI423="","",VLOOKUP(LISTADO_NOM!AI423,SEGUIMIENTOS,2,FALSE))</f>
        <v/>
      </c>
    </row>
    <row r="424" spans="26:31">
      <c r="Z424" s="88" t="str">
        <f>IF(LISTADO_NOM!K424="","",DATE(LISTADO_NOM!M424,LISTADO_NOM!L424,LISTADO_NOM!K424))</f>
        <v/>
      </c>
      <c r="AA424" s="88" t="str">
        <f>IFERROR(INDEX($Z$14:$Z$300, MATCH(0, INDEX(COUNTIF($AA$13:AA423, $Z$14:$Z$300), 0, 0), 0)), "")</f>
        <v/>
      </c>
      <c r="AB424" s="88" t="str">
        <f t="shared" si="6"/>
        <v/>
      </c>
      <c r="AC424">
        <v>411</v>
      </c>
      <c r="AE424" t="str">
        <f>IF(LISTADO_NOM!AI424="","",VLOOKUP(LISTADO_NOM!AI424,SEGUIMIENTOS,2,FALSE))</f>
        <v/>
      </c>
    </row>
    <row r="425" spans="26:31">
      <c r="Z425" s="88" t="str">
        <f>IF(LISTADO_NOM!K425="","",DATE(LISTADO_NOM!M425,LISTADO_NOM!L425,LISTADO_NOM!K425))</f>
        <v/>
      </c>
      <c r="AA425" s="88" t="str">
        <f>IFERROR(INDEX($Z$14:$Z$300, MATCH(0, INDEX(COUNTIF($AA$13:AA424, $Z$14:$Z$300), 0, 0), 0)), "")</f>
        <v/>
      </c>
      <c r="AB425" s="88" t="str">
        <f t="shared" si="6"/>
        <v/>
      </c>
      <c r="AC425">
        <v>412</v>
      </c>
      <c r="AE425" t="str">
        <f>IF(LISTADO_NOM!AI425="","",VLOOKUP(LISTADO_NOM!AI425,SEGUIMIENTOS,2,FALSE))</f>
        <v/>
      </c>
    </row>
    <row r="426" spans="26:31">
      <c r="Z426" s="88" t="str">
        <f>IF(LISTADO_NOM!K426="","",DATE(LISTADO_NOM!M426,LISTADO_NOM!L426,LISTADO_NOM!K426))</f>
        <v/>
      </c>
      <c r="AA426" s="88" t="str">
        <f>IFERROR(INDEX($Z$14:$Z$300, MATCH(0, INDEX(COUNTIF($AA$13:AA425, $Z$14:$Z$300), 0, 0), 0)), "")</f>
        <v/>
      </c>
      <c r="AB426" s="88" t="str">
        <f t="shared" si="6"/>
        <v/>
      </c>
      <c r="AC426">
        <v>413</v>
      </c>
      <c r="AE426" t="str">
        <f>IF(LISTADO_NOM!AI426="","",VLOOKUP(LISTADO_NOM!AI426,SEGUIMIENTOS,2,FALSE))</f>
        <v/>
      </c>
    </row>
    <row r="427" spans="26:31">
      <c r="Z427" s="88" t="str">
        <f>IF(LISTADO_NOM!K427="","",DATE(LISTADO_NOM!M427,LISTADO_NOM!L427,LISTADO_NOM!K427))</f>
        <v/>
      </c>
      <c r="AA427" s="88" t="str">
        <f>IFERROR(INDEX($Z$14:$Z$300, MATCH(0, INDEX(COUNTIF($AA$13:AA426, $Z$14:$Z$300), 0, 0), 0)), "")</f>
        <v/>
      </c>
      <c r="AB427" s="88" t="str">
        <f t="shared" si="6"/>
        <v/>
      </c>
      <c r="AC427">
        <v>414</v>
      </c>
      <c r="AE427" t="str">
        <f>IF(LISTADO_NOM!AI427="","",VLOOKUP(LISTADO_NOM!AI427,SEGUIMIENTOS,2,FALSE))</f>
        <v/>
      </c>
    </row>
    <row r="428" spans="26:31">
      <c r="Z428" s="88" t="str">
        <f>IF(LISTADO_NOM!K428="","",DATE(LISTADO_NOM!M428,LISTADO_NOM!L428,LISTADO_NOM!K428))</f>
        <v/>
      </c>
      <c r="AA428" s="88" t="str">
        <f>IFERROR(INDEX($Z$14:$Z$300, MATCH(0, INDEX(COUNTIF($AA$13:AA427, $Z$14:$Z$300), 0, 0), 0)), "")</f>
        <v/>
      </c>
      <c r="AB428" s="88" t="str">
        <f t="shared" si="6"/>
        <v/>
      </c>
      <c r="AC428">
        <v>415</v>
      </c>
      <c r="AE428" t="str">
        <f>IF(LISTADO_NOM!AI428="","",VLOOKUP(LISTADO_NOM!AI428,SEGUIMIENTOS,2,FALSE))</f>
        <v/>
      </c>
    </row>
    <row r="429" spans="26:31">
      <c r="Z429" s="88" t="str">
        <f>IF(LISTADO_NOM!K429="","",DATE(LISTADO_NOM!M429,LISTADO_NOM!L429,LISTADO_NOM!K429))</f>
        <v/>
      </c>
      <c r="AA429" s="88" t="str">
        <f>IFERROR(INDEX($Z$14:$Z$300, MATCH(0, INDEX(COUNTIF($AA$13:AA428, $Z$14:$Z$300), 0, 0), 0)), "")</f>
        <v/>
      </c>
      <c r="AB429" s="88" t="str">
        <f t="shared" si="6"/>
        <v/>
      </c>
      <c r="AC429">
        <v>416</v>
      </c>
      <c r="AE429" t="str">
        <f>IF(LISTADO_NOM!AI429="","",VLOOKUP(LISTADO_NOM!AI429,SEGUIMIENTOS,2,FALSE))</f>
        <v/>
      </c>
    </row>
    <row r="430" spans="26:31">
      <c r="Z430" s="88" t="str">
        <f>IF(LISTADO_NOM!K430="","",DATE(LISTADO_NOM!M430,LISTADO_NOM!L430,LISTADO_NOM!K430))</f>
        <v/>
      </c>
      <c r="AA430" s="88" t="str">
        <f>IFERROR(INDEX($Z$14:$Z$300, MATCH(0, INDEX(COUNTIF($AA$13:AA429, $Z$14:$Z$300), 0, 0), 0)), "")</f>
        <v/>
      </c>
      <c r="AB430" s="88" t="str">
        <f t="shared" si="6"/>
        <v/>
      </c>
      <c r="AC430">
        <v>417</v>
      </c>
      <c r="AE430" t="str">
        <f>IF(LISTADO_NOM!AI430="","",VLOOKUP(LISTADO_NOM!AI430,SEGUIMIENTOS,2,FALSE))</f>
        <v/>
      </c>
    </row>
    <row r="431" spans="26:31">
      <c r="Z431" s="88" t="str">
        <f>IF(LISTADO_NOM!K431="","",DATE(LISTADO_NOM!M431,LISTADO_NOM!L431,LISTADO_NOM!K431))</f>
        <v/>
      </c>
      <c r="AA431" s="88" t="str">
        <f>IFERROR(INDEX($Z$14:$Z$300, MATCH(0, INDEX(COUNTIF($AA$13:AA430, $Z$14:$Z$300), 0, 0), 0)), "")</f>
        <v/>
      </c>
      <c r="AB431" s="88" t="str">
        <f t="shared" si="6"/>
        <v/>
      </c>
      <c r="AC431">
        <v>418</v>
      </c>
      <c r="AE431" t="str">
        <f>IF(LISTADO_NOM!AI431="","",VLOOKUP(LISTADO_NOM!AI431,SEGUIMIENTOS,2,FALSE))</f>
        <v/>
      </c>
    </row>
    <row r="432" spans="26:31">
      <c r="Z432" s="88" t="str">
        <f>IF(LISTADO_NOM!K432="","",DATE(LISTADO_NOM!M432,LISTADO_NOM!L432,LISTADO_NOM!K432))</f>
        <v/>
      </c>
      <c r="AA432" s="88" t="str">
        <f>IFERROR(INDEX($Z$14:$Z$300, MATCH(0, INDEX(COUNTIF($AA$13:AA431, $Z$14:$Z$300), 0, 0), 0)), "")</f>
        <v/>
      </c>
      <c r="AB432" s="88" t="str">
        <f t="shared" si="6"/>
        <v/>
      </c>
      <c r="AC432">
        <v>419</v>
      </c>
      <c r="AE432" t="str">
        <f>IF(LISTADO_NOM!AI432="","",VLOOKUP(LISTADO_NOM!AI432,SEGUIMIENTOS,2,FALSE))</f>
        <v/>
      </c>
    </row>
    <row r="433" spans="26:31">
      <c r="Z433" s="88" t="str">
        <f>IF(LISTADO_NOM!K433="","",DATE(LISTADO_NOM!M433,LISTADO_NOM!L433,LISTADO_NOM!K433))</f>
        <v/>
      </c>
      <c r="AA433" s="88" t="str">
        <f>IFERROR(INDEX($Z$14:$Z$300, MATCH(0, INDEX(COUNTIF($AA$13:AA432, $Z$14:$Z$300), 0, 0), 0)), "")</f>
        <v/>
      </c>
      <c r="AB433" s="88" t="str">
        <f t="shared" si="6"/>
        <v/>
      </c>
      <c r="AC433">
        <v>420</v>
      </c>
      <c r="AE433" t="str">
        <f>IF(LISTADO_NOM!AI433="","",VLOOKUP(LISTADO_NOM!AI433,SEGUIMIENTOS,2,FALSE))</f>
        <v/>
      </c>
    </row>
    <row r="434" spans="26:31">
      <c r="Z434" s="88" t="str">
        <f>IF(LISTADO_NOM!K434="","",DATE(LISTADO_NOM!M434,LISTADO_NOM!L434,LISTADO_NOM!K434))</f>
        <v/>
      </c>
      <c r="AA434" s="88" t="str">
        <f>IFERROR(INDEX($Z$14:$Z$300, MATCH(0, INDEX(COUNTIF($AA$13:AA433, $Z$14:$Z$300), 0, 0), 0)), "")</f>
        <v/>
      </c>
      <c r="AB434" s="88" t="str">
        <f t="shared" si="6"/>
        <v/>
      </c>
      <c r="AC434">
        <v>421</v>
      </c>
      <c r="AE434" t="str">
        <f>IF(LISTADO_NOM!AI434="","",VLOOKUP(LISTADO_NOM!AI434,SEGUIMIENTOS,2,FALSE))</f>
        <v/>
      </c>
    </row>
    <row r="435" spans="26:31">
      <c r="Z435" s="88" t="str">
        <f>IF(LISTADO_NOM!K435="","",DATE(LISTADO_NOM!M435,LISTADO_NOM!L435,LISTADO_NOM!K435))</f>
        <v/>
      </c>
      <c r="AA435" s="88" t="str">
        <f>IFERROR(INDEX($Z$14:$Z$300, MATCH(0, INDEX(COUNTIF($AA$13:AA434, $Z$14:$Z$300), 0, 0), 0)), "")</f>
        <v/>
      </c>
      <c r="AB435" s="88" t="str">
        <f t="shared" si="6"/>
        <v/>
      </c>
      <c r="AC435">
        <v>422</v>
      </c>
      <c r="AE435" t="str">
        <f>IF(LISTADO_NOM!AI435="","",VLOOKUP(LISTADO_NOM!AI435,SEGUIMIENTOS,2,FALSE))</f>
        <v/>
      </c>
    </row>
    <row r="436" spans="26:31">
      <c r="Z436" s="88" t="str">
        <f>IF(LISTADO_NOM!K436="","",DATE(LISTADO_NOM!M436,LISTADO_NOM!L436,LISTADO_NOM!K436))</f>
        <v/>
      </c>
      <c r="AA436" s="88" t="str">
        <f>IFERROR(INDEX($Z$14:$Z$300, MATCH(0, INDEX(COUNTIF($AA$13:AA435, $Z$14:$Z$300), 0, 0), 0)), "")</f>
        <v/>
      </c>
      <c r="AB436" s="88" t="str">
        <f t="shared" si="6"/>
        <v/>
      </c>
      <c r="AC436">
        <v>423</v>
      </c>
      <c r="AE436" t="str">
        <f>IF(LISTADO_NOM!AI436="","",VLOOKUP(LISTADO_NOM!AI436,SEGUIMIENTOS,2,FALSE))</f>
        <v/>
      </c>
    </row>
    <row r="437" spans="26:31">
      <c r="Z437" s="88" t="str">
        <f>IF(LISTADO_NOM!K437="","",DATE(LISTADO_NOM!M437,LISTADO_NOM!L437,LISTADO_NOM!K437))</f>
        <v/>
      </c>
      <c r="AA437" s="88" t="str">
        <f>IFERROR(INDEX($Z$14:$Z$300, MATCH(0, INDEX(COUNTIF($AA$13:AA436, $Z$14:$Z$300), 0, 0), 0)), "")</f>
        <v/>
      </c>
      <c r="AB437" s="88" t="str">
        <f t="shared" si="6"/>
        <v/>
      </c>
      <c r="AC437">
        <v>424</v>
      </c>
      <c r="AE437" t="str">
        <f>IF(LISTADO_NOM!AI437="","",VLOOKUP(LISTADO_NOM!AI437,SEGUIMIENTOS,2,FALSE))</f>
        <v/>
      </c>
    </row>
    <row r="438" spans="26:31">
      <c r="Z438" s="88" t="str">
        <f>IF(LISTADO_NOM!K438="","",DATE(LISTADO_NOM!M438,LISTADO_NOM!L438,LISTADO_NOM!K438))</f>
        <v/>
      </c>
      <c r="AA438" s="88" t="str">
        <f>IFERROR(INDEX($Z$14:$Z$300, MATCH(0, INDEX(COUNTIF($AA$13:AA437, $Z$14:$Z$300), 0, 0), 0)), "")</f>
        <v/>
      </c>
      <c r="AB438" s="88" t="str">
        <f t="shared" si="6"/>
        <v/>
      </c>
      <c r="AC438">
        <v>425</v>
      </c>
      <c r="AE438" t="str">
        <f>IF(LISTADO_NOM!AI438="","",VLOOKUP(LISTADO_NOM!AI438,SEGUIMIENTOS,2,FALSE))</f>
        <v/>
      </c>
    </row>
    <row r="439" spans="26:31">
      <c r="Z439" s="88" t="str">
        <f>IF(LISTADO_NOM!K439="","",DATE(LISTADO_NOM!M439,LISTADO_NOM!L439,LISTADO_NOM!K439))</f>
        <v/>
      </c>
      <c r="AA439" s="88" t="str">
        <f>IFERROR(INDEX($Z$14:$Z$300, MATCH(0, INDEX(COUNTIF($AA$13:AA438, $Z$14:$Z$300), 0, 0), 0)), "")</f>
        <v/>
      </c>
      <c r="AB439" s="88" t="str">
        <f t="shared" si="6"/>
        <v/>
      </c>
      <c r="AC439">
        <v>426</v>
      </c>
      <c r="AE439" t="str">
        <f>IF(LISTADO_NOM!AI439="","",VLOOKUP(LISTADO_NOM!AI439,SEGUIMIENTOS,2,FALSE))</f>
        <v/>
      </c>
    </row>
    <row r="440" spans="26:31">
      <c r="Z440" s="88" t="str">
        <f>IF(LISTADO_NOM!K440="","",DATE(LISTADO_NOM!M440,LISTADO_NOM!L440,LISTADO_NOM!K440))</f>
        <v/>
      </c>
      <c r="AA440" s="88" t="str">
        <f>IFERROR(INDEX($Z$14:$Z$300, MATCH(0, INDEX(COUNTIF($AA$13:AA439, $Z$14:$Z$300), 0, 0), 0)), "")</f>
        <v/>
      </c>
      <c r="AB440" s="88" t="str">
        <f t="shared" si="6"/>
        <v/>
      </c>
      <c r="AC440">
        <v>427</v>
      </c>
      <c r="AE440" t="str">
        <f>IF(LISTADO_NOM!AI440="","",VLOOKUP(LISTADO_NOM!AI440,SEGUIMIENTOS,2,FALSE))</f>
        <v/>
      </c>
    </row>
    <row r="441" spans="26:31">
      <c r="Z441" s="88" t="str">
        <f>IF(LISTADO_NOM!K441="","",DATE(LISTADO_NOM!M441,LISTADO_NOM!L441,LISTADO_NOM!K441))</f>
        <v/>
      </c>
      <c r="AA441" s="88" t="str">
        <f>IFERROR(INDEX($Z$14:$Z$300, MATCH(0, INDEX(COUNTIF($AA$13:AA440, $Z$14:$Z$300), 0, 0), 0)), "")</f>
        <v/>
      </c>
      <c r="AB441" s="88" t="str">
        <f t="shared" si="6"/>
        <v/>
      </c>
      <c r="AC441">
        <v>428</v>
      </c>
      <c r="AE441" t="str">
        <f>IF(LISTADO_NOM!AI441="","",VLOOKUP(LISTADO_NOM!AI441,SEGUIMIENTOS,2,FALSE))</f>
        <v/>
      </c>
    </row>
    <row r="442" spans="26:31">
      <c r="Z442" s="88" t="str">
        <f>IF(LISTADO_NOM!K442="","",DATE(LISTADO_NOM!M442,LISTADO_NOM!L442,LISTADO_NOM!K442))</f>
        <v/>
      </c>
      <c r="AA442" s="88" t="str">
        <f>IFERROR(INDEX($Z$14:$Z$300, MATCH(0, INDEX(COUNTIF($AA$13:AA441, $Z$14:$Z$300), 0, 0), 0)), "")</f>
        <v/>
      </c>
      <c r="AB442" s="88" t="str">
        <f t="shared" si="6"/>
        <v/>
      </c>
      <c r="AC442">
        <v>429</v>
      </c>
      <c r="AE442" t="str">
        <f>IF(LISTADO_NOM!AI442="","",VLOOKUP(LISTADO_NOM!AI442,SEGUIMIENTOS,2,FALSE))</f>
        <v/>
      </c>
    </row>
    <row r="443" spans="26:31">
      <c r="Z443" s="88" t="str">
        <f>IF(LISTADO_NOM!K443="","",DATE(LISTADO_NOM!M443,LISTADO_NOM!L443,LISTADO_NOM!K443))</f>
        <v/>
      </c>
      <c r="AA443" s="88" t="str">
        <f>IFERROR(INDEX($Z$14:$Z$300, MATCH(0, INDEX(COUNTIF($AA$13:AA442, $Z$14:$Z$300), 0, 0), 0)), "")</f>
        <v/>
      </c>
      <c r="AB443" s="88" t="str">
        <f t="shared" si="6"/>
        <v/>
      </c>
      <c r="AC443">
        <v>430</v>
      </c>
      <c r="AE443" t="str">
        <f>IF(LISTADO_NOM!AI443="","",VLOOKUP(LISTADO_NOM!AI443,SEGUIMIENTOS,2,FALSE))</f>
        <v/>
      </c>
    </row>
    <row r="444" spans="26:31">
      <c r="Z444" s="88" t="str">
        <f>IF(LISTADO_NOM!K444="","",DATE(LISTADO_NOM!M444,LISTADO_NOM!L444,LISTADO_NOM!K444))</f>
        <v/>
      </c>
      <c r="AA444" s="88" t="str">
        <f>IFERROR(INDEX($Z$14:$Z$300, MATCH(0, INDEX(COUNTIF($AA$13:AA443, $Z$14:$Z$300), 0, 0), 0)), "")</f>
        <v/>
      </c>
      <c r="AB444" s="88" t="str">
        <f t="shared" si="6"/>
        <v/>
      </c>
      <c r="AC444">
        <v>431</v>
      </c>
      <c r="AE444" t="str">
        <f>IF(LISTADO_NOM!AI444="","",VLOOKUP(LISTADO_NOM!AI444,SEGUIMIENTOS,2,FALSE))</f>
        <v/>
      </c>
    </row>
    <row r="445" spans="26:31">
      <c r="Z445" s="88" t="str">
        <f>IF(LISTADO_NOM!K445="","",DATE(LISTADO_NOM!M445,LISTADO_NOM!L445,LISTADO_NOM!K445))</f>
        <v/>
      </c>
      <c r="AA445" s="88" t="str">
        <f>IFERROR(INDEX($Z$14:$Z$300, MATCH(0, INDEX(COUNTIF($AA$13:AA444, $Z$14:$Z$300), 0, 0), 0)), "")</f>
        <v/>
      </c>
      <c r="AB445" s="88" t="str">
        <f t="shared" si="6"/>
        <v/>
      </c>
      <c r="AC445">
        <v>432</v>
      </c>
      <c r="AE445" t="str">
        <f>IF(LISTADO_NOM!AI445="","",VLOOKUP(LISTADO_NOM!AI445,SEGUIMIENTOS,2,FALSE))</f>
        <v/>
      </c>
    </row>
    <row r="446" spans="26:31">
      <c r="Z446" s="88" t="str">
        <f>IF(LISTADO_NOM!K446="","",DATE(LISTADO_NOM!M446,LISTADO_NOM!L446,LISTADO_NOM!K446))</f>
        <v/>
      </c>
      <c r="AA446" s="88" t="str">
        <f>IFERROR(INDEX($Z$14:$Z$300, MATCH(0, INDEX(COUNTIF($AA$13:AA445, $Z$14:$Z$300), 0, 0), 0)), "")</f>
        <v/>
      </c>
      <c r="AB446" s="88" t="str">
        <f t="shared" si="6"/>
        <v/>
      </c>
      <c r="AC446">
        <v>433</v>
      </c>
      <c r="AE446" t="str">
        <f>IF(LISTADO_NOM!AI446="","",VLOOKUP(LISTADO_NOM!AI446,SEGUIMIENTOS,2,FALSE))</f>
        <v/>
      </c>
    </row>
    <row r="447" spans="26:31">
      <c r="Z447" s="88" t="str">
        <f>IF(LISTADO_NOM!K447="","",DATE(LISTADO_NOM!M447,LISTADO_NOM!L447,LISTADO_NOM!K447))</f>
        <v/>
      </c>
      <c r="AA447" s="88" t="str">
        <f>IFERROR(INDEX($Z$14:$Z$300, MATCH(0, INDEX(COUNTIF($AA$13:AA446, $Z$14:$Z$300), 0, 0), 0)), "")</f>
        <v/>
      </c>
      <c r="AB447" s="88" t="str">
        <f t="shared" si="6"/>
        <v/>
      </c>
      <c r="AC447">
        <v>434</v>
      </c>
      <c r="AE447" t="str">
        <f>IF(LISTADO_NOM!AI447="","",VLOOKUP(LISTADO_NOM!AI447,SEGUIMIENTOS,2,FALSE))</f>
        <v/>
      </c>
    </row>
    <row r="448" spans="26:31">
      <c r="Z448" s="88" t="str">
        <f>IF(LISTADO_NOM!K448="","",DATE(LISTADO_NOM!M448,LISTADO_NOM!L448,LISTADO_NOM!K448))</f>
        <v/>
      </c>
      <c r="AA448" s="88" t="str">
        <f>IFERROR(INDEX($Z$14:$Z$300, MATCH(0, INDEX(COUNTIF($AA$13:AA447, $Z$14:$Z$300), 0, 0), 0)), "")</f>
        <v/>
      </c>
      <c r="AB448" s="88" t="str">
        <f t="shared" si="6"/>
        <v/>
      </c>
      <c r="AC448">
        <v>435</v>
      </c>
      <c r="AE448" t="str">
        <f>IF(LISTADO_NOM!AI448="","",VLOOKUP(LISTADO_NOM!AI448,SEGUIMIENTOS,2,FALSE))</f>
        <v/>
      </c>
    </row>
    <row r="449" spans="26:31">
      <c r="Z449" s="88" t="str">
        <f>IF(LISTADO_NOM!K449="","",DATE(LISTADO_NOM!M449,LISTADO_NOM!L449,LISTADO_NOM!K449))</f>
        <v/>
      </c>
      <c r="AA449" s="88" t="str">
        <f>IFERROR(INDEX($Z$14:$Z$300, MATCH(0, INDEX(COUNTIF($AA$13:AA448, $Z$14:$Z$300), 0, 0), 0)), "")</f>
        <v/>
      </c>
      <c r="AB449" s="88" t="str">
        <f t="shared" si="6"/>
        <v/>
      </c>
      <c r="AC449">
        <v>436</v>
      </c>
      <c r="AE449" t="str">
        <f>IF(LISTADO_NOM!AI449="","",VLOOKUP(LISTADO_NOM!AI449,SEGUIMIENTOS,2,FALSE))</f>
        <v/>
      </c>
    </row>
    <row r="450" spans="26:31">
      <c r="Z450" s="88" t="str">
        <f>IF(LISTADO_NOM!K450="","",DATE(LISTADO_NOM!M450,LISTADO_NOM!L450,LISTADO_NOM!K450))</f>
        <v/>
      </c>
      <c r="AA450" s="88" t="str">
        <f>IFERROR(INDEX($Z$14:$Z$300, MATCH(0, INDEX(COUNTIF($AA$13:AA449, $Z$14:$Z$300), 0, 0), 0)), "")</f>
        <v/>
      </c>
      <c r="AB450" s="88" t="str">
        <f t="shared" si="6"/>
        <v/>
      </c>
      <c r="AC450">
        <v>437</v>
      </c>
      <c r="AE450" t="str">
        <f>IF(LISTADO_NOM!AI450="","",VLOOKUP(LISTADO_NOM!AI450,SEGUIMIENTOS,2,FALSE))</f>
        <v/>
      </c>
    </row>
    <row r="451" spans="26:31">
      <c r="Z451" s="88" t="str">
        <f>IF(LISTADO_NOM!K451="","",DATE(LISTADO_NOM!M451,LISTADO_NOM!L451,LISTADO_NOM!K451))</f>
        <v/>
      </c>
      <c r="AA451" s="88" t="str">
        <f>IFERROR(INDEX($Z$14:$Z$300, MATCH(0, INDEX(COUNTIF($AA$13:AA450, $Z$14:$Z$300), 0, 0), 0)), "")</f>
        <v/>
      </c>
      <c r="AB451" s="88" t="str">
        <f t="shared" si="6"/>
        <v/>
      </c>
      <c r="AC451">
        <v>438</v>
      </c>
      <c r="AE451" t="str">
        <f>IF(LISTADO_NOM!AI451="","",VLOOKUP(LISTADO_NOM!AI451,SEGUIMIENTOS,2,FALSE))</f>
        <v/>
      </c>
    </row>
    <row r="452" spans="26:31">
      <c r="Z452" s="88" t="str">
        <f>IF(LISTADO_NOM!K452="","",DATE(LISTADO_NOM!M452,LISTADO_NOM!L452,LISTADO_NOM!K452))</f>
        <v/>
      </c>
      <c r="AA452" s="88" t="str">
        <f>IFERROR(INDEX($Z$14:$Z$300, MATCH(0, INDEX(COUNTIF($AA$13:AA451, $Z$14:$Z$300), 0, 0), 0)), "")</f>
        <v/>
      </c>
      <c r="AB452" s="88" t="str">
        <f t="shared" si="6"/>
        <v/>
      </c>
      <c r="AC452">
        <v>439</v>
      </c>
      <c r="AE452" t="str">
        <f>IF(LISTADO_NOM!AI452="","",VLOOKUP(LISTADO_NOM!AI452,SEGUIMIENTOS,2,FALSE))</f>
        <v/>
      </c>
    </row>
    <row r="453" spans="26:31">
      <c r="Z453" s="88" t="str">
        <f>IF(LISTADO_NOM!K453="","",DATE(LISTADO_NOM!M453,LISTADO_NOM!L453,LISTADO_NOM!K453))</f>
        <v/>
      </c>
      <c r="AA453" s="88" t="str">
        <f>IFERROR(INDEX($Z$14:$Z$300, MATCH(0, INDEX(COUNTIF($AA$13:AA452, $Z$14:$Z$300), 0, 0), 0)), "")</f>
        <v/>
      </c>
      <c r="AB453" s="88" t="str">
        <f t="shared" si="6"/>
        <v/>
      </c>
      <c r="AC453">
        <v>440</v>
      </c>
      <c r="AE453" t="str">
        <f>IF(LISTADO_NOM!AI453="","",VLOOKUP(LISTADO_NOM!AI453,SEGUIMIENTOS,2,FALSE))</f>
        <v/>
      </c>
    </row>
    <row r="454" spans="26:31">
      <c r="Z454" s="88" t="str">
        <f>IF(LISTADO_NOM!K454="","",DATE(LISTADO_NOM!M454,LISTADO_NOM!L454,LISTADO_NOM!K454))</f>
        <v/>
      </c>
      <c r="AA454" s="88" t="str">
        <f>IFERROR(INDEX($Z$14:$Z$300, MATCH(0, INDEX(COUNTIF($AA$13:AA453, $Z$14:$Z$300), 0, 0), 0)), "")</f>
        <v/>
      </c>
      <c r="AB454" s="88" t="str">
        <f t="shared" si="6"/>
        <v/>
      </c>
      <c r="AC454">
        <v>441</v>
      </c>
      <c r="AE454" t="str">
        <f>IF(LISTADO_NOM!AI454="","",VLOOKUP(LISTADO_NOM!AI454,SEGUIMIENTOS,2,FALSE))</f>
        <v/>
      </c>
    </row>
    <row r="455" spans="26:31">
      <c r="Z455" s="88" t="str">
        <f>IF(LISTADO_NOM!K455="","",DATE(LISTADO_NOM!M455,LISTADO_NOM!L455,LISTADO_NOM!K455))</f>
        <v/>
      </c>
      <c r="AA455" s="88" t="str">
        <f>IFERROR(INDEX($Z$14:$Z$300, MATCH(0, INDEX(COUNTIF($AA$13:AA454, $Z$14:$Z$300), 0, 0), 0)), "")</f>
        <v/>
      </c>
      <c r="AB455" s="88" t="str">
        <f t="shared" si="6"/>
        <v/>
      </c>
      <c r="AC455">
        <v>442</v>
      </c>
      <c r="AE455" t="str">
        <f>IF(LISTADO_NOM!AI455="","",VLOOKUP(LISTADO_NOM!AI455,SEGUIMIENTOS,2,FALSE))</f>
        <v/>
      </c>
    </row>
    <row r="456" spans="26:31">
      <c r="Z456" s="88" t="str">
        <f>IF(LISTADO_NOM!K456="","",DATE(LISTADO_NOM!M456,LISTADO_NOM!L456,LISTADO_NOM!K456))</f>
        <v/>
      </c>
      <c r="AA456" s="88" t="str">
        <f>IFERROR(INDEX($Z$14:$Z$300, MATCH(0, INDEX(COUNTIF($AA$13:AA455, $Z$14:$Z$300), 0, 0), 0)), "")</f>
        <v/>
      </c>
      <c r="AB456" s="88" t="str">
        <f t="shared" si="6"/>
        <v/>
      </c>
      <c r="AC456">
        <v>443</v>
      </c>
      <c r="AE456" t="str">
        <f>IF(LISTADO_NOM!AI456="","",VLOOKUP(LISTADO_NOM!AI456,SEGUIMIENTOS,2,FALSE))</f>
        <v/>
      </c>
    </row>
    <row r="457" spans="26:31">
      <c r="Z457" s="88" t="str">
        <f>IF(LISTADO_NOM!K457="","",DATE(LISTADO_NOM!M457,LISTADO_NOM!L457,LISTADO_NOM!K457))</f>
        <v/>
      </c>
      <c r="AA457" s="88" t="str">
        <f>IFERROR(INDEX($Z$14:$Z$300, MATCH(0, INDEX(COUNTIF($AA$13:AA456, $Z$14:$Z$300), 0, 0), 0)), "")</f>
        <v/>
      </c>
      <c r="AB457" s="88" t="str">
        <f t="shared" si="6"/>
        <v/>
      </c>
      <c r="AC457">
        <v>444</v>
      </c>
      <c r="AE457" t="str">
        <f>IF(LISTADO_NOM!AI457="","",VLOOKUP(LISTADO_NOM!AI457,SEGUIMIENTOS,2,FALSE))</f>
        <v/>
      </c>
    </row>
    <row r="458" spans="26:31">
      <c r="Z458" s="88" t="str">
        <f>IF(LISTADO_NOM!K458="","",DATE(LISTADO_NOM!M458,LISTADO_NOM!L458,LISTADO_NOM!K458))</f>
        <v/>
      </c>
      <c r="AA458" s="88" t="str">
        <f>IFERROR(INDEX($Z$14:$Z$300, MATCH(0, INDEX(COUNTIF($AA$13:AA457, $Z$14:$Z$300), 0, 0), 0)), "")</f>
        <v/>
      </c>
      <c r="AB458" s="88" t="str">
        <f t="shared" si="6"/>
        <v/>
      </c>
      <c r="AC458">
        <v>445</v>
      </c>
      <c r="AE458" t="str">
        <f>IF(LISTADO_NOM!AI458="","",VLOOKUP(LISTADO_NOM!AI458,SEGUIMIENTOS,2,FALSE))</f>
        <v/>
      </c>
    </row>
    <row r="459" spans="26:31">
      <c r="Z459" s="88" t="str">
        <f>IF(LISTADO_NOM!K459="","",DATE(LISTADO_NOM!M459,LISTADO_NOM!L459,LISTADO_NOM!K459))</f>
        <v/>
      </c>
      <c r="AA459" s="88" t="str">
        <f>IFERROR(INDEX($Z$14:$Z$300, MATCH(0, INDEX(COUNTIF($AA$13:AA458, $Z$14:$Z$300), 0, 0), 0)), "")</f>
        <v/>
      </c>
      <c r="AB459" s="88" t="str">
        <f t="shared" si="6"/>
        <v/>
      </c>
      <c r="AC459">
        <v>446</v>
      </c>
      <c r="AE459" t="str">
        <f>IF(LISTADO_NOM!AI459="","",VLOOKUP(LISTADO_NOM!AI459,SEGUIMIENTOS,2,FALSE))</f>
        <v/>
      </c>
    </row>
    <row r="460" spans="26:31">
      <c r="Z460" s="88" t="str">
        <f>IF(LISTADO_NOM!K460="","",DATE(LISTADO_NOM!M460,LISTADO_NOM!L460,LISTADO_NOM!K460))</f>
        <v/>
      </c>
      <c r="AA460" s="88" t="str">
        <f>IFERROR(INDEX($Z$14:$Z$300, MATCH(0, INDEX(COUNTIF($AA$13:AA459, $Z$14:$Z$300), 0, 0), 0)), "")</f>
        <v/>
      </c>
      <c r="AB460" s="88" t="str">
        <f t="shared" si="6"/>
        <v/>
      </c>
      <c r="AC460">
        <v>447</v>
      </c>
      <c r="AE460" t="str">
        <f>IF(LISTADO_NOM!AI460="","",VLOOKUP(LISTADO_NOM!AI460,SEGUIMIENTOS,2,FALSE))</f>
        <v/>
      </c>
    </row>
    <row r="461" spans="26:31">
      <c r="Z461" s="88" t="str">
        <f>IF(LISTADO_NOM!K461="","",DATE(LISTADO_NOM!M461,LISTADO_NOM!L461,LISTADO_NOM!K461))</f>
        <v/>
      </c>
      <c r="AA461" s="88" t="str">
        <f>IFERROR(INDEX($Z$14:$Z$300, MATCH(0, INDEX(COUNTIF($AA$13:AA460, $Z$14:$Z$300), 0, 0), 0)), "")</f>
        <v/>
      </c>
      <c r="AB461" s="88" t="str">
        <f t="shared" si="6"/>
        <v/>
      </c>
      <c r="AC461">
        <v>448</v>
      </c>
      <c r="AE461" t="str">
        <f>IF(LISTADO_NOM!AI461="","",VLOOKUP(LISTADO_NOM!AI461,SEGUIMIENTOS,2,FALSE))</f>
        <v/>
      </c>
    </row>
    <row r="462" spans="26:31">
      <c r="Z462" s="88" t="str">
        <f>IF(LISTADO_NOM!K462="","",DATE(LISTADO_NOM!M462,LISTADO_NOM!L462,LISTADO_NOM!K462))</f>
        <v/>
      </c>
      <c r="AA462" s="88" t="str">
        <f>IFERROR(INDEX($Z$14:$Z$300, MATCH(0, INDEX(COUNTIF($AA$13:AA461, $Z$14:$Z$300), 0, 0), 0)), "")</f>
        <v/>
      </c>
      <c r="AB462" s="88" t="str">
        <f t="shared" ref="AB462:AB500" si="7">IF(AA462="","",SMALL(ORDENA_,AC462))</f>
        <v/>
      </c>
      <c r="AC462">
        <v>449</v>
      </c>
      <c r="AE462" t="str">
        <f>IF(LISTADO_NOM!AI462="","",VLOOKUP(LISTADO_NOM!AI462,SEGUIMIENTOS,2,FALSE))</f>
        <v/>
      </c>
    </row>
    <row r="463" spans="26:31">
      <c r="Z463" s="88" t="str">
        <f>IF(LISTADO_NOM!K463="","",DATE(LISTADO_NOM!M463,LISTADO_NOM!L463,LISTADO_NOM!K463))</f>
        <v/>
      </c>
      <c r="AA463" s="88" t="str">
        <f>IFERROR(INDEX($Z$14:$Z$300, MATCH(0, INDEX(COUNTIF($AA$13:AA462, $Z$14:$Z$300), 0, 0), 0)), "")</f>
        <v/>
      </c>
      <c r="AB463" s="88" t="str">
        <f t="shared" si="7"/>
        <v/>
      </c>
      <c r="AC463">
        <v>450</v>
      </c>
      <c r="AE463" t="str">
        <f>IF(LISTADO_NOM!AI463="","",VLOOKUP(LISTADO_NOM!AI463,SEGUIMIENTOS,2,FALSE))</f>
        <v/>
      </c>
    </row>
    <row r="464" spans="26:31">
      <c r="Z464" s="88" t="str">
        <f>IF(LISTADO_NOM!K464="","",DATE(LISTADO_NOM!M464,LISTADO_NOM!L464,LISTADO_NOM!K464))</f>
        <v/>
      </c>
      <c r="AA464" s="88" t="str">
        <f>IFERROR(INDEX($Z$14:$Z$300, MATCH(0, INDEX(COUNTIF($AA$13:AA463, $Z$14:$Z$300), 0, 0), 0)), "")</f>
        <v/>
      </c>
      <c r="AB464" s="88" t="str">
        <f t="shared" si="7"/>
        <v/>
      </c>
      <c r="AC464">
        <v>451</v>
      </c>
      <c r="AE464" t="str">
        <f>IF(LISTADO_NOM!AI464="","",VLOOKUP(LISTADO_NOM!AI464,SEGUIMIENTOS,2,FALSE))</f>
        <v/>
      </c>
    </row>
    <row r="465" spans="26:31">
      <c r="Z465" s="88" t="str">
        <f>IF(LISTADO_NOM!K465="","",DATE(LISTADO_NOM!M465,LISTADO_NOM!L465,LISTADO_NOM!K465))</f>
        <v/>
      </c>
      <c r="AA465" s="88" t="str">
        <f>IFERROR(INDEX($Z$14:$Z$300, MATCH(0, INDEX(COUNTIF($AA$13:AA464, $Z$14:$Z$300), 0, 0), 0)), "")</f>
        <v/>
      </c>
      <c r="AB465" s="88" t="str">
        <f t="shared" si="7"/>
        <v/>
      </c>
      <c r="AC465">
        <v>452</v>
      </c>
      <c r="AE465" t="str">
        <f>IF(LISTADO_NOM!AI465="","",VLOOKUP(LISTADO_NOM!AI465,SEGUIMIENTOS,2,FALSE))</f>
        <v/>
      </c>
    </row>
    <row r="466" spans="26:31">
      <c r="Z466" s="88" t="str">
        <f>IF(LISTADO_NOM!K466="","",DATE(LISTADO_NOM!M466,LISTADO_NOM!L466,LISTADO_NOM!K466))</f>
        <v/>
      </c>
      <c r="AA466" s="88" t="str">
        <f>IFERROR(INDEX($Z$14:$Z$300, MATCH(0, INDEX(COUNTIF($AA$13:AA465, $Z$14:$Z$300), 0, 0), 0)), "")</f>
        <v/>
      </c>
      <c r="AB466" s="88" t="str">
        <f t="shared" si="7"/>
        <v/>
      </c>
      <c r="AC466">
        <v>453</v>
      </c>
      <c r="AE466" t="str">
        <f>IF(LISTADO_NOM!AI466="","",VLOOKUP(LISTADO_NOM!AI466,SEGUIMIENTOS,2,FALSE))</f>
        <v/>
      </c>
    </row>
    <row r="467" spans="26:31">
      <c r="Z467" s="88" t="str">
        <f>IF(LISTADO_NOM!K467="","",DATE(LISTADO_NOM!M467,LISTADO_NOM!L467,LISTADO_NOM!K467))</f>
        <v/>
      </c>
      <c r="AA467" s="88" t="str">
        <f>IFERROR(INDEX($Z$14:$Z$300, MATCH(0, INDEX(COUNTIF($AA$13:AA466, $Z$14:$Z$300), 0, 0), 0)), "")</f>
        <v/>
      </c>
      <c r="AB467" s="88" t="str">
        <f t="shared" si="7"/>
        <v/>
      </c>
      <c r="AC467">
        <v>454</v>
      </c>
      <c r="AE467" t="str">
        <f>IF(LISTADO_NOM!AI467="","",VLOOKUP(LISTADO_NOM!AI467,SEGUIMIENTOS,2,FALSE))</f>
        <v/>
      </c>
    </row>
    <row r="468" spans="26:31">
      <c r="Z468" s="88" t="str">
        <f>IF(LISTADO_NOM!K468="","",DATE(LISTADO_NOM!M468,LISTADO_NOM!L468,LISTADO_NOM!K468))</f>
        <v/>
      </c>
      <c r="AA468" s="88" t="str">
        <f>IFERROR(INDEX($Z$14:$Z$300, MATCH(0, INDEX(COUNTIF($AA$13:AA467, $Z$14:$Z$300), 0, 0), 0)), "")</f>
        <v/>
      </c>
      <c r="AB468" s="88" t="str">
        <f t="shared" si="7"/>
        <v/>
      </c>
      <c r="AC468">
        <v>455</v>
      </c>
      <c r="AE468" t="str">
        <f>IF(LISTADO_NOM!AI468="","",VLOOKUP(LISTADO_NOM!AI468,SEGUIMIENTOS,2,FALSE))</f>
        <v/>
      </c>
    </row>
    <row r="469" spans="26:31">
      <c r="Z469" s="88" t="str">
        <f>IF(LISTADO_NOM!K469="","",DATE(LISTADO_NOM!M469,LISTADO_NOM!L469,LISTADO_NOM!K469))</f>
        <v/>
      </c>
      <c r="AA469" s="88" t="str">
        <f>IFERROR(INDEX($Z$14:$Z$300, MATCH(0, INDEX(COUNTIF($AA$13:AA468, $Z$14:$Z$300), 0, 0), 0)), "")</f>
        <v/>
      </c>
      <c r="AB469" s="88" t="str">
        <f t="shared" si="7"/>
        <v/>
      </c>
      <c r="AC469">
        <v>456</v>
      </c>
      <c r="AE469" t="str">
        <f>IF(LISTADO_NOM!AI469="","",VLOOKUP(LISTADO_NOM!AI469,SEGUIMIENTOS,2,FALSE))</f>
        <v/>
      </c>
    </row>
    <row r="470" spans="26:31">
      <c r="Z470" s="88" t="str">
        <f>IF(LISTADO_NOM!K470="","",DATE(LISTADO_NOM!M470,LISTADO_NOM!L470,LISTADO_NOM!K470))</f>
        <v/>
      </c>
      <c r="AA470" s="88" t="str">
        <f>IFERROR(INDEX($Z$14:$Z$300, MATCH(0, INDEX(COUNTIF($AA$13:AA469, $Z$14:$Z$300), 0, 0), 0)), "")</f>
        <v/>
      </c>
      <c r="AB470" s="88" t="str">
        <f t="shared" si="7"/>
        <v/>
      </c>
      <c r="AC470">
        <v>457</v>
      </c>
      <c r="AE470" t="str">
        <f>IF(LISTADO_NOM!AI470="","",VLOOKUP(LISTADO_NOM!AI470,SEGUIMIENTOS,2,FALSE))</f>
        <v/>
      </c>
    </row>
    <row r="471" spans="26:31">
      <c r="Z471" s="88" t="str">
        <f>IF(LISTADO_NOM!K471="","",DATE(LISTADO_NOM!M471,LISTADO_NOM!L471,LISTADO_NOM!K471))</f>
        <v/>
      </c>
      <c r="AA471" s="88" t="str">
        <f>IFERROR(INDEX($Z$14:$Z$300, MATCH(0, INDEX(COUNTIF($AA$13:AA470, $Z$14:$Z$300), 0, 0), 0)), "")</f>
        <v/>
      </c>
      <c r="AB471" s="88" t="str">
        <f t="shared" si="7"/>
        <v/>
      </c>
      <c r="AC471">
        <v>458</v>
      </c>
      <c r="AE471" t="str">
        <f>IF(LISTADO_NOM!AI471="","",VLOOKUP(LISTADO_NOM!AI471,SEGUIMIENTOS,2,FALSE))</f>
        <v/>
      </c>
    </row>
    <row r="472" spans="26:31">
      <c r="Z472" s="88" t="str">
        <f>IF(LISTADO_NOM!K472="","",DATE(LISTADO_NOM!M472,LISTADO_NOM!L472,LISTADO_NOM!K472))</f>
        <v/>
      </c>
      <c r="AA472" s="88" t="str">
        <f>IFERROR(INDEX($Z$14:$Z$300, MATCH(0, INDEX(COUNTIF($AA$13:AA471, $Z$14:$Z$300), 0, 0), 0)), "")</f>
        <v/>
      </c>
      <c r="AB472" s="88" t="str">
        <f t="shared" si="7"/>
        <v/>
      </c>
      <c r="AC472">
        <v>459</v>
      </c>
      <c r="AE472" t="str">
        <f>IF(LISTADO_NOM!AI472="","",VLOOKUP(LISTADO_NOM!AI472,SEGUIMIENTOS,2,FALSE))</f>
        <v/>
      </c>
    </row>
    <row r="473" spans="26:31">
      <c r="Z473" s="88" t="str">
        <f>IF(LISTADO_NOM!K473="","",DATE(LISTADO_NOM!M473,LISTADO_NOM!L473,LISTADO_NOM!K473))</f>
        <v/>
      </c>
      <c r="AA473" s="88" t="str">
        <f>IFERROR(INDEX($Z$14:$Z$300, MATCH(0, INDEX(COUNTIF($AA$13:AA472, $Z$14:$Z$300), 0, 0), 0)), "")</f>
        <v/>
      </c>
      <c r="AB473" s="88" t="str">
        <f t="shared" si="7"/>
        <v/>
      </c>
      <c r="AC473">
        <v>460</v>
      </c>
      <c r="AE473" t="str">
        <f>IF(LISTADO_NOM!AI473="","",VLOOKUP(LISTADO_NOM!AI473,SEGUIMIENTOS,2,FALSE))</f>
        <v/>
      </c>
    </row>
    <row r="474" spans="26:31">
      <c r="Z474" s="88" t="str">
        <f>IF(LISTADO_NOM!K474="","",DATE(LISTADO_NOM!M474,LISTADO_NOM!L474,LISTADO_NOM!K474))</f>
        <v/>
      </c>
      <c r="AA474" s="88" t="str">
        <f>IFERROR(INDEX($Z$14:$Z$300, MATCH(0, INDEX(COUNTIF($AA$13:AA473, $Z$14:$Z$300), 0, 0), 0)), "")</f>
        <v/>
      </c>
      <c r="AB474" s="88" t="str">
        <f t="shared" si="7"/>
        <v/>
      </c>
      <c r="AC474">
        <v>461</v>
      </c>
      <c r="AE474" t="str">
        <f>IF(LISTADO_NOM!AI474="","",VLOOKUP(LISTADO_NOM!AI474,SEGUIMIENTOS,2,FALSE))</f>
        <v/>
      </c>
    </row>
    <row r="475" spans="26:31">
      <c r="Z475" s="88" t="str">
        <f>IF(LISTADO_NOM!K475="","",DATE(LISTADO_NOM!M475,LISTADO_NOM!L475,LISTADO_NOM!K475))</f>
        <v/>
      </c>
      <c r="AA475" s="88" t="str">
        <f>IFERROR(INDEX($Z$14:$Z$300, MATCH(0, INDEX(COUNTIF($AA$13:AA474, $Z$14:$Z$300), 0, 0), 0)), "")</f>
        <v/>
      </c>
      <c r="AB475" s="88" t="str">
        <f t="shared" si="7"/>
        <v/>
      </c>
      <c r="AC475">
        <v>462</v>
      </c>
      <c r="AE475" t="str">
        <f>IF(LISTADO_NOM!AI475="","",VLOOKUP(LISTADO_NOM!AI475,SEGUIMIENTOS,2,FALSE))</f>
        <v/>
      </c>
    </row>
    <row r="476" spans="26:31">
      <c r="Z476" s="88" t="str">
        <f>IF(LISTADO_NOM!K476="","",DATE(LISTADO_NOM!M476,LISTADO_NOM!L476,LISTADO_NOM!K476))</f>
        <v/>
      </c>
      <c r="AA476" s="88" t="str">
        <f>IFERROR(INDEX($Z$14:$Z$300, MATCH(0, INDEX(COUNTIF($AA$13:AA475, $Z$14:$Z$300), 0, 0), 0)), "")</f>
        <v/>
      </c>
      <c r="AB476" s="88" t="str">
        <f t="shared" si="7"/>
        <v/>
      </c>
      <c r="AC476">
        <v>463</v>
      </c>
      <c r="AE476" t="str">
        <f>IF(LISTADO_NOM!AI476="","",VLOOKUP(LISTADO_NOM!AI476,SEGUIMIENTOS,2,FALSE))</f>
        <v/>
      </c>
    </row>
    <row r="477" spans="26:31">
      <c r="Z477" s="88" t="str">
        <f>IF(LISTADO_NOM!K477="","",DATE(LISTADO_NOM!M477,LISTADO_NOM!L477,LISTADO_NOM!K477))</f>
        <v/>
      </c>
      <c r="AA477" s="88" t="str">
        <f>IFERROR(INDEX($Z$14:$Z$300, MATCH(0, INDEX(COUNTIF($AA$13:AA476, $Z$14:$Z$300), 0, 0), 0)), "")</f>
        <v/>
      </c>
      <c r="AB477" s="88" t="str">
        <f t="shared" si="7"/>
        <v/>
      </c>
      <c r="AC477">
        <v>464</v>
      </c>
      <c r="AE477" t="str">
        <f>IF(LISTADO_NOM!AI477="","",VLOOKUP(LISTADO_NOM!AI477,SEGUIMIENTOS,2,FALSE))</f>
        <v/>
      </c>
    </row>
    <row r="478" spans="26:31">
      <c r="Z478" s="88" t="str">
        <f>IF(LISTADO_NOM!K478="","",DATE(LISTADO_NOM!M478,LISTADO_NOM!L478,LISTADO_NOM!K478))</f>
        <v/>
      </c>
      <c r="AA478" s="88" t="str">
        <f>IFERROR(INDEX($Z$14:$Z$300, MATCH(0, INDEX(COUNTIF($AA$13:AA477, $Z$14:$Z$300), 0, 0), 0)), "")</f>
        <v/>
      </c>
      <c r="AB478" s="88" t="str">
        <f t="shared" si="7"/>
        <v/>
      </c>
      <c r="AC478">
        <v>465</v>
      </c>
      <c r="AE478" t="str">
        <f>IF(LISTADO_NOM!AI478="","",VLOOKUP(LISTADO_NOM!AI478,SEGUIMIENTOS,2,FALSE))</f>
        <v/>
      </c>
    </row>
    <row r="479" spans="26:31">
      <c r="Z479" s="88" t="str">
        <f>IF(LISTADO_NOM!K479="","",DATE(LISTADO_NOM!M479,LISTADO_NOM!L479,LISTADO_NOM!K479))</f>
        <v/>
      </c>
      <c r="AA479" s="88" t="str">
        <f>IFERROR(INDEX($Z$14:$Z$300, MATCH(0, INDEX(COUNTIF($AA$13:AA478, $Z$14:$Z$300), 0, 0), 0)), "")</f>
        <v/>
      </c>
      <c r="AB479" s="88" t="str">
        <f t="shared" si="7"/>
        <v/>
      </c>
      <c r="AC479">
        <v>466</v>
      </c>
      <c r="AE479" t="str">
        <f>IF(LISTADO_NOM!AI479="","",VLOOKUP(LISTADO_NOM!AI479,SEGUIMIENTOS,2,FALSE))</f>
        <v/>
      </c>
    </row>
    <row r="480" spans="26:31">
      <c r="Z480" s="88" t="str">
        <f>IF(LISTADO_NOM!K480="","",DATE(LISTADO_NOM!M480,LISTADO_NOM!L480,LISTADO_NOM!K480))</f>
        <v/>
      </c>
      <c r="AA480" s="88" t="str">
        <f>IFERROR(INDEX($Z$14:$Z$300, MATCH(0, INDEX(COUNTIF($AA$13:AA479, $Z$14:$Z$300), 0, 0), 0)), "")</f>
        <v/>
      </c>
      <c r="AB480" s="88" t="str">
        <f t="shared" si="7"/>
        <v/>
      </c>
      <c r="AC480">
        <v>467</v>
      </c>
      <c r="AE480" t="str">
        <f>IF(LISTADO_NOM!AI480="","",VLOOKUP(LISTADO_NOM!AI480,SEGUIMIENTOS,2,FALSE))</f>
        <v/>
      </c>
    </row>
    <row r="481" spans="26:31">
      <c r="Z481" s="88" t="str">
        <f>IF(LISTADO_NOM!K481="","",DATE(LISTADO_NOM!M481,LISTADO_NOM!L481,LISTADO_NOM!K481))</f>
        <v/>
      </c>
      <c r="AA481" s="88" t="str">
        <f>IFERROR(INDEX($Z$14:$Z$300, MATCH(0, INDEX(COUNTIF($AA$13:AA480, $Z$14:$Z$300), 0, 0), 0)), "")</f>
        <v/>
      </c>
      <c r="AB481" s="88" t="str">
        <f t="shared" si="7"/>
        <v/>
      </c>
      <c r="AC481">
        <v>468</v>
      </c>
      <c r="AE481" t="str">
        <f>IF(LISTADO_NOM!AI481="","",VLOOKUP(LISTADO_NOM!AI481,SEGUIMIENTOS,2,FALSE))</f>
        <v/>
      </c>
    </row>
    <row r="482" spans="26:31">
      <c r="Z482" s="88" t="str">
        <f>IF(LISTADO_NOM!K482="","",DATE(LISTADO_NOM!M482,LISTADO_NOM!L482,LISTADO_NOM!K482))</f>
        <v/>
      </c>
      <c r="AA482" s="88" t="str">
        <f>IFERROR(INDEX($Z$14:$Z$300, MATCH(0, INDEX(COUNTIF($AA$13:AA481, $Z$14:$Z$300), 0, 0), 0)), "")</f>
        <v/>
      </c>
      <c r="AB482" s="88" t="str">
        <f t="shared" si="7"/>
        <v/>
      </c>
      <c r="AC482">
        <v>469</v>
      </c>
      <c r="AE482" t="str">
        <f>IF(LISTADO_NOM!AI482="","",VLOOKUP(LISTADO_NOM!AI482,SEGUIMIENTOS,2,FALSE))</f>
        <v/>
      </c>
    </row>
    <row r="483" spans="26:31">
      <c r="Z483" s="88" t="str">
        <f>IF(LISTADO_NOM!K483="","",DATE(LISTADO_NOM!M483,LISTADO_NOM!L483,LISTADO_NOM!K483))</f>
        <v/>
      </c>
      <c r="AA483" s="88" t="str">
        <f>IFERROR(INDEX($Z$14:$Z$300, MATCH(0, INDEX(COUNTIF($AA$13:AA482, $Z$14:$Z$300), 0, 0), 0)), "")</f>
        <v/>
      </c>
      <c r="AB483" s="88" t="str">
        <f t="shared" si="7"/>
        <v/>
      </c>
      <c r="AC483">
        <v>470</v>
      </c>
      <c r="AE483" t="str">
        <f>IF(LISTADO_NOM!AI483="","",VLOOKUP(LISTADO_NOM!AI483,SEGUIMIENTOS,2,FALSE))</f>
        <v/>
      </c>
    </row>
    <row r="484" spans="26:31">
      <c r="Z484" s="88" t="str">
        <f>IF(LISTADO_NOM!K484="","",DATE(LISTADO_NOM!M484,LISTADO_NOM!L484,LISTADO_NOM!K484))</f>
        <v/>
      </c>
      <c r="AA484" s="88" t="str">
        <f>IFERROR(INDEX($Z$14:$Z$300, MATCH(0, INDEX(COUNTIF($AA$13:AA483, $Z$14:$Z$300), 0, 0), 0)), "")</f>
        <v/>
      </c>
      <c r="AB484" s="88" t="str">
        <f t="shared" si="7"/>
        <v/>
      </c>
      <c r="AC484">
        <v>471</v>
      </c>
      <c r="AE484" t="str">
        <f>IF(LISTADO_NOM!AI484="","",VLOOKUP(LISTADO_NOM!AI484,SEGUIMIENTOS,2,FALSE))</f>
        <v/>
      </c>
    </row>
    <row r="485" spans="26:31">
      <c r="Z485" s="88" t="str">
        <f>IF(LISTADO_NOM!K485="","",DATE(LISTADO_NOM!M485,LISTADO_NOM!L485,LISTADO_NOM!K485))</f>
        <v/>
      </c>
      <c r="AA485" s="88" t="str">
        <f>IFERROR(INDEX($Z$14:$Z$300, MATCH(0, INDEX(COUNTIF($AA$13:AA484, $Z$14:$Z$300), 0, 0), 0)), "")</f>
        <v/>
      </c>
      <c r="AB485" s="88" t="str">
        <f t="shared" si="7"/>
        <v/>
      </c>
      <c r="AC485">
        <v>472</v>
      </c>
      <c r="AE485" t="str">
        <f>IF(LISTADO_NOM!AI485="","",VLOOKUP(LISTADO_NOM!AI485,SEGUIMIENTOS,2,FALSE))</f>
        <v/>
      </c>
    </row>
    <row r="486" spans="26:31">
      <c r="Z486" s="88" t="str">
        <f>IF(LISTADO_NOM!K486="","",DATE(LISTADO_NOM!M486,LISTADO_NOM!L486,LISTADO_NOM!K486))</f>
        <v/>
      </c>
      <c r="AA486" s="88" t="str">
        <f>IFERROR(INDEX($Z$14:$Z$300, MATCH(0, INDEX(COUNTIF($AA$13:AA485, $Z$14:$Z$300), 0, 0), 0)), "")</f>
        <v/>
      </c>
      <c r="AB486" s="88" t="str">
        <f t="shared" si="7"/>
        <v/>
      </c>
      <c r="AC486">
        <v>473</v>
      </c>
      <c r="AE486" t="str">
        <f>IF(LISTADO_NOM!AI486="","",VLOOKUP(LISTADO_NOM!AI486,SEGUIMIENTOS,2,FALSE))</f>
        <v/>
      </c>
    </row>
    <row r="487" spans="26:31">
      <c r="Z487" s="88" t="str">
        <f>IF(LISTADO_NOM!K487="","",DATE(LISTADO_NOM!M487,LISTADO_NOM!L487,LISTADO_NOM!K487))</f>
        <v/>
      </c>
      <c r="AA487" s="88" t="str">
        <f>IFERROR(INDEX($Z$14:$Z$300, MATCH(0, INDEX(COUNTIF($AA$13:AA486, $Z$14:$Z$300), 0, 0), 0)), "")</f>
        <v/>
      </c>
      <c r="AB487" s="88" t="str">
        <f t="shared" si="7"/>
        <v/>
      </c>
      <c r="AC487">
        <v>474</v>
      </c>
      <c r="AE487" t="str">
        <f>IF(LISTADO_NOM!AI487="","",VLOOKUP(LISTADO_NOM!AI487,SEGUIMIENTOS,2,FALSE))</f>
        <v/>
      </c>
    </row>
    <row r="488" spans="26:31">
      <c r="Z488" s="88" t="str">
        <f>IF(LISTADO_NOM!K488="","",DATE(LISTADO_NOM!M488,LISTADO_NOM!L488,LISTADO_NOM!K488))</f>
        <v/>
      </c>
      <c r="AA488" s="88" t="str">
        <f>IFERROR(INDEX($Z$14:$Z$300, MATCH(0, INDEX(COUNTIF($AA$13:AA487, $Z$14:$Z$300), 0, 0), 0)), "")</f>
        <v/>
      </c>
      <c r="AB488" s="88" t="str">
        <f t="shared" si="7"/>
        <v/>
      </c>
      <c r="AC488">
        <v>475</v>
      </c>
      <c r="AE488" t="str">
        <f>IF(LISTADO_NOM!AI488="","",VLOOKUP(LISTADO_NOM!AI488,SEGUIMIENTOS,2,FALSE))</f>
        <v/>
      </c>
    </row>
    <row r="489" spans="26:31">
      <c r="Z489" s="88" t="str">
        <f>IF(LISTADO_NOM!K489="","",DATE(LISTADO_NOM!M489,LISTADO_NOM!L489,LISTADO_NOM!K489))</f>
        <v/>
      </c>
      <c r="AA489" s="88" t="str">
        <f>IFERROR(INDEX($Z$14:$Z$300, MATCH(0, INDEX(COUNTIF($AA$13:AA488, $Z$14:$Z$300), 0, 0), 0)), "")</f>
        <v/>
      </c>
      <c r="AB489" s="88" t="str">
        <f t="shared" si="7"/>
        <v/>
      </c>
      <c r="AC489">
        <v>476</v>
      </c>
      <c r="AE489" t="str">
        <f>IF(LISTADO_NOM!AI489="","",VLOOKUP(LISTADO_NOM!AI489,SEGUIMIENTOS,2,FALSE))</f>
        <v/>
      </c>
    </row>
    <row r="490" spans="26:31">
      <c r="Z490" s="88" t="str">
        <f>IF(LISTADO_NOM!K490="","",DATE(LISTADO_NOM!M490,LISTADO_NOM!L490,LISTADO_NOM!K490))</f>
        <v/>
      </c>
      <c r="AA490" s="88" t="str">
        <f>IFERROR(INDEX($Z$14:$Z$300, MATCH(0, INDEX(COUNTIF($AA$13:AA489, $Z$14:$Z$300), 0, 0), 0)), "")</f>
        <v/>
      </c>
      <c r="AB490" s="88" t="str">
        <f t="shared" si="7"/>
        <v/>
      </c>
      <c r="AC490">
        <v>477</v>
      </c>
      <c r="AE490" t="str">
        <f>IF(LISTADO_NOM!AI490="","",VLOOKUP(LISTADO_NOM!AI490,SEGUIMIENTOS,2,FALSE))</f>
        <v/>
      </c>
    </row>
    <row r="491" spans="26:31">
      <c r="Z491" s="88" t="str">
        <f>IF(LISTADO_NOM!K491="","",DATE(LISTADO_NOM!M491,LISTADO_NOM!L491,LISTADO_NOM!K491))</f>
        <v/>
      </c>
      <c r="AA491" s="88" t="str">
        <f>IFERROR(INDEX($Z$14:$Z$300, MATCH(0, INDEX(COUNTIF($AA$13:AA490, $Z$14:$Z$300), 0, 0), 0)), "")</f>
        <v/>
      </c>
      <c r="AB491" s="88" t="str">
        <f t="shared" si="7"/>
        <v/>
      </c>
      <c r="AC491">
        <v>478</v>
      </c>
      <c r="AE491" t="str">
        <f>IF(LISTADO_NOM!AI491="","",VLOOKUP(LISTADO_NOM!AI491,SEGUIMIENTOS,2,FALSE))</f>
        <v/>
      </c>
    </row>
    <row r="492" spans="26:31">
      <c r="Z492" s="88" t="str">
        <f>IF(LISTADO_NOM!K492="","",DATE(LISTADO_NOM!M492,LISTADO_NOM!L492,LISTADO_NOM!K492))</f>
        <v/>
      </c>
      <c r="AA492" s="88" t="str">
        <f>IFERROR(INDEX($Z$14:$Z$300, MATCH(0, INDEX(COUNTIF($AA$13:AA491, $Z$14:$Z$300), 0, 0), 0)), "")</f>
        <v/>
      </c>
      <c r="AB492" s="88" t="str">
        <f t="shared" si="7"/>
        <v/>
      </c>
      <c r="AC492">
        <v>479</v>
      </c>
      <c r="AE492" t="str">
        <f>IF(LISTADO_NOM!AI492="","",VLOOKUP(LISTADO_NOM!AI492,SEGUIMIENTOS,2,FALSE))</f>
        <v/>
      </c>
    </row>
    <row r="493" spans="26:31">
      <c r="Z493" s="88" t="str">
        <f>IF(LISTADO_NOM!K493="","",DATE(LISTADO_NOM!M493,LISTADO_NOM!L493,LISTADO_NOM!K493))</f>
        <v/>
      </c>
      <c r="AA493" s="88" t="str">
        <f>IFERROR(INDEX($Z$14:$Z$300, MATCH(0, INDEX(COUNTIF($AA$13:AA492, $Z$14:$Z$300), 0, 0), 0)), "")</f>
        <v/>
      </c>
      <c r="AB493" s="88" t="str">
        <f t="shared" si="7"/>
        <v/>
      </c>
      <c r="AC493">
        <v>480</v>
      </c>
      <c r="AE493" t="str">
        <f>IF(LISTADO_NOM!AI493="","",VLOOKUP(LISTADO_NOM!AI493,SEGUIMIENTOS,2,FALSE))</f>
        <v/>
      </c>
    </row>
    <row r="494" spans="26:31">
      <c r="Z494" s="88" t="str">
        <f>IF(LISTADO_NOM!K494="","",DATE(LISTADO_NOM!M494,LISTADO_NOM!L494,LISTADO_NOM!K494))</f>
        <v/>
      </c>
      <c r="AA494" s="88" t="str">
        <f>IFERROR(INDEX($Z$14:$Z$300, MATCH(0, INDEX(COUNTIF($AA$13:AA493, $Z$14:$Z$300), 0, 0), 0)), "")</f>
        <v/>
      </c>
      <c r="AB494" s="88" t="str">
        <f t="shared" si="7"/>
        <v/>
      </c>
      <c r="AC494">
        <v>481</v>
      </c>
      <c r="AE494" t="str">
        <f>IF(LISTADO_NOM!AI494="","",VLOOKUP(LISTADO_NOM!AI494,SEGUIMIENTOS,2,FALSE))</f>
        <v/>
      </c>
    </row>
    <row r="495" spans="26:31">
      <c r="Z495" s="88" t="str">
        <f>IF(LISTADO_NOM!K495="","",DATE(LISTADO_NOM!M495,LISTADO_NOM!L495,LISTADO_NOM!K495))</f>
        <v/>
      </c>
      <c r="AA495" s="88" t="str">
        <f>IFERROR(INDEX($Z$14:$Z$300, MATCH(0, INDEX(COUNTIF($AA$13:AA494, $Z$14:$Z$300), 0, 0), 0)), "")</f>
        <v/>
      </c>
      <c r="AB495" s="88" t="str">
        <f t="shared" si="7"/>
        <v/>
      </c>
      <c r="AC495">
        <v>482</v>
      </c>
      <c r="AE495" t="str">
        <f>IF(LISTADO_NOM!AI495="","",VLOOKUP(LISTADO_NOM!AI495,SEGUIMIENTOS,2,FALSE))</f>
        <v/>
      </c>
    </row>
    <row r="496" spans="26:31">
      <c r="Z496" s="88" t="str">
        <f>IF(LISTADO_NOM!K496="","",DATE(LISTADO_NOM!M496,LISTADO_NOM!L496,LISTADO_NOM!K496))</f>
        <v/>
      </c>
      <c r="AA496" s="88" t="str">
        <f>IFERROR(INDEX($Z$14:$Z$300, MATCH(0, INDEX(COUNTIF($AA$13:AA495, $Z$14:$Z$300), 0, 0), 0)), "")</f>
        <v/>
      </c>
      <c r="AB496" s="88" t="str">
        <f t="shared" si="7"/>
        <v/>
      </c>
      <c r="AC496">
        <v>483</v>
      </c>
      <c r="AE496" t="str">
        <f>IF(LISTADO_NOM!AI496="","",VLOOKUP(LISTADO_NOM!AI496,SEGUIMIENTOS,2,FALSE))</f>
        <v/>
      </c>
    </row>
    <row r="497" spans="26:31">
      <c r="Z497" s="88" t="str">
        <f>IF(LISTADO_NOM!K497="","",DATE(LISTADO_NOM!M497,LISTADO_NOM!L497,LISTADO_NOM!K497))</f>
        <v/>
      </c>
      <c r="AA497" s="88" t="str">
        <f>IFERROR(INDEX($Z$14:$Z$300, MATCH(0, INDEX(COUNTIF($AA$13:AA496, $Z$14:$Z$300), 0, 0), 0)), "")</f>
        <v/>
      </c>
      <c r="AB497" s="88" t="str">
        <f t="shared" si="7"/>
        <v/>
      </c>
      <c r="AC497">
        <v>484</v>
      </c>
      <c r="AE497" t="str">
        <f>IF(LISTADO_NOM!AI497="","",VLOOKUP(LISTADO_NOM!AI497,SEGUIMIENTOS,2,FALSE))</f>
        <v/>
      </c>
    </row>
    <row r="498" spans="26:31">
      <c r="Z498" s="88" t="str">
        <f>IF(LISTADO_NOM!K498="","",DATE(LISTADO_NOM!M498,LISTADO_NOM!L498,LISTADO_NOM!K498))</f>
        <v/>
      </c>
      <c r="AA498" s="88" t="str">
        <f>IFERROR(INDEX($Z$14:$Z$300, MATCH(0, INDEX(COUNTIF($AA$13:AA497, $Z$14:$Z$300), 0, 0), 0)), "")</f>
        <v/>
      </c>
      <c r="AB498" s="88" t="str">
        <f t="shared" si="7"/>
        <v/>
      </c>
      <c r="AC498">
        <v>485</v>
      </c>
      <c r="AE498" t="str">
        <f>IF(LISTADO_NOM!AI498="","",VLOOKUP(LISTADO_NOM!AI498,SEGUIMIENTOS,2,FALSE))</f>
        <v/>
      </c>
    </row>
    <row r="499" spans="26:31">
      <c r="Z499" s="88" t="str">
        <f>IF(LISTADO_NOM!K499="","",DATE(LISTADO_NOM!M499,LISTADO_NOM!L499,LISTADO_NOM!K499))</f>
        <v/>
      </c>
      <c r="AA499" s="88" t="str">
        <f>IFERROR(INDEX($Z$14:$Z$300, MATCH(0, INDEX(COUNTIF($AA$13:AA498, $Z$14:$Z$300), 0, 0), 0)), "")</f>
        <v/>
      </c>
      <c r="AB499" s="88" t="str">
        <f t="shared" si="7"/>
        <v/>
      </c>
      <c r="AC499">
        <v>486</v>
      </c>
      <c r="AE499" t="str">
        <f>IF(LISTADO_NOM!AI499="","",VLOOKUP(LISTADO_NOM!AI499,SEGUIMIENTOS,2,FALSE))</f>
        <v/>
      </c>
    </row>
    <row r="500" spans="26:31">
      <c r="Z500" s="88" t="str">
        <f>IF(LISTADO_NOM!K500="","",DATE(LISTADO_NOM!M500,LISTADO_NOM!L500,LISTADO_NOM!K500))</f>
        <v/>
      </c>
      <c r="AA500" s="88" t="str">
        <f>IFERROR(INDEX($Z$14:$Z$300, MATCH(0, INDEX(COUNTIF($AA$13:AA499, $Z$14:$Z$300), 0, 0), 0)), "")</f>
        <v/>
      </c>
      <c r="AB500" s="88" t="str">
        <f t="shared" si="7"/>
        <v/>
      </c>
      <c r="AC500">
        <v>487</v>
      </c>
      <c r="AE500" t="str">
        <f>IF(LISTADO_NOM!AI500="","",VLOOKUP(LISTADO_NOM!AI500,SEGUIMIENTOS,2,FALSE))</f>
        <v/>
      </c>
    </row>
    <row r="501" spans="26:31">
      <c r="Z501" s="88"/>
    </row>
    <row r="502" spans="26:31">
      <c r="Z502" s="88"/>
    </row>
    <row r="503" spans="26:31">
      <c r="Z503" s="88"/>
    </row>
    <row r="504" spans="26:31">
      <c r="Z504" s="88"/>
    </row>
    <row r="505" spans="26:31">
      <c r="Z505" s="88"/>
    </row>
    <row r="506" spans="26:31">
      <c r="Z506" s="88"/>
    </row>
    <row r="507" spans="26:31">
      <c r="Z507" s="88"/>
    </row>
    <row r="508" spans="26:31">
      <c r="Z508" s="88"/>
    </row>
    <row r="509" spans="26:31">
      <c r="Z509" s="88"/>
    </row>
    <row r="510" spans="26:31">
      <c r="Z510" s="88"/>
    </row>
    <row r="511" spans="26:31">
      <c r="Z511" s="88"/>
    </row>
    <row r="512" spans="26:31">
      <c r="Z512" s="88"/>
    </row>
    <row r="513" spans="26:26">
      <c r="Z513" s="88"/>
    </row>
    <row r="514" spans="26:26">
      <c r="Z514" s="88"/>
    </row>
    <row r="515" spans="26:26">
      <c r="Z515" s="88"/>
    </row>
    <row r="516" spans="26:26">
      <c r="Z516" s="88"/>
    </row>
    <row r="517" spans="26:26">
      <c r="Z517" s="88"/>
    </row>
    <row r="518" spans="26:26">
      <c r="Z518" s="88"/>
    </row>
    <row r="519" spans="26:26">
      <c r="Z519" s="88"/>
    </row>
    <row r="520" spans="26:26">
      <c r="Z520" s="88"/>
    </row>
    <row r="521" spans="26:26">
      <c r="Z521" s="88"/>
    </row>
    <row r="522" spans="26:26">
      <c r="Z522" s="88"/>
    </row>
    <row r="523" spans="26:26">
      <c r="Z523" s="88"/>
    </row>
    <row r="524" spans="26:26">
      <c r="Z524" s="88"/>
    </row>
    <row r="525" spans="26:26">
      <c r="Z525" s="88"/>
    </row>
    <row r="526" spans="26:26">
      <c r="Z526" s="88"/>
    </row>
    <row r="527" spans="26:26">
      <c r="Z527" s="88"/>
    </row>
    <row r="528" spans="26:26">
      <c r="Z528" s="88"/>
    </row>
    <row r="529" spans="26:26">
      <c r="Z529" s="88"/>
    </row>
    <row r="530" spans="26:26">
      <c r="Z530" s="88"/>
    </row>
    <row r="531" spans="26:26">
      <c r="Z531" s="88"/>
    </row>
    <row r="532" spans="26:26">
      <c r="Z532" s="88"/>
    </row>
    <row r="533" spans="26:26">
      <c r="Z533" s="88"/>
    </row>
    <row r="534" spans="26:26">
      <c r="Z534" s="88"/>
    </row>
    <row r="535" spans="26:26">
      <c r="Z535" s="88"/>
    </row>
    <row r="536" spans="26:26">
      <c r="Z536" s="88"/>
    </row>
    <row r="537" spans="26:26">
      <c r="Z537" s="88"/>
    </row>
    <row r="538" spans="26:26">
      <c r="Z538" s="88"/>
    </row>
    <row r="539" spans="26:26">
      <c r="Z539" s="88"/>
    </row>
    <row r="540" spans="26:26">
      <c r="Z540" s="88"/>
    </row>
    <row r="541" spans="26:26">
      <c r="Z541" s="88"/>
    </row>
    <row r="542" spans="26:26">
      <c r="Z542" s="88"/>
    </row>
    <row r="543" spans="26:26">
      <c r="Z543" s="88"/>
    </row>
    <row r="544" spans="26:26">
      <c r="Z544" s="88"/>
    </row>
    <row r="545" spans="26:26">
      <c r="Z545" s="88"/>
    </row>
    <row r="546" spans="26:26">
      <c r="Z546" s="88"/>
    </row>
    <row r="547" spans="26:26">
      <c r="Z547" s="88"/>
    </row>
    <row r="548" spans="26:26">
      <c r="Z548" s="88"/>
    </row>
    <row r="549" spans="26:26">
      <c r="Z549" s="88"/>
    </row>
    <row r="550" spans="26:26">
      <c r="Z550" s="88"/>
    </row>
    <row r="551" spans="26:26">
      <c r="Z551" s="88"/>
    </row>
    <row r="552" spans="26:26">
      <c r="Z552" s="88"/>
    </row>
    <row r="553" spans="26:26">
      <c r="Z553" s="88"/>
    </row>
    <row r="554" spans="26:26">
      <c r="Z554" s="88"/>
    </row>
    <row r="555" spans="26:26">
      <c r="Z555" s="88"/>
    </row>
    <row r="556" spans="26:26">
      <c r="Z556" s="88"/>
    </row>
    <row r="557" spans="26:26">
      <c r="Z557" s="88"/>
    </row>
    <row r="558" spans="26:26">
      <c r="Z558" s="88"/>
    </row>
    <row r="559" spans="26:26">
      <c r="Z559" s="88"/>
    </row>
    <row r="560" spans="26:26">
      <c r="Z560" s="88"/>
    </row>
    <row r="561" spans="26:26">
      <c r="Z561" s="88"/>
    </row>
    <row r="562" spans="26:26">
      <c r="Z562" s="88"/>
    </row>
    <row r="563" spans="26:26">
      <c r="Z563" s="88"/>
    </row>
    <row r="564" spans="26:26">
      <c r="Z564" s="88"/>
    </row>
    <row r="565" spans="26:26">
      <c r="Z565" s="88"/>
    </row>
    <row r="566" spans="26:26">
      <c r="Z566" s="88"/>
    </row>
    <row r="567" spans="26:26">
      <c r="Z567" s="88"/>
    </row>
    <row r="568" spans="26:26">
      <c r="Z568" s="88"/>
    </row>
    <row r="569" spans="26:26">
      <c r="Z569" s="88"/>
    </row>
    <row r="570" spans="26:26">
      <c r="Z570" s="88"/>
    </row>
    <row r="571" spans="26:26">
      <c r="Z571" s="88"/>
    </row>
    <row r="572" spans="26:26">
      <c r="Z572" s="88"/>
    </row>
    <row r="573" spans="26:26">
      <c r="Z573" s="88"/>
    </row>
    <row r="574" spans="26:26">
      <c r="Z574" s="88"/>
    </row>
    <row r="575" spans="26:26">
      <c r="Z575" s="88"/>
    </row>
    <row r="576" spans="26:26">
      <c r="Z576" s="88"/>
    </row>
    <row r="577" spans="26:26">
      <c r="Z577" s="88"/>
    </row>
    <row r="578" spans="26:26">
      <c r="Z578" s="88"/>
    </row>
    <row r="579" spans="26:26">
      <c r="Z579" s="88"/>
    </row>
    <row r="580" spans="26:26">
      <c r="Z580" s="88"/>
    </row>
    <row r="581" spans="26:26">
      <c r="Z581" s="88"/>
    </row>
    <row r="582" spans="26:26">
      <c r="Z582" s="88"/>
    </row>
    <row r="583" spans="26:26">
      <c r="Z583" s="88"/>
    </row>
    <row r="584" spans="26:26">
      <c r="Z584" s="88"/>
    </row>
    <row r="585" spans="26:26">
      <c r="Z585" s="88"/>
    </row>
    <row r="586" spans="26:26">
      <c r="Z586" s="88"/>
    </row>
    <row r="587" spans="26:26">
      <c r="Z587" s="88"/>
    </row>
    <row r="588" spans="26:26">
      <c r="Z588" s="88"/>
    </row>
    <row r="589" spans="26:26">
      <c r="Z589" s="88"/>
    </row>
    <row r="590" spans="26:26">
      <c r="Z590" s="88"/>
    </row>
    <row r="591" spans="26:26">
      <c r="Z591" s="88"/>
    </row>
    <row r="592" spans="26:26">
      <c r="Z592" s="88"/>
    </row>
    <row r="593" spans="26:26">
      <c r="Z593" s="88"/>
    </row>
    <row r="594" spans="26:26">
      <c r="Z594" s="88"/>
    </row>
    <row r="595" spans="26:26">
      <c r="Z595" s="88"/>
    </row>
    <row r="596" spans="26:26">
      <c r="Z596" s="88"/>
    </row>
    <row r="597" spans="26:26">
      <c r="Z597" s="88"/>
    </row>
    <row r="598" spans="26:26">
      <c r="Z598" s="88"/>
    </row>
    <row r="599" spans="26:26">
      <c r="Z599" s="88"/>
    </row>
    <row r="600" spans="26:26">
      <c r="Z600" s="88"/>
    </row>
    <row r="601" spans="26:26">
      <c r="Z601" s="88"/>
    </row>
    <row r="602" spans="26:26">
      <c r="Z602" s="88"/>
    </row>
    <row r="603" spans="26:26">
      <c r="Z603" s="88"/>
    </row>
    <row r="604" spans="26:26">
      <c r="Z604" s="88"/>
    </row>
    <row r="605" spans="26:26">
      <c r="Z605" s="88"/>
    </row>
    <row r="606" spans="26:26">
      <c r="Z606" s="88"/>
    </row>
    <row r="607" spans="26:26">
      <c r="Z607" s="88"/>
    </row>
    <row r="608" spans="26:26">
      <c r="Z608" s="88"/>
    </row>
    <row r="609" spans="26:26">
      <c r="Z609" s="88"/>
    </row>
    <row r="610" spans="26:26">
      <c r="Z610" s="88"/>
    </row>
    <row r="611" spans="26:26">
      <c r="Z611" s="88"/>
    </row>
    <row r="612" spans="26:26">
      <c r="Z612" s="88"/>
    </row>
    <row r="613" spans="26:26">
      <c r="Z613" s="88"/>
    </row>
    <row r="614" spans="26:26">
      <c r="Z614" s="88"/>
    </row>
    <row r="615" spans="26:26">
      <c r="Z615" s="88"/>
    </row>
    <row r="616" spans="26:26">
      <c r="Z616" s="88"/>
    </row>
    <row r="617" spans="26:26">
      <c r="Z617" s="88"/>
    </row>
    <row r="618" spans="26:26">
      <c r="Z618" s="88"/>
    </row>
    <row r="619" spans="26:26">
      <c r="Z619" s="88"/>
    </row>
    <row r="620" spans="26:26">
      <c r="Z620" s="88"/>
    </row>
    <row r="621" spans="26:26">
      <c r="Z621" s="88"/>
    </row>
    <row r="622" spans="26:26">
      <c r="Z622" s="88"/>
    </row>
    <row r="623" spans="26:26">
      <c r="Z623" s="88"/>
    </row>
    <row r="624" spans="26:26">
      <c r="Z624" s="88"/>
    </row>
    <row r="625" spans="26:26">
      <c r="Z625" s="88"/>
    </row>
    <row r="626" spans="26:26">
      <c r="Z626" s="88"/>
    </row>
    <row r="627" spans="26:26">
      <c r="Z627" s="88"/>
    </row>
    <row r="628" spans="26:26">
      <c r="Z628" s="88"/>
    </row>
    <row r="629" spans="26:26">
      <c r="Z629" s="88"/>
    </row>
    <row r="630" spans="26:26">
      <c r="Z630" s="88"/>
    </row>
    <row r="631" spans="26:26">
      <c r="Z631" s="88"/>
    </row>
    <row r="632" spans="26:26">
      <c r="Z632" s="88"/>
    </row>
    <row r="633" spans="26:26">
      <c r="Z633" s="88"/>
    </row>
    <row r="634" spans="26:26">
      <c r="Z634" s="88"/>
    </row>
    <row r="635" spans="26:26">
      <c r="Z635" s="88"/>
    </row>
    <row r="636" spans="26:26">
      <c r="Z636" s="88"/>
    </row>
    <row r="637" spans="26:26">
      <c r="Z637" s="88"/>
    </row>
    <row r="638" spans="26:26">
      <c r="Z638" s="88"/>
    </row>
    <row r="639" spans="26:26">
      <c r="Z639" s="88"/>
    </row>
    <row r="640" spans="26:26">
      <c r="Z640" s="88"/>
    </row>
    <row r="641" spans="26:26">
      <c r="Z641" s="88"/>
    </row>
    <row r="642" spans="26:26">
      <c r="Z642" s="88"/>
    </row>
    <row r="643" spans="26:26">
      <c r="Z643" s="88"/>
    </row>
    <row r="644" spans="26:26">
      <c r="Z644" s="88"/>
    </row>
    <row r="645" spans="26:26">
      <c r="Z645" s="88"/>
    </row>
    <row r="646" spans="26:26">
      <c r="Z646" s="88"/>
    </row>
    <row r="647" spans="26:26">
      <c r="Z647" s="88"/>
    </row>
    <row r="648" spans="26:26">
      <c r="Z648" s="88"/>
    </row>
    <row r="649" spans="26:26">
      <c r="Z649" s="88"/>
    </row>
    <row r="650" spans="26:26">
      <c r="Z650" s="88"/>
    </row>
    <row r="651" spans="26:26">
      <c r="Z651" s="88"/>
    </row>
    <row r="652" spans="26:26">
      <c r="Z652" s="88"/>
    </row>
    <row r="653" spans="26:26">
      <c r="Z653" s="88"/>
    </row>
    <row r="654" spans="26:26">
      <c r="Z654" s="88"/>
    </row>
    <row r="655" spans="26:26">
      <c r="Z655" s="88"/>
    </row>
    <row r="656" spans="26:26">
      <c r="Z656" s="88"/>
    </row>
    <row r="657" spans="26:26">
      <c r="Z657" s="88"/>
    </row>
    <row r="658" spans="26:26">
      <c r="Z658" s="88"/>
    </row>
    <row r="659" spans="26:26">
      <c r="Z659" s="88"/>
    </row>
    <row r="660" spans="26:26">
      <c r="Z660" s="88"/>
    </row>
    <row r="661" spans="26:26">
      <c r="Z661" s="88"/>
    </row>
    <row r="662" spans="26:26">
      <c r="Z662" s="88"/>
    </row>
    <row r="663" spans="26:26">
      <c r="Z663" s="88"/>
    </row>
    <row r="664" spans="26:26">
      <c r="Z664" s="88"/>
    </row>
    <row r="665" spans="26:26">
      <c r="Z665" s="88"/>
    </row>
    <row r="666" spans="26:26">
      <c r="Z666" s="88"/>
    </row>
    <row r="667" spans="26:26">
      <c r="Z667" s="88"/>
    </row>
    <row r="668" spans="26:26">
      <c r="Z668" s="88"/>
    </row>
    <row r="669" spans="26:26">
      <c r="Z669" s="88"/>
    </row>
    <row r="670" spans="26:26">
      <c r="Z670" s="88"/>
    </row>
    <row r="671" spans="26:26">
      <c r="Z671" s="88"/>
    </row>
    <row r="672" spans="26:26">
      <c r="Z672" s="88"/>
    </row>
    <row r="673" spans="26:26">
      <c r="Z673" s="88"/>
    </row>
    <row r="674" spans="26:26">
      <c r="Z674" s="88"/>
    </row>
    <row r="675" spans="26:26">
      <c r="Z675" s="88"/>
    </row>
    <row r="676" spans="26:26">
      <c r="Z676" s="88"/>
    </row>
    <row r="677" spans="26:26">
      <c r="Z677" s="88"/>
    </row>
    <row r="678" spans="26:26">
      <c r="Z678" s="88"/>
    </row>
    <row r="679" spans="26:26">
      <c r="Z679" s="88"/>
    </row>
    <row r="680" spans="26:26">
      <c r="Z680" s="88"/>
    </row>
    <row r="681" spans="26:26">
      <c r="Z681" s="88"/>
    </row>
    <row r="682" spans="26:26">
      <c r="Z682" s="88"/>
    </row>
    <row r="683" spans="26:26">
      <c r="Z683" s="88"/>
    </row>
    <row r="684" spans="26:26">
      <c r="Z684" s="88"/>
    </row>
    <row r="685" spans="26:26">
      <c r="Z685" s="88"/>
    </row>
    <row r="686" spans="26:26">
      <c r="Z686" s="88"/>
    </row>
    <row r="687" spans="26:26">
      <c r="Z687" s="88"/>
    </row>
    <row r="688" spans="26:26">
      <c r="Z688" s="88"/>
    </row>
    <row r="689" spans="26:26">
      <c r="Z689" s="88"/>
    </row>
    <row r="690" spans="26:26">
      <c r="Z690" s="88"/>
    </row>
    <row r="691" spans="26:26">
      <c r="Z691" s="88"/>
    </row>
    <row r="692" spans="26:26">
      <c r="Z692" s="88"/>
    </row>
    <row r="693" spans="26:26">
      <c r="Z693" s="88"/>
    </row>
    <row r="694" spans="26:26">
      <c r="Z694" s="88"/>
    </row>
    <row r="695" spans="26:26">
      <c r="Z695" s="88"/>
    </row>
    <row r="696" spans="26:26">
      <c r="Z696" s="88"/>
    </row>
    <row r="697" spans="26:26">
      <c r="Z697" s="88"/>
    </row>
    <row r="698" spans="26:26">
      <c r="Z698" s="88"/>
    </row>
    <row r="699" spans="26:26">
      <c r="Z699" s="88"/>
    </row>
    <row r="700" spans="26:26">
      <c r="Z700" s="88"/>
    </row>
    <row r="701" spans="26:26">
      <c r="Z701" s="88"/>
    </row>
    <row r="702" spans="26:26">
      <c r="Z702" s="88"/>
    </row>
    <row r="703" spans="26:26">
      <c r="Z703" s="88"/>
    </row>
    <row r="704" spans="26:26">
      <c r="Z704" s="88"/>
    </row>
    <row r="705" spans="26:26">
      <c r="Z705" s="88"/>
    </row>
    <row r="706" spans="26:26">
      <c r="Z706" s="88"/>
    </row>
    <row r="707" spans="26:26">
      <c r="Z707" s="88"/>
    </row>
    <row r="708" spans="26:26">
      <c r="Z708" s="88"/>
    </row>
    <row r="709" spans="26:26">
      <c r="Z709" s="88"/>
    </row>
    <row r="710" spans="26:26">
      <c r="Z710" s="88"/>
    </row>
    <row r="711" spans="26:26">
      <c r="Z711" s="88"/>
    </row>
    <row r="712" spans="26:26">
      <c r="Z712" s="88"/>
    </row>
    <row r="713" spans="26:26">
      <c r="Z713" s="88"/>
    </row>
    <row r="714" spans="26:26">
      <c r="Z714" s="88"/>
    </row>
    <row r="715" spans="26:26">
      <c r="Z715" s="88"/>
    </row>
    <row r="716" spans="26:26">
      <c r="Z716" s="88"/>
    </row>
    <row r="717" spans="26:26">
      <c r="Z717" s="88"/>
    </row>
    <row r="718" spans="26:26">
      <c r="Z718" s="88"/>
    </row>
    <row r="719" spans="26:26">
      <c r="Z719" s="88"/>
    </row>
    <row r="720" spans="26:26">
      <c r="Z720" s="88"/>
    </row>
    <row r="721" spans="26:26">
      <c r="Z721" s="88"/>
    </row>
    <row r="722" spans="26:26">
      <c r="Z722" s="88"/>
    </row>
    <row r="723" spans="26:26">
      <c r="Z723" s="88"/>
    </row>
    <row r="724" spans="26:26">
      <c r="Z724" s="88"/>
    </row>
    <row r="725" spans="26:26">
      <c r="Z725" s="88"/>
    </row>
    <row r="726" spans="26:26">
      <c r="Z726" s="88"/>
    </row>
    <row r="727" spans="26:26">
      <c r="Z727" s="88"/>
    </row>
    <row r="728" spans="26:26">
      <c r="Z728" s="88"/>
    </row>
    <row r="729" spans="26:26">
      <c r="Z729" s="88"/>
    </row>
    <row r="730" spans="26:26">
      <c r="Z730" s="88"/>
    </row>
    <row r="731" spans="26:26">
      <c r="Z731" s="88"/>
    </row>
    <row r="732" spans="26:26">
      <c r="Z732" s="88"/>
    </row>
    <row r="733" spans="26:26">
      <c r="Z733" s="88"/>
    </row>
    <row r="734" spans="26:26">
      <c r="Z734" s="88"/>
    </row>
    <row r="735" spans="26:26">
      <c r="Z735" s="88"/>
    </row>
    <row r="736" spans="26:26">
      <c r="Z736" s="88"/>
    </row>
    <row r="737" spans="26:26">
      <c r="Z737" s="88"/>
    </row>
    <row r="738" spans="26:26">
      <c r="Z738" s="88"/>
    </row>
    <row r="739" spans="26:26">
      <c r="Z739" s="88"/>
    </row>
    <row r="740" spans="26:26">
      <c r="Z740" s="88"/>
    </row>
    <row r="741" spans="26:26">
      <c r="Z741" s="88"/>
    </row>
    <row r="742" spans="26:26">
      <c r="Z742" s="88"/>
    </row>
    <row r="743" spans="26:26">
      <c r="Z743" s="88"/>
    </row>
    <row r="744" spans="26:26">
      <c r="Z744" s="88"/>
    </row>
    <row r="745" spans="26:26">
      <c r="Z745" s="88"/>
    </row>
    <row r="746" spans="26:26">
      <c r="Z746" s="88"/>
    </row>
    <row r="747" spans="26:26">
      <c r="Z747" s="88"/>
    </row>
    <row r="748" spans="26:26">
      <c r="Z748" s="88"/>
    </row>
    <row r="749" spans="26:26">
      <c r="Z749" s="88"/>
    </row>
    <row r="750" spans="26:26">
      <c r="Z750" s="88"/>
    </row>
    <row r="751" spans="26:26">
      <c r="Z751" s="88"/>
    </row>
    <row r="752" spans="26:26">
      <c r="Z752" s="88"/>
    </row>
    <row r="753" spans="26:26">
      <c r="Z753" s="88"/>
    </row>
    <row r="754" spans="26:26">
      <c r="Z754" s="88"/>
    </row>
    <row r="755" spans="26:26">
      <c r="Z755" s="88"/>
    </row>
    <row r="756" spans="26:26">
      <c r="Z756" s="88"/>
    </row>
    <row r="757" spans="26:26">
      <c r="Z757" s="88"/>
    </row>
    <row r="758" spans="26:26">
      <c r="Z758" s="88"/>
    </row>
    <row r="759" spans="26:26">
      <c r="Z759" s="88"/>
    </row>
    <row r="760" spans="26:26">
      <c r="Z760" s="88"/>
    </row>
    <row r="761" spans="26:26">
      <c r="Z761" s="88"/>
    </row>
    <row r="762" spans="26:26">
      <c r="Z762" s="88"/>
    </row>
    <row r="763" spans="26:26">
      <c r="Z763" s="88"/>
    </row>
    <row r="764" spans="26:26">
      <c r="Z764" s="88"/>
    </row>
    <row r="765" spans="26:26">
      <c r="Z765" s="88"/>
    </row>
    <row r="766" spans="26:26">
      <c r="Z766" s="88"/>
    </row>
    <row r="767" spans="26:26">
      <c r="Z767" s="88"/>
    </row>
    <row r="768" spans="26:26">
      <c r="Z768" s="88"/>
    </row>
    <row r="769" spans="26:26">
      <c r="Z769" s="88"/>
    </row>
    <row r="770" spans="26:26">
      <c r="Z770" s="88"/>
    </row>
    <row r="771" spans="26:26">
      <c r="Z771" s="88"/>
    </row>
    <row r="772" spans="26:26">
      <c r="Z772" s="88"/>
    </row>
    <row r="773" spans="26:26">
      <c r="Z773" s="88"/>
    </row>
    <row r="774" spans="26:26">
      <c r="Z774" s="88"/>
    </row>
    <row r="775" spans="26:26">
      <c r="Z775" s="88"/>
    </row>
    <row r="776" spans="26:26">
      <c r="Z776" s="88"/>
    </row>
    <row r="777" spans="26:26">
      <c r="Z777" s="88"/>
    </row>
    <row r="778" spans="26:26">
      <c r="Z778" s="88"/>
    </row>
    <row r="779" spans="26:26">
      <c r="Z779" s="88"/>
    </row>
    <row r="780" spans="26:26">
      <c r="Z780" s="88"/>
    </row>
    <row r="781" spans="26:26">
      <c r="Z781" s="88"/>
    </row>
    <row r="782" spans="26:26">
      <c r="Z782" s="88"/>
    </row>
    <row r="783" spans="26:26">
      <c r="Z783" s="88"/>
    </row>
    <row r="784" spans="26:26">
      <c r="Z784" s="88"/>
    </row>
    <row r="785" spans="26:26">
      <c r="Z785" s="88"/>
    </row>
    <row r="786" spans="26:26">
      <c r="Z786" s="88"/>
    </row>
    <row r="787" spans="26:26">
      <c r="Z787" s="88"/>
    </row>
    <row r="788" spans="26:26">
      <c r="Z788" s="88"/>
    </row>
    <row r="789" spans="26:26">
      <c r="Z789" s="88"/>
    </row>
    <row r="790" spans="26:26">
      <c r="Z790" s="88"/>
    </row>
    <row r="791" spans="26:26">
      <c r="Z791" s="88"/>
    </row>
    <row r="792" spans="26:26">
      <c r="Z792" s="88"/>
    </row>
    <row r="793" spans="26:26">
      <c r="Z793" s="88"/>
    </row>
    <row r="794" spans="26:26">
      <c r="Z794" s="88"/>
    </row>
    <row r="795" spans="26:26">
      <c r="Z795" s="88"/>
    </row>
    <row r="796" spans="26:26">
      <c r="Z796" s="88"/>
    </row>
    <row r="797" spans="26:26">
      <c r="Z797" s="88"/>
    </row>
    <row r="798" spans="26:26">
      <c r="Z798" s="88"/>
    </row>
    <row r="799" spans="26:26">
      <c r="Z799" s="88"/>
    </row>
    <row r="800" spans="26:26">
      <c r="Z800" s="88"/>
    </row>
    <row r="801" spans="26:26">
      <c r="Z801" s="88"/>
    </row>
    <row r="802" spans="26:26">
      <c r="Z802" s="88"/>
    </row>
    <row r="803" spans="26:26">
      <c r="Z803" s="88"/>
    </row>
    <row r="804" spans="26:26">
      <c r="Z804" s="88"/>
    </row>
    <row r="805" spans="26:26">
      <c r="Z805" s="88"/>
    </row>
    <row r="806" spans="26:26">
      <c r="Z806" s="88"/>
    </row>
    <row r="807" spans="26:26">
      <c r="Z807" s="88"/>
    </row>
    <row r="808" spans="26:26">
      <c r="Z808" s="88"/>
    </row>
    <row r="809" spans="26:26">
      <c r="Z809" s="88"/>
    </row>
    <row r="810" spans="26:26">
      <c r="Z810" s="88"/>
    </row>
    <row r="811" spans="26:26">
      <c r="Z811" s="88"/>
    </row>
    <row r="812" spans="26:26">
      <c r="Z812" s="88"/>
    </row>
    <row r="813" spans="26:26">
      <c r="Z813" s="88"/>
    </row>
    <row r="814" spans="26:26">
      <c r="Z814" s="88"/>
    </row>
    <row r="815" spans="26:26">
      <c r="Z815" s="88"/>
    </row>
    <row r="816" spans="26:26">
      <c r="Z816" s="88"/>
    </row>
    <row r="817" spans="26:26">
      <c r="Z817" s="88"/>
    </row>
    <row r="818" spans="26:26">
      <c r="Z818" s="88"/>
    </row>
    <row r="819" spans="26:26">
      <c r="Z819" s="88"/>
    </row>
    <row r="820" spans="26:26">
      <c r="Z820" s="88"/>
    </row>
    <row r="821" spans="26:26">
      <c r="Z821" s="88"/>
    </row>
    <row r="822" spans="26:26">
      <c r="Z822" s="88"/>
    </row>
    <row r="823" spans="26:26">
      <c r="Z823" s="88"/>
    </row>
    <row r="824" spans="26:26">
      <c r="Z824" s="88"/>
    </row>
    <row r="825" spans="26:26">
      <c r="Z825" s="88"/>
    </row>
    <row r="826" spans="26:26">
      <c r="Z826" s="88"/>
    </row>
    <row r="827" spans="26:26">
      <c r="Z827" s="88"/>
    </row>
    <row r="828" spans="26:26">
      <c r="Z828" s="88"/>
    </row>
    <row r="829" spans="26:26">
      <c r="Z829" s="88"/>
    </row>
    <row r="830" spans="26:26">
      <c r="Z830" s="88"/>
    </row>
    <row r="831" spans="26:26">
      <c r="Z831" s="88"/>
    </row>
    <row r="832" spans="26:26">
      <c r="Z832" s="88"/>
    </row>
    <row r="833" spans="26:26">
      <c r="Z833" s="88"/>
    </row>
    <row r="834" spans="26:26">
      <c r="Z834" s="88"/>
    </row>
    <row r="835" spans="26:26">
      <c r="Z835" s="88"/>
    </row>
    <row r="836" spans="26:26">
      <c r="Z836" s="88"/>
    </row>
    <row r="837" spans="26:26">
      <c r="Z837" s="88"/>
    </row>
    <row r="838" spans="26:26">
      <c r="Z838" s="88"/>
    </row>
    <row r="839" spans="26:26">
      <c r="Z839" s="88"/>
    </row>
    <row r="840" spans="26:26">
      <c r="Z840" s="88"/>
    </row>
    <row r="841" spans="26:26">
      <c r="Z841" s="88"/>
    </row>
    <row r="842" spans="26:26">
      <c r="Z842" s="88"/>
    </row>
    <row r="843" spans="26:26">
      <c r="Z843" s="88"/>
    </row>
    <row r="844" spans="26:26">
      <c r="Z844" s="88"/>
    </row>
    <row r="845" spans="26:26">
      <c r="Z845" s="88"/>
    </row>
    <row r="846" spans="26:26">
      <c r="Z846" s="88"/>
    </row>
    <row r="847" spans="26:26">
      <c r="Z847" s="88"/>
    </row>
    <row r="848" spans="26:26">
      <c r="Z848" s="88"/>
    </row>
    <row r="849" spans="26:26">
      <c r="Z849" s="88"/>
    </row>
    <row r="850" spans="26:26">
      <c r="Z850" s="88"/>
    </row>
    <row r="851" spans="26:26">
      <c r="Z851" s="88"/>
    </row>
    <row r="852" spans="26:26">
      <c r="Z852" s="88"/>
    </row>
    <row r="853" spans="26:26">
      <c r="Z853" s="88"/>
    </row>
    <row r="854" spans="26:26">
      <c r="Z854" s="88"/>
    </row>
    <row r="855" spans="26:26">
      <c r="Z855" s="88"/>
    </row>
    <row r="856" spans="26:26">
      <c r="Z856" s="88"/>
    </row>
    <row r="857" spans="26:26">
      <c r="Z857" s="88"/>
    </row>
    <row r="858" spans="26:26">
      <c r="Z858" s="88"/>
    </row>
    <row r="859" spans="26:26">
      <c r="Z859" s="88"/>
    </row>
    <row r="860" spans="26:26">
      <c r="Z860" s="88"/>
    </row>
    <row r="861" spans="26:26">
      <c r="Z861" s="88"/>
    </row>
    <row r="862" spans="26:26">
      <c r="Z862" s="88"/>
    </row>
    <row r="863" spans="26:26">
      <c r="Z863" s="88"/>
    </row>
    <row r="864" spans="26:26">
      <c r="Z864" s="88"/>
    </row>
    <row r="865" spans="26:26">
      <c r="Z865" s="88"/>
    </row>
    <row r="866" spans="26:26">
      <c r="Z866" s="88"/>
    </row>
    <row r="867" spans="26:26">
      <c r="Z867" s="88"/>
    </row>
    <row r="868" spans="26:26">
      <c r="Z868" s="88"/>
    </row>
    <row r="869" spans="26:26">
      <c r="Z869" s="88"/>
    </row>
    <row r="870" spans="26:26">
      <c r="Z870" s="88"/>
    </row>
    <row r="871" spans="26:26">
      <c r="Z871" s="88"/>
    </row>
    <row r="872" spans="26:26">
      <c r="Z872" s="88"/>
    </row>
    <row r="873" spans="26:26">
      <c r="Z873" s="88"/>
    </row>
    <row r="874" spans="26:26">
      <c r="Z874" s="88"/>
    </row>
    <row r="875" spans="26:26">
      <c r="Z875" s="88"/>
    </row>
    <row r="876" spans="26:26">
      <c r="Z876" s="88"/>
    </row>
    <row r="877" spans="26:26">
      <c r="Z877" s="88"/>
    </row>
    <row r="878" spans="26:26">
      <c r="Z878" s="88"/>
    </row>
    <row r="879" spans="26:26">
      <c r="Z879" s="88"/>
    </row>
    <row r="880" spans="26:26">
      <c r="Z880" s="88"/>
    </row>
    <row r="881" spans="26:26">
      <c r="Z881" s="88"/>
    </row>
    <row r="882" spans="26:26">
      <c r="Z882" s="88"/>
    </row>
    <row r="883" spans="26:26">
      <c r="Z883" s="88"/>
    </row>
    <row r="884" spans="26:26">
      <c r="Z884" s="88"/>
    </row>
    <row r="885" spans="26:26">
      <c r="Z885" s="88"/>
    </row>
    <row r="886" spans="26:26">
      <c r="Z886" s="88"/>
    </row>
    <row r="887" spans="26:26">
      <c r="Z887" s="88"/>
    </row>
    <row r="888" spans="26:26">
      <c r="Z888" s="88"/>
    </row>
    <row r="889" spans="26:26">
      <c r="Z889" s="88"/>
    </row>
    <row r="890" spans="26:26">
      <c r="Z890" s="88"/>
    </row>
    <row r="891" spans="26:26">
      <c r="Z891" s="88"/>
    </row>
    <row r="892" spans="26:26">
      <c r="Z892" s="88"/>
    </row>
    <row r="893" spans="26:26">
      <c r="Z893" s="88"/>
    </row>
    <row r="894" spans="26:26">
      <c r="Z894" s="88"/>
    </row>
    <row r="895" spans="26:26">
      <c r="Z895" s="88"/>
    </row>
    <row r="896" spans="26:26">
      <c r="Z896" s="88"/>
    </row>
    <row r="897" spans="26:26">
      <c r="Z897" s="88"/>
    </row>
    <row r="898" spans="26:26">
      <c r="Z898" s="88"/>
    </row>
    <row r="899" spans="26:26">
      <c r="Z899" s="88"/>
    </row>
    <row r="900" spans="26:26">
      <c r="Z900" s="88"/>
    </row>
    <row r="901" spans="26:26">
      <c r="Z901" s="88"/>
    </row>
    <row r="902" spans="26:26">
      <c r="Z902" s="88"/>
    </row>
    <row r="903" spans="26:26">
      <c r="Z903" s="88"/>
    </row>
    <row r="904" spans="26:26">
      <c r="Z904" s="88"/>
    </row>
    <row r="905" spans="26:26">
      <c r="Z905" s="88"/>
    </row>
    <row r="906" spans="26:26">
      <c r="Z906" s="88"/>
    </row>
    <row r="907" spans="26:26">
      <c r="Z907" s="88"/>
    </row>
    <row r="908" spans="26:26">
      <c r="Z908" s="88"/>
    </row>
    <row r="909" spans="26:26">
      <c r="Z909" s="88"/>
    </row>
    <row r="910" spans="26:26">
      <c r="Z910" s="88"/>
    </row>
    <row r="911" spans="26:26">
      <c r="Z911" s="88"/>
    </row>
    <row r="912" spans="26:26">
      <c r="Z912" s="88"/>
    </row>
    <row r="913" spans="26:26">
      <c r="Z913" s="88"/>
    </row>
    <row r="914" spans="26:26">
      <c r="Z914" s="88"/>
    </row>
    <row r="915" spans="26:26">
      <c r="Z915" s="88"/>
    </row>
    <row r="916" spans="26:26">
      <c r="Z916" s="88"/>
    </row>
    <row r="917" spans="26:26">
      <c r="Z917" s="88"/>
    </row>
    <row r="918" spans="26:26">
      <c r="Z918" s="88"/>
    </row>
    <row r="919" spans="26:26">
      <c r="Z919" s="88"/>
    </row>
    <row r="920" spans="26:26">
      <c r="Z920" s="88"/>
    </row>
    <row r="921" spans="26:26">
      <c r="Z921" s="88"/>
    </row>
    <row r="922" spans="26:26">
      <c r="Z922" s="88"/>
    </row>
    <row r="923" spans="26:26">
      <c r="Z923" s="88"/>
    </row>
    <row r="924" spans="26:26">
      <c r="Z924" s="88"/>
    </row>
    <row r="925" spans="26:26">
      <c r="Z925" s="88"/>
    </row>
    <row r="926" spans="26:26">
      <c r="Z926" s="88"/>
    </row>
    <row r="927" spans="26:26">
      <c r="Z927" s="88"/>
    </row>
    <row r="928" spans="26:26">
      <c r="Z928" s="88"/>
    </row>
    <row r="929" spans="26:26">
      <c r="Z929" s="88"/>
    </row>
    <row r="930" spans="26:26">
      <c r="Z930" s="88"/>
    </row>
    <row r="931" spans="26:26">
      <c r="Z931" s="88"/>
    </row>
    <row r="932" spans="26:26">
      <c r="Z932" s="88"/>
    </row>
    <row r="933" spans="26:26">
      <c r="Z933" s="88"/>
    </row>
    <row r="934" spans="26:26">
      <c r="Z934" s="88"/>
    </row>
    <row r="935" spans="26:26">
      <c r="Z935" s="88"/>
    </row>
    <row r="936" spans="26:26">
      <c r="Z936" s="88"/>
    </row>
    <row r="937" spans="26:26">
      <c r="Z937" s="88"/>
    </row>
    <row r="938" spans="26:26">
      <c r="Z938" s="88"/>
    </row>
    <row r="939" spans="26:26">
      <c r="Z939" s="88"/>
    </row>
    <row r="940" spans="26:26">
      <c r="Z940" s="88"/>
    </row>
    <row r="941" spans="26:26">
      <c r="Z941" s="88"/>
    </row>
    <row r="942" spans="26:26">
      <c r="Z942" s="88"/>
    </row>
    <row r="943" spans="26:26">
      <c r="Z943" s="88"/>
    </row>
    <row r="944" spans="26:26">
      <c r="Z944" s="88"/>
    </row>
    <row r="945" spans="26:26">
      <c r="Z945" s="88"/>
    </row>
    <row r="946" spans="26:26">
      <c r="Z946" s="88"/>
    </row>
    <row r="947" spans="26:26">
      <c r="Z947" s="88"/>
    </row>
    <row r="948" spans="26:26">
      <c r="Z948" s="88"/>
    </row>
    <row r="949" spans="26:26">
      <c r="Z949" s="88"/>
    </row>
    <row r="950" spans="26:26">
      <c r="Z950" s="88"/>
    </row>
    <row r="951" spans="26:26">
      <c r="Z951" s="88"/>
    </row>
    <row r="952" spans="26:26">
      <c r="Z952" s="88"/>
    </row>
    <row r="953" spans="26:26">
      <c r="Z953" s="88"/>
    </row>
    <row r="954" spans="26:26">
      <c r="Z954" s="88"/>
    </row>
    <row r="955" spans="26:26">
      <c r="Z955" s="88"/>
    </row>
    <row r="956" spans="26:26">
      <c r="Z956" s="88"/>
    </row>
    <row r="957" spans="26:26">
      <c r="Z957" s="88"/>
    </row>
    <row r="958" spans="26:26">
      <c r="Z958" s="88"/>
    </row>
    <row r="959" spans="26:26">
      <c r="Z959" s="88"/>
    </row>
    <row r="960" spans="26:26">
      <c r="Z960" s="88"/>
    </row>
    <row r="961" spans="26:26">
      <c r="Z961" s="88"/>
    </row>
    <row r="962" spans="26:26">
      <c r="Z962" s="88"/>
    </row>
    <row r="963" spans="26:26">
      <c r="Z963" s="88"/>
    </row>
    <row r="964" spans="26:26">
      <c r="Z964" s="88"/>
    </row>
    <row r="965" spans="26:26">
      <c r="Z965" s="88"/>
    </row>
    <row r="966" spans="26:26">
      <c r="Z966" s="88"/>
    </row>
    <row r="967" spans="26:26">
      <c r="Z967" s="88"/>
    </row>
    <row r="968" spans="26:26">
      <c r="Z968" s="88"/>
    </row>
    <row r="969" spans="26:26">
      <c r="Z969" s="88"/>
    </row>
    <row r="970" spans="26:26">
      <c r="Z970" s="88"/>
    </row>
    <row r="971" spans="26:26">
      <c r="Z971" s="88"/>
    </row>
    <row r="972" spans="26:26">
      <c r="Z972" s="88"/>
    </row>
    <row r="973" spans="26:26">
      <c r="Z973" s="88"/>
    </row>
    <row r="974" spans="26:26">
      <c r="Z974" s="88"/>
    </row>
    <row r="975" spans="26:26">
      <c r="Z975" s="88"/>
    </row>
    <row r="976" spans="26:26">
      <c r="Z976" s="88"/>
    </row>
    <row r="977" spans="26:26">
      <c r="Z977" s="88"/>
    </row>
    <row r="978" spans="26:26">
      <c r="Z978" s="88"/>
    </row>
    <row r="979" spans="26:26">
      <c r="Z979" s="88"/>
    </row>
    <row r="980" spans="26:26">
      <c r="Z980" s="88"/>
    </row>
    <row r="981" spans="26:26">
      <c r="Z981" s="88"/>
    </row>
    <row r="982" spans="26:26">
      <c r="Z982" s="88"/>
    </row>
    <row r="983" spans="26:26">
      <c r="Z983" s="88"/>
    </row>
    <row r="984" spans="26:26">
      <c r="Z984" s="88"/>
    </row>
    <row r="985" spans="26:26">
      <c r="Z985" s="88"/>
    </row>
    <row r="986" spans="26:26">
      <c r="Z986" s="88"/>
    </row>
    <row r="987" spans="26:26">
      <c r="Z987" s="88"/>
    </row>
    <row r="988" spans="26:26">
      <c r="Z988" s="88"/>
    </row>
    <row r="989" spans="26:26">
      <c r="Z989" s="88"/>
    </row>
    <row r="990" spans="26:26">
      <c r="Z990" s="88"/>
    </row>
    <row r="991" spans="26:26">
      <c r="Z991" s="88"/>
    </row>
    <row r="992" spans="26:26">
      <c r="Z992" s="88"/>
    </row>
    <row r="993" spans="26:26">
      <c r="Z993" s="88"/>
    </row>
    <row r="994" spans="26:26">
      <c r="Z994" s="88"/>
    </row>
    <row r="995" spans="26:26">
      <c r="Z995" s="88"/>
    </row>
    <row r="996" spans="26:26">
      <c r="Z996" s="88"/>
    </row>
    <row r="997" spans="26:26">
      <c r="Z997" s="88"/>
    </row>
    <row r="998" spans="26:26">
      <c r="Z998" s="88"/>
    </row>
    <row r="999" spans="26:26">
      <c r="Z999" s="88"/>
    </row>
    <row r="1000" spans="26:26">
      <c r="Z1000" s="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29</vt:i4>
      </vt:variant>
    </vt:vector>
  </HeadingPairs>
  <TitlesOfParts>
    <vt:vector size="36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SINT_2</vt:lpstr>
      <vt:lpstr>SINT_5</vt:lpstr>
      <vt:lpstr>SINT_7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b916</cp:lastModifiedBy>
  <cp:lastPrinted>2018-01-31T19:04:59Z</cp:lastPrinted>
  <dcterms:created xsi:type="dcterms:W3CDTF">2015-04-10T18:51:17Z</dcterms:created>
  <dcterms:modified xsi:type="dcterms:W3CDTF">2025-01-14T20:40:46Z</dcterms:modified>
</cp:coreProperties>
</file>