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2.xml" ContentType="application/vnd.ms-excel.person+xml"/>
  <Override PartName="/xl/persons/person3.xml" ContentType="application/vnd.ms-excel.person+xml"/>
  <Override PartName="/xl/persons/person1.xml" ContentType="application/vnd.ms-excel.person+xml"/>
  <Override PartName="/xl/persons/person0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24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72.16.0.162\Urgencias\2025\BROTES 2025\19\"/>
    </mc:Choice>
  </mc:AlternateContent>
  <xr:revisionPtr revIDLastSave="0" documentId="8_{7E350143-A45A-4C25-91CB-C55544D56626}" xr6:coauthVersionLast="47" xr6:coauthVersionMax="47" xr10:uidLastSave="{00000000-0000-0000-0000-000000000000}"/>
  <bookViews>
    <workbookView xWindow="390" yWindow="390" windowWidth="13395" windowHeight="14640" tabRatio="749" activeTab="1" xr2:uid="{00000000-000D-0000-FFFF-FFFF00000000}"/>
  </bookViews>
  <sheets>
    <sheet name="INF_INICIAL" sheetId="21" r:id="rId1"/>
    <sheet name="LISTADO_NOM" sheetId="4" r:id="rId2"/>
    <sheet name="ANALISIS_EPIDEM" sheetId="5" r:id="rId3"/>
    <sheet name="INFORME_NARRATIVO" sheetId="6" r:id="rId4"/>
    <sheet name="GEORREFERENCIA" sheetId="7" r:id="rId5"/>
    <sheet name="Base_datos" sheetId="2" state="hidden" r:id="rId6"/>
    <sheet name="VARIABLES" sheetId="8" state="hidden" r:id="rId7"/>
  </sheets>
  <definedNames>
    <definedName name="AÑO">VARIABLES!$N$2:$N$16</definedName>
    <definedName name="_xlnm.Print_Area" localSheetId="0">INF_INICIAL!$A$1:$AV$116</definedName>
    <definedName name="_xlnm.Print_Area" localSheetId="1">LISTADO_NOM!$A$1:$AO$138</definedName>
    <definedName name="CASOS_ANALISIS">OFFSET(ANALISIS_EPIDEM!$A$13,1,1,COUNT(ANALISIS_EPIDEM!$A:$A),1)</definedName>
    <definedName name="DIA">VARIABLES!$L$2:$L$32</definedName>
    <definedName name="DIAS_ANALISIS">OFFSET(ANALISIS_EPIDEM!$A$13,1,0,COUNT(ANALISIS_EPIDEM!$A:$A),1)</definedName>
    <definedName name="Edad">LISTADO_NOM!$E$14:$E$1048576</definedName>
    <definedName name="EDAD_">VARIABLES!$A$2:$A$112</definedName>
    <definedName name="FECHA_">LISTADO_NOM!$AR$14:$AR$3190</definedName>
    <definedName name="FECHA_INIC">VARIABLES!$Z:$Z</definedName>
    <definedName name="FECHA_INICIO">ANALISIS_EPIDEM!$A$14:$A$417</definedName>
    <definedName name="FUENTE">LISTADO_NOM!$AI$14:$AI$1048576</definedName>
    <definedName name="GRAFICO">LISTADO_NOM!$K$14:$AO$1000</definedName>
    <definedName name="INSTITUCION">VARIABLES!$Q$2:$Q$9</definedName>
    <definedName name="JURIS_">VARIABLES!$T$1:$U$85</definedName>
    <definedName name="JURISDICCION">VARIABLES!$O$2:$O$18</definedName>
    <definedName name="LUGAR">VARIABLES!$X$3:$X$11</definedName>
    <definedName name="MES">VARIABLES!$M$2:$M$13</definedName>
    <definedName name="MUNICIPIO">VARIABLES!$P$2:$P$85</definedName>
    <definedName name="NOTIFICACION">LISTADO_NOM!$AO$14:$AO$1048576</definedName>
    <definedName name="NOTIFICACIÓN">VARIABLES!$C$2:$C$33</definedName>
    <definedName name="NOTIFICACION_">LISTADO_NOM!$AN$14:$AN$1048576</definedName>
    <definedName name="ORDENA_">VARIABLES!$AA$14:$AA$1000</definedName>
    <definedName name="seguimient">VARIABLES!$K$2:$K$51</definedName>
    <definedName name="SEGUIMIENTOS">VARIABLES!$C$2:$D$33</definedName>
    <definedName name="Sexo_LN">LISTADO_NOM!$F$14:$F$1048576</definedName>
    <definedName name="SINT_1">LISTADO_NOM!#REF!</definedName>
    <definedName name="SINT_2">LISTADO_NOM!#REF!</definedName>
    <definedName name="SINT_3">LISTADO_NOM!#REF!</definedName>
    <definedName name="SINT_4">LISTADO_NOM!#REF!</definedName>
    <definedName name="SINT_5">LISTADO_NOM!#REF!</definedName>
    <definedName name="SINT_6">LISTADO_NOM!#REF!</definedName>
    <definedName name="SINT_7">LISTADO_NOM!#REF!</definedName>
    <definedName name="SINT_8">LISTADO_NOM!#REF!</definedName>
    <definedName name="TIPO_BROTE">VARIABLES!$W$2:$W$7</definedName>
    <definedName name="VALORES">VARIABLES!$B$2:$B$3</definedName>
  </definedNames>
  <calcPr calcId="191029"/>
</workbook>
</file>

<file path=xl/calcChain.xml><?xml version="1.0" encoding="utf-8"?>
<calcChain xmlns="http://schemas.openxmlformats.org/spreadsheetml/2006/main">
  <c r="P48" i="21" l="1"/>
  <c r="P49" i="21"/>
  <c r="P51" i="21"/>
  <c r="P52" i="21"/>
  <c r="K49" i="21"/>
  <c r="F48" i="21"/>
  <c r="F47" i="21"/>
  <c r="F49" i="21"/>
  <c r="K47" i="21"/>
  <c r="K48" i="21"/>
  <c r="K50" i="21"/>
  <c r="CG27" i="21"/>
  <c r="P46" i="21"/>
  <c r="K46" i="21"/>
  <c r="K51" i="21"/>
  <c r="K52" i="21"/>
  <c r="F46" i="21"/>
  <c r="F50" i="21"/>
  <c r="F51" i="21"/>
  <c r="F52" i="21"/>
  <c r="F53" i="21"/>
  <c r="P45" i="21"/>
  <c r="K45" i="21"/>
  <c r="F45" i="21"/>
  <c r="Z14" i="8" l="1"/>
  <c r="AA14" i="8" s="1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AE14" i="8"/>
  <c r="AE15" i="8"/>
  <c r="AE16" i="8"/>
  <c r="AE17" i="8"/>
  <c r="AE18" i="8"/>
  <c r="AE19" i="8"/>
  <c r="AE20" i="8"/>
  <c r="AE21" i="8"/>
  <c r="AE22" i="8"/>
  <c r="AE23" i="8"/>
  <c r="AE24" i="8"/>
  <c r="AE25" i="8"/>
  <c r="AE26" i="8"/>
  <c r="AE27" i="8"/>
  <c r="AE28" i="8"/>
  <c r="AE29" i="8"/>
  <c r="AE30" i="8"/>
  <c r="AE31" i="8"/>
  <c r="AE32" i="8"/>
  <c r="AE33" i="8"/>
  <c r="AE34" i="8"/>
  <c r="AE35" i="8"/>
  <c r="AE36" i="8"/>
  <c r="AE37" i="8"/>
  <c r="AE38" i="8"/>
  <c r="AE39" i="8"/>
  <c r="AE40" i="8"/>
  <c r="AE41" i="8"/>
  <c r="AE42" i="8"/>
  <c r="AE43" i="8"/>
  <c r="AE44" i="8"/>
  <c r="AE45" i="8"/>
  <c r="AE46" i="8"/>
  <c r="AE47" i="8"/>
  <c r="AE48" i="8"/>
  <c r="AE49" i="8"/>
  <c r="AE50" i="8"/>
  <c r="AE51" i="8"/>
  <c r="AE52" i="8"/>
  <c r="AE53" i="8"/>
  <c r="AE54" i="8"/>
  <c r="AE55" i="8"/>
  <c r="AE56" i="8"/>
  <c r="AE57" i="8"/>
  <c r="AE58" i="8"/>
  <c r="AE59" i="8"/>
  <c r="AE60" i="8"/>
  <c r="AE61" i="8"/>
  <c r="AE62" i="8"/>
  <c r="AE63" i="8"/>
  <c r="AE64" i="8"/>
  <c r="AE65" i="8"/>
  <c r="AE66" i="8"/>
  <c r="AE67" i="8"/>
  <c r="AE68" i="8"/>
  <c r="AE69" i="8"/>
  <c r="AE70" i="8"/>
  <c r="AE71" i="8"/>
  <c r="AE72" i="8"/>
  <c r="AE73" i="8"/>
  <c r="AE74" i="8"/>
  <c r="AE75" i="8"/>
  <c r="AE76" i="8"/>
  <c r="AE77" i="8"/>
  <c r="AE78" i="8"/>
  <c r="AE79" i="8"/>
  <c r="AE80" i="8"/>
  <c r="AE81" i="8"/>
  <c r="AE82" i="8"/>
  <c r="AE83" i="8"/>
  <c r="AE84" i="8"/>
  <c r="AE85" i="8"/>
  <c r="AE86" i="8"/>
  <c r="AE87" i="8"/>
  <c r="AE88" i="8"/>
  <c r="AE89" i="8"/>
  <c r="AE90" i="8"/>
  <c r="AE91" i="8"/>
  <c r="AE92" i="8"/>
  <c r="AE93" i="8"/>
  <c r="AE94" i="8"/>
  <c r="AE95" i="8"/>
  <c r="AE96" i="8"/>
  <c r="AE97" i="8"/>
  <c r="AE98" i="8"/>
  <c r="AE99" i="8"/>
  <c r="AE100" i="8"/>
  <c r="AE101" i="8"/>
  <c r="AE102" i="8"/>
  <c r="AE103" i="8"/>
  <c r="AE104" i="8"/>
  <c r="AE105" i="8"/>
  <c r="AE106" i="8"/>
  <c r="AE107" i="8"/>
  <c r="AE108" i="8"/>
  <c r="AE109" i="8"/>
  <c r="AE110" i="8"/>
  <c r="AE111" i="8"/>
  <c r="AE112" i="8"/>
  <c r="AE113" i="8"/>
  <c r="AE114" i="8"/>
  <c r="AE115" i="8"/>
  <c r="AE116" i="8"/>
  <c r="AE117" i="8"/>
  <c r="AE118" i="8"/>
  <c r="AE119" i="8"/>
  <c r="AE120" i="8"/>
  <c r="AE121" i="8"/>
  <c r="AE122" i="8"/>
  <c r="AE123" i="8"/>
  <c r="AE124" i="8"/>
  <c r="AE125" i="8"/>
  <c r="AE126" i="8"/>
  <c r="AE127" i="8"/>
  <c r="AE128" i="8"/>
  <c r="AE129" i="8"/>
  <c r="AE130" i="8"/>
  <c r="AE131" i="8"/>
  <c r="AE132" i="8"/>
  <c r="AE133" i="8"/>
  <c r="AE134" i="8"/>
  <c r="AE135" i="8"/>
  <c r="AE136" i="8"/>
  <c r="AE137" i="8"/>
  <c r="AE138" i="8"/>
  <c r="AE139" i="8"/>
  <c r="AE140" i="8"/>
  <c r="AE141" i="8"/>
  <c r="AE142" i="8"/>
  <c r="AE143" i="8"/>
  <c r="AE144" i="8"/>
  <c r="AE145" i="8"/>
  <c r="AE146" i="8"/>
  <c r="AE147" i="8"/>
  <c r="AE148" i="8"/>
  <c r="AE149" i="8"/>
  <c r="AE150" i="8"/>
  <c r="AE151" i="8"/>
  <c r="AE152" i="8"/>
  <c r="AE153" i="8"/>
  <c r="AE154" i="8"/>
  <c r="AE155" i="8"/>
  <c r="AE156" i="8"/>
  <c r="AE157" i="8"/>
  <c r="AE158" i="8"/>
  <c r="AE159" i="8"/>
  <c r="AE160" i="8"/>
  <c r="AE161" i="8"/>
  <c r="AE162" i="8"/>
  <c r="AE163" i="8"/>
  <c r="AE164" i="8"/>
  <c r="AE165" i="8"/>
  <c r="AE166" i="8"/>
  <c r="AE167" i="8"/>
  <c r="AE168" i="8"/>
  <c r="AE169" i="8"/>
  <c r="AE170" i="8"/>
  <c r="AE171" i="8"/>
  <c r="AE172" i="8"/>
  <c r="AE173" i="8"/>
  <c r="AE174" i="8"/>
  <c r="AE175" i="8"/>
  <c r="AE176" i="8"/>
  <c r="AE177" i="8"/>
  <c r="AE178" i="8"/>
  <c r="AE179" i="8"/>
  <c r="AE180" i="8"/>
  <c r="AE181" i="8"/>
  <c r="AE182" i="8"/>
  <c r="AE183" i="8"/>
  <c r="AE184" i="8"/>
  <c r="AE185" i="8"/>
  <c r="AE186" i="8"/>
  <c r="AE187" i="8"/>
  <c r="AE188" i="8"/>
  <c r="AE189" i="8"/>
  <c r="AE190" i="8"/>
  <c r="AE191" i="8"/>
  <c r="AE192" i="8"/>
  <c r="AE193" i="8"/>
  <c r="AE194" i="8"/>
  <c r="AE195" i="8"/>
  <c r="AE196" i="8"/>
  <c r="AE197" i="8"/>
  <c r="AE198" i="8"/>
  <c r="AE199" i="8"/>
  <c r="AE200" i="8"/>
  <c r="AE201" i="8"/>
  <c r="AE202" i="8"/>
  <c r="AE203" i="8"/>
  <c r="AE204" i="8"/>
  <c r="AE205" i="8"/>
  <c r="AE206" i="8"/>
  <c r="AE207" i="8"/>
  <c r="AE208" i="8"/>
  <c r="AE209" i="8"/>
  <c r="AE210" i="8"/>
  <c r="AE211" i="8"/>
  <c r="AE212" i="8"/>
  <c r="AE213" i="8"/>
  <c r="AE214" i="8"/>
  <c r="AE215" i="8"/>
  <c r="AE216" i="8"/>
  <c r="AE217" i="8"/>
  <c r="AE218" i="8"/>
  <c r="AE219" i="8"/>
  <c r="AE220" i="8"/>
  <c r="AE221" i="8"/>
  <c r="AE222" i="8"/>
  <c r="AE223" i="8"/>
  <c r="AE224" i="8"/>
  <c r="AE225" i="8"/>
  <c r="AE226" i="8"/>
  <c r="AE227" i="8"/>
  <c r="AE228" i="8"/>
  <c r="AE229" i="8"/>
  <c r="AE230" i="8"/>
  <c r="AE231" i="8"/>
  <c r="AE232" i="8"/>
  <c r="AE233" i="8"/>
  <c r="AE234" i="8"/>
  <c r="AE235" i="8"/>
  <c r="AE236" i="8"/>
  <c r="AE237" i="8"/>
  <c r="AE238" i="8"/>
  <c r="AE239" i="8"/>
  <c r="AE240" i="8"/>
  <c r="AE241" i="8"/>
  <c r="AE242" i="8"/>
  <c r="AE243" i="8"/>
  <c r="AE244" i="8"/>
  <c r="AE245" i="8"/>
  <c r="AE246" i="8"/>
  <c r="AE247" i="8"/>
  <c r="AE248" i="8"/>
  <c r="AE249" i="8"/>
  <c r="AE250" i="8"/>
  <c r="AE251" i="8"/>
  <c r="AE252" i="8"/>
  <c r="AE253" i="8"/>
  <c r="AE254" i="8"/>
  <c r="AE255" i="8"/>
  <c r="AE256" i="8"/>
  <c r="AE257" i="8"/>
  <c r="AE258" i="8"/>
  <c r="AE259" i="8"/>
  <c r="AE260" i="8"/>
  <c r="AE261" i="8"/>
  <c r="AE262" i="8"/>
  <c r="AE263" i="8"/>
  <c r="AE264" i="8"/>
  <c r="AE265" i="8"/>
  <c r="AE266" i="8"/>
  <c r="AE267" i="8"/>
  <c r="AE268" i="8"/>
  <c r="AE269" i="8"/>
  <c r="AE270" i="8"/>
  <c r="AE271" i="8"/>
  <c r="AE272" i="8"/>
  <c r="AE273" i="8"/>
  <c r="AE274" i="8"/>
  <c r="AE275" i="8"/>
  <c r="AE276" i="8"/>
  <c r="AE277" i="8"/>
  <c r="AE278" i="8"/>
  <c r="AE279" i="8"/>
  <c r="AE280" i="8"/>
  <c r="AE281" i="8"/>
  <c r="AE282" i="8"/>
  <c r="AE283" i="8"/>
  <c r="AE284" i="8"/>
  <c r="AE285" i="8"/>
  <c r="AE286" i="8"/>
  <c r="AE287" i="8"/>
  <c r="AE288" i="8"/>
  <c r="AE289" i="8"/>
  <c r="AE290" i="8"/>
  <c r="AE291" i="8"/>
  <c r="AE292" i="8"/>
  <c r="AE293" i="8"/>
  <c r="AE294" i="8"/>
  <c r="AE295" i="8"/>
  <c r="AE296" i="8"/>
  <c r="AE297" i="8"/>
  <c r="AE298" i="8"/>
  <c r="AE299" i="8"/>
  <c r="AE300" i="8"/>
  <c r="AE301" i="8"/>
  <c r="AE302" i="8"/>
  <c r="AE303" i="8"/>
  <c r="AE304" i="8"/>
  <c r="AE305" i="8"/>
  <c r="AE306" i="8"/>
  <c r="AE307" i="8"/>
  <c r="AE308" i="8"/>
  <c r="AE309" i="8"/>
  <c r="AE310" i="8"/>
  <c r="AE311" i="8"/>
  <c r="AE312" i="8"/>
  <c r="AE313" i="8"/>
  <c r="AE314" i="8"/>
  <c r="AE315" i="8"/>
  <c r="AE316" i="8"/>
  <c r="AE317" i="8"/>
  <c r="AE318" i="8"/>
  <c r="AE319" i="8"/>
  <c r="AE320" i="8"/>
  <c r="AE321" i="8"/>
  <c r="AE322" i="8"/>
  <c r="AE323" i="8"/>
  <c r="AE324" i="8"/>
  <c r="AE325" i="8"/>
  <c r="AE326" i="8"/>
  <c r="AE327" i="8"/>
  <c r="AE328" i="8"/>
  <c r="AE329" i="8"/>
  <c r="AE330" i="8"/>
  <c r="AE331" i="8"/>
  <c r="AE332" i="8"/>
  <c r="AE333" i="8"/>
  <c r="AE334" i="8"/>
  <c r="AE335" i="8"/>
  <c r="AE336" i="8"/>
  <c r="AE337" i="8"/>
  <c r="AE338" i="8"/>
  <c r="AE339" i="8"/>
  <c r="AE340" i="8"/>
  <c r="AE341" i="8"/>
  <c r="AE342" i="8"/>
  <c r="AE343" i="8"/>
  <c r="AE344" i="8"/>
  <c r="AE345" i="8"/>
  <c r="AE346" i="8"/>
  <c r="AE347" i="8"/>
  <c r="AE348" i="8"/>
  <c r="AE349" i="8"/>
  <c r="AE350" i="8"/>
  <c r="AE351" i="8"/>
  <c r="AE352" i="8"/>
  <c r="AE353" i="8"/>
  <c r="AE354" i="8"/>
  <c r="AE355" i="8"/>
  <c r="AE356" i="8"/>
  <c r="AE357" i="8"/>
  <c r="AE358" i="8"/>
  <c r="AE359" i="8"/>
  <c r="AE360" i="8"/>
  <c r="AE361" i="8"/>
  <c r="AE362" i="8"/>
  <c r="AE363" i="8"/>
  <c r="AE364" i="8"/>
  <c r="AE365" i="8"/>
  <c r="AE366" i="8"/>
  <c r="AE367" i="8"/>
  <c r="AE368" i="8"/>
  <c r="AE369" i="8"/>
  <c r="AE370" i="8"/>
  <c r="AE371" i="8"/>
  <c r="AE372" i="8"/>
  <c r="AE373" i="8"/>
  <c r="AE374" i="8"/>
  <c r="AE375" i="8"/>
  <c r="AE376" i="8"/>
  <c r="AE377" i="8"/>
  <c r="AE378" i="8"/>
  <c r="AE379" i="8"/>
  <c r="AE380" i="8"/>
  <c r="AE381" i="8"/>
  <c r="AE382" i="8"/>
  <c r="AE383" i="8"/>
  <c r="AE384" i="8"/>
  <c r="AE385" i="8"/>
  <c r="AE386" i="8"/>
  <c r="AE387" i="8"/>
  <c r="AE388" i="8"/>
  <c r="AE389" i="8"/>
  <c r="AE390" i="8"/>
  <c r="AE391" i="8"/>
  <c r="AE392" i="8"/>
  <c r="AE393" i="8"/>
  <c r="AE394" i="8"/>
  <c r="AE395" i="8"/>
  <c r="AE396" i="8"/>
  <c r="AE397" i="8"/>
  <c r="AE398" i="8"/>
  <c r="AE399" i="8"/>
  <c r="AE400" i="8"/>
  <c r="AE401" i="8"/>
  <c r="AE402" i="8"/>
  <c r="AE403" i="8"/>
  <c r="AE404" i="8"/>
  <c r="AE405" i="8"/>
  <c r="AE406" i="8"/>
  <c r="AE407" i="8"/>
  <c r="AE408" i="8"/>
  <c r="AE409" i="8"/>
  <c r="AE410" i="8"/>
  <c r="AE411" i="8"/>
  <c r="AE412" i="8"/>
  <c r="AE413" i="8"/>
  <c r="AE414" i="8"/>
  <c r="AE415" i="8"/>
  <c r="AE416" i="8"/>
  <c r="AE417" i="8"/>
  <c r="AE418" i="8"/>
  <c r="AE419" i="8"/>
  <c r="AE420" i="8"/>
  <c r="AE421" i="8"/>
  <c r="AE422" i="8"/>
  <c r="AE423" i="8"/>
  <c r="AE424" i="8"/>
  <c r="AE425" i="8"/>
  <c r="AE426" i="8"/>
  <c r="AE427" i="8"/>
  <c r="AE428" i="8"/>
  <c r="AE429" i="8"/>
  <c r="AE430" i="8"/>
  <c r="AE431" i="8"/>
  <c r="AE432" i="8"/>
  <c r="AE433" i="8"/>
  <c r="AE434" i="8"/>
  <c r="AE435" i="8"/>
  <c r="AE436" i="8"/>
  <c r="AE437" i="8"/>
  <c r="AE438" i="8"/>
  <c r="AE439" i="8"/>
  <c r="AE440" i="8"/>
  <c r="AE441" i="8"/>
  <c r="AE442" i="8"/>
  <c r="AE443" i="8"/>
  <c r="AE444" i="8"/>
  <c r="AE445" i="8"/>
  <c r="AE446" i="8"/>
  <c r="AE447" i="8"/>
  <c r="AE448" i="8"/>
  <c r="AE449" i="8"/>
  <c r="AE450" i="8"/>
  <c r="AE451" i="8"/>
  <c r="AE452" i="8"/>
  <c r="AE453" i="8"/>
  <c r="AE454" i="8"/>
  <c r="AE455" i="8"/>
  <c r="AE456" i="8"/>
  <c r="AE457" i="8"/>
  <c r="AE458" i="8"/>
  <c r="AE459" i="8"/>
  <c r="AE460" i="8"/>
  <c r="AE461" i="8"/>
  <c r="AE462" i="8"/>
  <c r="AE463" i="8"/>
  <c r="AE464" i="8"/>
  <c r="AE465" i="8"/>
  <c r="AE466" i="8"/>
  <c r="AE467" i="8"/>
  <c r="AE468" i="8"/>
  <c r="AE469" i="8"/>
  <c r="AE470" i="8"/>
  <c r="AE471" i="8"/>
  <c r="AE472" i="8"/>
  <c r="AE473" i="8"/>
  <c r="AE474" i="8"/>
  <c r="AE475" i="8"/>
  <c r="AE476" i="8"/>
  <c r="AE477" i="8"/>
  <c r="AE478" i="8"/>
  <c r="AE479" i="8"/>
  <c r="AE480" i="8"/>
  <c r="AE481" i="8"/>
  <c r="AE482" i="8"/>
  <c r="AE483" i="8"/>
  <c r="AE484" i="8"/>
  <c r="AE485" i="8"/>
  <c r="AE486" i="8"/>
  <c r="AE487" i="8"/>
  <c r="AE488" i="8"/>
  <c r="AE489" i="8"/>
  <c r="AE490" i="8"/>
  <c r="AE491" i="8"/>
  <c r="AE492" i="8"/>
  <c r="AE493" i="8"/>
  <c r="AE494" i="8"/>
  <c r="AE495" i="8"/>
  <c r="AE496" i="8"/>
  <c r="AE497" i="8"/>
  <c r="AE498" i="8"/>
  <c r="AE499" i="8"/>
  <c r="AE500" i="8"/>
  <c r="AO14" i="4"/>
  <c r="AO15" i="4"/>
  <c r="AO16" i="4"/>
  <c r="AO19" i="4"/>
  <c r="AO20" i="4"/>
  <c r="AO21" i="4"/>
  <c r="AO22" i="4"/>
  <c r="AO23" i="4"/>
  <c r="AO24" i="4"/>
  <c r="AO25" i="4"/>
  <c r="AO26" i="4"/>
  <c r="AO27" i="4"/>
  <c r="AO28" i="4"/>
  <c r="AO29" i="4"/>
  <c r="AO30" i="4"/>
  <c r="AO31" i="4"/>
  <c r="AO32" i="4"/>
  <c r="AO33" i="4"/>
  <c r="AO34" i="4"/>
  <c r="AO35" i="4"/>
  <c r="AO36" i="4"/>
  <c r="AO37" i="4"/>
  <c r="AO38" i="4"/>
  <c r="AO39" i="4"/>
  <c r="AO40" i="4"/>
  <c r="AO41" i="4"/>
  <c r="AO42" i="4"/>
  <c r="AO43" i="4"/>
  <c r="AO44" i="4"/>
  <c r="AO45" i="4"/>
  <c r="AO46" i="4"/>
  <c r="AO47" i="4"/>
  <c r="AO48" i="4"/>
  <c r="AO49" i="4"/>
  <c r="AO50" i="4"/>
  <c r="AO51" i="4"/>
  <c r="AO52" i="4"/>
  <c r="AO53" i="4"/>
  <c r="AO54" i="4"/>
  <c r="AO55" i="4"/>
  <c r="AO56" i="4"/>
  <c r="AO57" i="4"/>
  <c r="AO58" i="4"/>
  <c r="AO59" i="4"/>
  <c r="AO60" i="4"/>
  <c r="AO61" i="4"/>
  <c r="AO62" i="4"/>
  <c r="AO63" i="4"/>
  <c r="AO64" i="4"/>
  <c r="AO65" i="4"/>
  <c r="AO66" i="4"/>
  <c r="AO67" i="4"/>
  <c r="AO68" i="4"/>
  <c r="AO69" i="4"/>
  <c r="AO70" i="4"/>
  <c r="AO71" i="4"/>
  <c r="AO72" i="4"/>
  <c r="AO73" i="4"/>
  <c r="AO74" i="4"/>
  <c r="AO75" i="4"/>
  <c r="AO76" i="4"/>
  <c r="AO77" i="4"/>
  <c r="AO78" i="4"/>
  <c r="AO79" i="4"/>
  <c r="AO80" i="4"/>
  <c r="AO81" i="4"/>
  <c r="AO82" i="4"/>
  <c r="AO83" i="4"/>
  <c r="AO84" i="4"/>
  <c r="AO85" i="4"/>
  <c r="AO86" i="4"/>
  <c r="AO87" i="4"/>
  <c r="AO88" i="4"/>
  <c r="AO89" i="4"/>
  <c r="AO90" i="4"/>
  <c r="AO91" i="4"/>
  <c r="AO92" i="4"/>
  <c r="AO93" i="4"/>
  <c r="AO94" i="4"/>
  <c r="AO95" i="4"/>
  <c r="AO96" i="4"/>
  <c r="AO97" i="4"/>
  <c r="AO98" i="4"/>
  <c r="AO99" i="4"/>
  <c r="AO100" i="4"/>
  <c r="AO101" i="4"/>
  <c r="AO102" i="4"/>
  <c r="AO103" i="4"/>
  <c r="AO104" i="4"/>
  <c r="AO105" i="4"/>
  <c r="AO106" i="4"/>
  <c r="AO107" i="4"/>
  <c r="AO108" i="4"/>
  <c r="AO109" i="4"/>
  <c r="AO110" i="4"/>
  <c r="AO111" i="4"/>
  <c r="AO112" i="4"/>
  <c r="AO113" i="4"/>
  <c r="AO114" i="4"/>
  <c r="AO115" i="4"/>
  <c r="AO116" i="4"/>
  <c r="AO117" i="4"/>
  <c r="AO118" i="4"/>
  <c r="AO119" i="4"/>
  <c r="AO120" i="4"/>
  <c r="AO121" i="4"/>
  <c r="AO122" i="4"/>
  <c r="AO123" i="4"/>
  <c r="AO124" i="4"/>
  <c r="AO125" i="4"/>
  <c r="AO126" i="4"/>
  <c r="AO127" i="4"/>
  <c r="AO128" i="4"/>
  <c r="AO129" i="4"/>
  <c r="AO130" i="4"/>
  <c r="AO131" i="4"/>
  <c r="AO132" i="4"/>
  <c r="AO133" i="4"/>
  <c r="AO134" i="4"/>
  <c r="AO135" i="4"/>
  <c r="AO136" i="4"/>
  <c r="AO137" i="4"/>
  <c r="AO138" i="4"/>
  <c r="AO139" i="4"/>
  <c r="AO140" i="4"/>
  <c r="AO141" i="4"/>
  <c r="AO142" i="4"/>
  <c r="AO143" i="4"/>
  <c r="AO144" i="4"/>
  <c r="AO145" i="4"/>
  <c r="AO146" i="4"/>
  <c r="AO147" i="4"/>
  <c r="AO148" i="4"/>
  <c r="AO149" i="4"/>
  <c r="AO150" i="4"/>
  <c r="AO151" i="4"/>
  <c r="AO152" i="4"/>
  <c r="AO153" i="4"/>
  <c r="AO154" i="4"/>
  <c r="AO155" i="4"/>
  <c r="AO156" i="4"/>
  <c r="AO157" i="4"/>
  <c r="AO158" i="4"/>
  <c r="AO159" i="4"/>
  <c r="AO160" i="4"/>
  <c r="AO161" i="4"/>
  <c r="AO162" i="4"/>
  <c r="AO163" i="4"/>
  <c r="AO164" i="4"/>
  <c r="AO165" i="4"/>
  <c r="AO166" i="4"/>
  <c r="AO167" i="4"/>
  <c r="AO168" i="4"/>
  <c r="AO169" i="4"/>
  <c r="AO170" i="4"/>
  <c r="AO171" i="4"/>
  <c r="AO172" i="4"/>
  <c r="AO173" i="4"/>
  <c r="AO174" i="4"/>
  <c r="AO175" i="4"/>
  <c r="AO176" i="4"/>
  <c r="AO177" i="4"/>
  <c r="AO178" i="4"/>
  <c r="AO179" i="4"/>
  <c r="AO180" i="4"/>
  <c r="AO181" i="4"/>
  <c r="AO182" i="4"/>
  <c r="AO183" i="4"/>
  <c r="AO184" i="4"/>
  <c r="AO185" i="4"/>
  <c r="AO186" i="4"/>
  <c r="AO187" i="4"/>
  <c r="AO188" i="4"/>
  <c r="AO189" i="4"/>
  <c r="AO190" i="4"/>
  <c r="AO191" i="4"/>
  <c r="AO192" i="4"/>
  <c r="AO193" i="4"/>
  <c r="AO194" i="4"/>
  <c r="AO195" i="4"/>
  <c r="AO196" i="4"/>
  <c r="AO197" i="4"/>
  <c r="AO198" i="4"/>
  <c r="AO199" i="4"/>
  <c r="AO200" i="4"/>
  <c r="AO201" i="4"/>
  <c r="AO202" i="4"/>
  <c r="AO203" i="4"/>
  <c r="AO204" i="4"/>
  <c r="AO205" i="4"/>
  <c r="AO206" i="4"/>
  <c r="AO207" i="4"/>
  <c r="AO208" i="4"/>
  <c r="AO209" i="4"/>
  <c r="AO210" i="4"/>
  <c r="AO211" i="4"/>
  <c r="AO212" i="4"/>
  <c r="AO213" i="4"/>
  <c r="AO214" i="4"/>
  <c r="AO215" i="4"/>
  <c r="AO216" i="4"/>
  <c r="AO217" i="4"/>
  <c r="AO218" i="4"/>
  <c r="AO219" i="4"/>
  <c r="AO220" i="4"/>
  <c r="AO221" i="4"/>
  <c r="AO222" i="4"/>
  <c r="AO223" i="4"/>
  <c r="AO224" i="4"/>
  <c r="AO225" i="4"/>
  <c r="AO226" i="4"/>
  <c r="AO227" i="4"/>
  <c r="AO228" i="4"/>
  <c r="AO229" i="4"/>
  <c r="AO230" i="4"/>
  <c r="AO231" i="4"/>
  <c r="AO232" i="4"/>
  <c r="AO233" i="4"/>
  <c r="AO234" i="4"/>
  <c r="AO235" i="4"/>
  <c r="AO236" i="4"/>
  <c r="AO237" i="4"/>
  <c r="AO238" i="4"/>
  <c r="AO239" i="4"/>
  <c r="AO240" i="4"/>
  <c r="AO241" i="4"/>
  <c r="AO242" i="4"/>
  <c r="AO243" i="4"/>
  <c r="AO244" i="4"/>
  <c r="AO245" i="4"/>
  <c r="AO246" i="4"/>
  <c r="AO247" i="4"/>
  <c r="AO248" i="4"/>
  <c r="AO249" i="4"/>
  <c r="AO250" i="4"/>
  <c r="AO251" i="4"/>
  <c r="AO252" i="4"/>
  <c r="AO253" i="4"/>
  <c r="AO254" i="4"/>
  <c r="AO255" i="4"/>
  <c r="AO256" i="4"/>
  <c r="AO257" i="4"/>
  <c r="AO258" i="4"/>
  <c r="AO259" i="4"/>
  <c r="AO260" i="4"/>
  <c r="AO261" i="4"/>
  <c r="AO262" i="4"/>
  <c r="AO263" i="4"/>
  <c r="AO264" i="4"/>
  <c r="AO265" i="4"/>
  <c r="AO266" i="4"/>
  <c r="AO267" i="4"/>
  <c r="AO268" i="4"/>
  <c r="AO269" i="4"/>
  <c r="AO270" i="4"/>
  <c r="AO271" i="4"/>
  <c r="AO272" i="4"/>
  <c r="AO273" i="4"/>
  <c r="AO274" i="4"/>
  <c r="AO275" i="4"/>
  <c r="AO276" i="4"/>
  <c r="AO277" i="4"/>
  <c r="AO278" i="4"/>
  <c r="AO279" i="4"/>
  <c r="AO280" i="4"/>
  <c r="AO281" i="4"/>
  <c r="AO282" i="4"/>
  <c r="AO283" i="4"/>
  <c r="AO284" i="4"/>
  <c r="AO285" i="4"/>
  <c r="AO286" i="4"/>
  <c r="AO287" i="4"/>
  <c r="AO288" i="4"/>
  <c r="AO289" i="4"/>
  <c r="AO290" i="4"/>
  <c r="AO291" i="4"/>
  <c r="AO292" i="4"/>
  <c r="AO293" i="4"/>
  <c r="AO294" i="4"/>
  <c r="AO295" i="4"/>
  <c r="AO296" i="4"/>
  <c r="AO297" i="4"/>
  <c r="AO298" i="4"/>
  <c r="AO299" i="4"/>
  <c r="AO300" i="4"/>
  <c r="AO301" i="4"/>
  <c r="AO302" i="4"/>
  <c r="AO303" i="4"/>
  <c r="AO304" i="4"/>
  <c r="AO305" i="4"/>
  <c r="AO306" i="4"/>
  <c r="AO307" i="4"/>
  <c r="AO308" i="4"/>
  <c r="AO309" i="4"/>
  <c r="AO310" i="4"/>
  <c r="AO311" i="4"/>
  <c r="AO312" i="4"/>
  <c r="AO313" i="4"/>
  <c r="AO314" i="4"/>
  <c r="AO315" i="4"/>
  <c r="AO316" i="4"/>
  <c r="AO317" i="4"/>
  <c r="AO318" i="4"/>
  <c r="AO319" i="4"/>
  <c r="AO320" i="4"/>
  <c r="AO321" i="4"/>
  <c r="AO322" i="4"/>
  <c r="AO323" i="4"/>
  <c r="AO324" i="4"/>
  <c r="AO325" i="4"/>
  <c r="AO326" i="4"/>
  <c r="AO327" i="4"/>
  <c r="AO328" i="4"/>
  <c r="AO329" i="4"/>
  <c r="AO330" i="4"/>
  <c r="AO331" i="4"/>
  <c r="AO332" i="4"/>
  <c r="AO333" i="4"/>
  <c r="AO334" i="4"/>
  <c r="AO335" i="4"/>
  <c r="AO336" i="4"/>
  <c r="AO337" i="4"/>
  <c r="AO338" i="4"/>
  <c r="AO339" i="4"/>
  <c r="AO340" i="4"/>
  <c r="AO341" i="4"/>
  <c r="AO342" i="4"/>
  <c r="AO343" i="4"/>
  <c r="AO344" i="4"/>
  <c r="AO345" i="4"/>
  <c r="AO346" i="4"/>
  <c r="AO347" i="4"/>
  <c r="AO348" i="4"/>
  <c r="AO349" i="4"/>
  <c r="AO350" i="4"/>
  <c r="AO351" i="4"/>
  <c r="AO352" i="4"/>
  <c r="AO353" i="4"/>
  <c r="AO354" i="4"/>
  <c r="AO355" i="4"/>
  <c r="AO356" i="4"/>
  <c r="AO357" i="4"/>
  <c r="AO358" i="4"/>
  <c r="AO359" i="4"/>
  <c r="AO360" i="4"/>
  <c r="AO361" i="4"/>
  <c r="AO362" i="4"/>
  <c r="AO363" i="4"/>
  <c r="AO364" i="4"/>
  <c r="AO365" i="4"/>
  <c r="AO366" i="4"/>
  <c r="AO367" i="4"/>
  <c r="AO368" i="4"/>
  <c r="AO369" i="4"/>
  <c r="AO370" i="4"/>
  <c r="AO371" i="4"/>
  <c r="AO372" i="4"/>
  <c r="AO373" i="4"/>
  <c r="AO374" i="4"/>
  <c r="AO375" i="4"/>
  <c r="AO376" i="4"/>
  <c r="AO377" i="4"/>
  <c r="AO378" i="4"/>
  <c r="AO379" i="4"/>
  <c r="AO380" i="4"/>
  <c r="AO381" i="4"/>
  <c r="AO382" i="4"/>
  <c r="AO383" i="4"/>
  <c r="AO384" i="4"/>
  <c r="AO385" i="4"/>
  <c r="AO386" i="4"/>
  <c r="AO387" i="4"/>
  <c r="AO388" i="4"/>
  <c r="AO389" i="4"/>
  <c r="AO390" i="4"/>
  <c r="AO391" i="4"/>
  <c r="AO392" i="4"/>
  <c r="AO393" i="4"/>
  <c r="AO394" i="4"/>
  <c r="AO395" i="4"/>
  <c r="AO396" i="4"/>
  <c r="AO397" i="4"/>
  <c r="AO398" i="4"/>
  <c r="AO399" i="4"/>
  <c r="AO400" i="4"/>
  <c r="AO401" i="4"/>
  <c r="AO402" i="4"/>
  <c r="AO403" i="4"/>
  <c r="AO404" i="4"/>
  <c r="AO405" i="4"/>
  <c r="AO406" i="4"/>
  <c r="AO407" i="4"/>
  <c r="AO408" i="4"/>
  <c r="AO409" i="4"/>
  <c r="AO410" i="4"/>
  <c r="AO411" i="4"/>
  <c r="AO412" i="4"/>
  <c r="AO413" i="4"/>
  <c r="AO414" i="4"/>
  <c r="AO415" i="4"/>
  <c r="AO416" i="4"/>
  <c r="AO417" i="4"/>
  <c r="AO418" i="4"/>
  <c r="AO419" i="4"/>
  <c r="AO420" i="4"/>
  <c r="AO421" i="4"/>
  <c r="AO422" i="4"/>
  <c r="AO423" i="4"/>
  <c r="AO424" i="4"/>
  <c r="AO425" i="4"/>
  <c r="AO426" i="4"/>
  <c r="AO427" i="4"/>
  <c r="AO428" i="4"/>
  <c r="AO429" i="4"/>
  <c r="AO430" i="4"/>
  <c r="AO431" i="4"/>
  <c r="AO432" i="4"/>
  <c r="AO433" i="4"/>
  <c r="AO434" i="4"/>
  <c r="AO435" i="4"/>
  <c r="AO436" i="4"/>
  <c r="AO437" i="4"/>
  <c r="AO438" i="4"/>
  <c r="AO439" i="4"/>
  <c r="AO440" i="4"/>
  <c r="AO441" i="4"/>
  <c r="AO442" i="4"/>
  <c r="AO443" i="4"/>
  <c r="AO444" i="4"/>
  <c r="AO445" i="4"/>
  <c r="AO446" i="4"/>
  <c r="AO447" i="4"/>
  <c r="AO448" i="4"/>
  <c r="AO449" i="4"/>
  <c r="AO450" i="4"/>
  <c r="AO451" i="4"/>
  <c r="AO452" i="4"/>
  <c r="AO453" i="4"/>
  <c r="AO454" i="4"/>
  <c r="AO455" i="4"/>
  <c r="AO456" i="4"/>
  <c r="AO457" i="4"/>
  <c r="AO458" i="4"/>
  <c r="AO459" i="4"/>
  <c r="AO460" i="4"/>
  <c r="AO461" i="4"/>
  <c r="AO462" i="4"/>
  <c r="AO463" i="4"/>
  <c r="AO464" i="4"/>
  <c r="AO465" i="4"/>
  <c r="AO466" i="4"/>
  <c r="AO467" i="4"/>
  <c r="AO468" i="4"/>
  <c r="AO469" i="4"/>
  <c r="AO470" i="4"/>
  <c r="AO471" i="4"/>
  <c r="AO472" i="4"/>
  <c r="AO473" i="4"/>
  <c r="AO474" i="4"/>
  <c r="AO475" i="4"/>
  <c r="AO476" i="4"/>
  <c r="AO477" i="4"/>
  <c r="AO478" i="4"/>
  <c r="AO479" i="4"/>
  <c r="AO480" i="4"/>
  <c r="AO481" i="4"/>
  <c r="AO482" i="4"/>
  <c r="AO483" i="4"/>
  <c r="AO484" i="4"/>
  <c r="AO485" i="4"/>
  <c r="AO486" i="4"/>
  <c r="AO487" i="4"/>
  <c r="AO488" i="4"/>
  <c r="AO489" i="4"/>
  <c r="AO490" i="4"/>
  <c r="AO491" i="4"/>
  <c r="AO492" i="4"/>
  <c r="AO493" i="4"/>
  <c r="AO494" i="4"/>
  <c r="AO495" i="4"/>
  <c r="AO496" i="4"/>
  <c r="AO497" i="4"/>
  <c r="AO498" i="4"/>
  <c r="AO499" i="4"/>
  <c r="AO500" i="4"/>
  <c r="AA15" i="8" l="1"/>
  <c r="D3" i="2"/>
  <c r="AA16" i="8" l="1"/>
  <c r="BF3" i="2"/>
  <c r="BY3" i="2"/>
  <c r="BU3" i="2"/>
  <c r="BQ3" i="2"/>
  <c r="BM3" i="2"/>
  <c r="BI3" i="2"/>
  <c r="BE3" i="2"/>
  <c r="BX3" i="2"/>
  <c r="BT3" i="2"/>
  <c r="BP3" i="2"/>
  <c r="BL3" i="2"/>
  <c r="BH3" i="2"/>
  <c r="BD3" i="2"/>
  <c r="BB3" i="2"/>
  <c r="BW3" i="2"/>
  <c r="BS3" i="2"/>
  <c r="BO3" i="2"/>
  <c r="BK3" i="2"/>
  <c r="BG3" i="2"/>
  <c r="BC3" i="2"/>
  <c r="BZ3" i="2"/>
  <c r="BV3" i="2"/>
  <c r="BR3" i="2"/>
  <c r="BN3" i="2"/>
  <c r="BJ3" i="2"/>
  <c r="A3" i="2"/>
  <c r="AA17" i="8" l="1"/>
  <c r="C3" i="2"/>
  <c r="AA18" i="8" l="1"/>
  <c r="AC3" i="2"/>
  <c r="X3" i="2"/>
  <c r="W3" i="2"/>
  <c r="H3" i="2"/>
  <c r="N3" i="2"/>
  <c r="I3" i="2"/>
  <c r="AE3" i="2"/>
  <c r="AG3" i="2"/>
  <c r="AH3" i="2"/>
  <c r="L3" i="2"/>
  <c r="AB3" i="2"/>
  <c r="AI3" i="2"/>
  <c r="AJ3" i="2"/>
  <c r="AB18" i="8" l="1"/>
  <c r="AA19" i="8"/>
  <c r="AA20" i="8" s="1"/>
  <c r="AB20" i="8" s="1"/>
  <c r="AF3" i="2"/>
  <c r="AD3" i="2"/>
  <c r="M3" i="2"/>
  <c r="K3" i="2"/>
  <c r="J3" i="2"/>
  <c r="R3" i="2"/>
  <c r="Y3" i="2"/>
  <c r="S3" i="2"/>
  <c r="O3" i="2"/>
  <c r="Z3" i="2"/>
  <c r="P3" i="2"/>
  <c r="T3" i="2"/>
  <c r="AA3" i="2"/>
  <c r="Q3" i="2"/>
  <c r="U3" i="2"/>
  <c r="AB19" i="8" l="1"/>
  <c r="AA21" i="8"/>
  <c r="E3" i="2"/>
  <c r="BA3" i="2"/>
  <c r="AB21" i="8" l="1"/>
  <c r="AA22" i="8"/>
  <c r="AS3" i="2"/>
  <c r="AU3" i="2"/>
  <c r="AV3" i="2"/>
  <c r="AM3" i="2"/>
  <c r="AT3" i="2"/>
  <c r="AX3" i="2"/>
  <c r="AY3" i="2"/>
  <c r="AN3" i="2"/>
  <c r="AO3" i="2"/>
  <c r="V3" i="2"/>
  <c r="AP3" i="2"/>
  <c r="AW3" i="2"/>
  <c r="AR3" i="2"/>
  <c r="AL3" i="2"/>
  <c r="AQ3" i="2"/>
  <c r="G3" i="2"/>
  <c r="F3" i="2"/>
  <c r="AB22" i="8" l="1"/>
  <c r="AA23" i="8"/>
  <c r="AA24" i="8" s="1"/>
  <c r="AB24" i="8" s="1"/>
  <c r="AK3" i="2"/>
  <c r="AZ3" i="2"/>
  <c r="AA25" i="8" l="1"/>
  <c r="AB25" i="8" s="1"/>
  <c r="AB23" i="8"/>
  <c r="AA26" i="8" l="1"/>
  <c r="AB26" i="8" s="1"/>
  <c r="AA27" i="8" l="1"/>
  <c r="AA28" i="8" l="1"/>
  <c r="AB27" i="8"/>
  <c r="AA29" i="8" l="1"/>
  <c r="AB28" i="8"/>
  <c r="AA30" i="8" l="1"/>
  <c r="AB29" i="8"/>
  <c r="AA31" i="8" l="1"/>
  <c r="AB30" i="8"/>
  <c r="AA32" i="8" l="1"/>
  <c r="AB31" i="8"/>
  <c r="AA33" i="8" l="1"/>
  <c r="AB32" i="8"/>
  <c r="AA34" i="8" l="1"/>
  <c r="AB33" i="8"/>
  <c r="AA35" i="8" l="1"/>
  <c r="AB34" i="8"/>
  <c r="AA36" i="8" l="1"/>
  <c r="AB35" i="8"/>
  <c r="AA37" i="8" l="1"/>
  <c r="AB36" i="8"/>
  <c r="AA38" i="8" l="1"/>
  <c r="AB37" i="8"/>
  <c r="AA39" i="8" l="1"/>
  <c r="AB38" i="8"/>
  <c r="AA40" i="8" l="1"/>
  <c r="AB39" i="8"/>
  <c r="AA41" i="8" l="1"/>
  <c r="AB40" i="8"/>
  <c r="AA42" i="8" l="1"/>
  <c r="AB41" i="8"/>
  <c r="AA43" i="8" l="1"/>
  <c r="AB42" i="8"/>
  <c r="AA44" i="8" l="1"/>
  <c r="AB43" i="8"/>
  <c r="AA45" i="8" l="1"/>
  <c r="AB44" i="8"/>
  <c r="AA46" i="8" l="1"/>
  <c r="AB45" i="8"/>
  <c r="AA47" i="8" l="1"/>
  <c r="AB46" i="8"/>
  <c r="AA48" i="8" l="1"/>
  <c r="AB47" i="8"/>
  <c r="AA49" i="8" l="1"/>
  <c r="AB48" i="8"/>
  <c r="AA50" i="8" l="1"/>
  <c r="AB49" i="8"/>
  <c r="AA51" i="8" l="1"/>
  <c r="AB50" i="8"/>
  <c r="AA52" i="8" l="1"/>
  <c r="AB51" i="8"/>
  <c r="AA53" i="8" l="1"/>
  <c r="AB52" i="8"/>
  <c r="AA54" i="8" l="1"/>
  <c r="AB53" i="8"/>
  <c r="AA55" i="8" l="1"/>
  <c r="AB54" i="8"/>
  <c r="AA56" i="8" l="1"/>
  <c r="AB55" i="8"/>
  <c r="AA57" i="8" l="1"/>
  <c r="AB56" i="8"/>
  <c r="AA58" i="8" l="1"/>
  <c r="AB57" i="8"/>
  <c r="AA59" i="8" l="1"/>
  <c r="AB58" i="8"/>
  <c r="AA60" i="8" l="1"/>
  <c r="AB59" i="8"/>
  <c r="AA61" i="8" l="1"/>
  <c r="AB60" i="8"/>
  <c r="AA62" i="8" l="1"/>
  <c r="AB61" i="8"/>
  <c r="AA63" i="8" l="1"/>
  <c r="AB62" i="8"/>
  <c r="AA64" i="8" l="1"/>
  <c r="AB63" i="8"/>
  <c r="AA65" i="8" l="1"/>
  <c r="AB64" i="8"/>
  <c r="AA66" i="8" l="1"/>
  <c r="AB65" i="8"/>
  <c r="AA67" i="8" l="1"/>
  <c r="AB66" i="8"/>
  <c r="AA68" i="8" l="1"/>
  <c r="AB67" i="8"/>
  <c r="AA69" i="8" l="1"/>
  <c r="AB68" i="8"/>
  <c r="AA70" i="8" l="1"/>
  <c r="AB69" i="8"/>
  <c r="AA71" i="8" l="1"/>
  <c r="AB70" i="8"/>
  <c r="AA72" i="8" l="1"/>
  <c r="AB71" i="8"/>
  <c r="AA73" i="8" l="1"/>
  <c r="AB72" i="8"/>
  <c r="AA74" i="8" l="1"/>
  <c r="AB73" i="8"/>
  <c r="AA75" i="8" l="1"/>
  <c r="AB74" i="8"/>
  <c r="AA76" i="8" l="1"/>
  <c r="AB75" i="8"/>
  <c r="AA77" i="8" l="1"/>
  <c r="AB76" i="8"/>
  <c r="AA78" i="8" l="1"/>
  <c r="AB77" i="8"/>
  <c r="AA79" i="8" l="1"/>
  <c r="AB78" i="8"/>
  <c r="AA80" i="8" l="1"/>
  <c r="AB79" i="8"/>
  <c r="AA81" i="8" l="1"/>
  <c r="AB80" i="8"/>
  <c r="AA82" i="8" l="1"/>
  <c r="AB81" i="8"/>
  <c r="AA83" i="8" l="1"/>
  <c r="AB82" i="8"/>
  <c r="AA84" i="8" l="1"/>
  <c r="AB83" i="8"/>
  <c r="AA85" i="8" l="1"/>
  <c r="AB84" i="8"/>
  <c r="AA86" i="8" l="1"/>
  <c r="AB85" i="8"/>
  <c r="AA87" i="8" l="1"/>
  <c r="AB86" i="8"/>
  <c r="AA88" i="8" l="1"/>
  <c r="AB87" i="8"/>
  <c r="AA89" i="8" l="1"/>
  <c r="AB88" i="8"/>
  <c r="AA90" i="8" l="1"/>
  <c r="AB89" i="8"/>
  <c r="AA91" i="8" l="1"/>
  <c r="AB90" i="8"/>
  <c r="AA92" i="8" l="1"/>
  <c r="AB91" i="8"/>
  <c r="AA93" i="8" l="1"/>
  <c r="AB92" i="8"/>
  <c r="AA94" i="8" l="1"/>
  <c r="AB93" i="8"/>
  <c r="AA95" i="8" l="1"/>
  <c r="AB94" i="8"/>
  <c r="AA96" i="8" l="1"/>
  <c r="AB95" i="8"/>
  <c r="AA97" i="8" l="1"/>
  <c r="AB96" i="8"/>
  <c r="AA98" i="8" l="1"/>
  <c r="AB97" i="8"/>
  <c r="AA99" i="8" l="1"/>
  <c r="AB98" i="8"/>
  <c r="AA100" i="8" l="1"/>
  <c r="AB99" i="8"/>
  <c r="AA101" i="8" l="1"/>
  <c r="AB100" i="8"/>
  <c r="AA102" i="8" l="1"/>
  <c r="AB101" i="8"/>
  <c r="AA103" i="8" l="1"/>
  <c r="AB102" i="8"/>
  <c r="AA104" i="8" l="1"/>
  <c r="AB103" i="8"/>
  <c r="AA105" i="8" l="1"/>
  <c r="AB104" i="8"/>
  <c r="AA106" i="8" l="1"/>
  <c r="AB105" i="8"/>
  <c r="AA107" i="8" l="1"/>
  <c r="AB106" i="8"/>
  <c r="AA108" i="8" l="1"/>
  <c r="AB107" i="8"/>
  <c r="AA109" i="8" l="1"/>
  <c r="AB108" i="8"/>
  <c r="AA110" i="8" l="1"/>
  <c r="AB109" i="8"/>
  <c r="AA111" i="8" l="1"/>
  <c r="AB110" i="8"/>
  <c r="AA112" i="8" l="1"/>
  <c r="AB111" i="8"/>
  <c r="AA113" i="8" l="1"/>
  <c r="AB112" i="8"/>
  <c r="AA114" i="8" l="1"/>
  <c r="AB113" i="8"/>
  <c r="AA115" i="8" l="1"/>
  <c r="AB114" i="8"/>
  <c r="AA116" i="8" l="1"/>
  <c r="AB115" i="8"/>
  <c r="AA117" i="8" l="1"/>
  <c r="AB116" i="8"/>
  <c r="AA118" i="8" l="1"/>
  <c r="AB117" i="8"/>
  <c r="AA119" i="8" l="1"/>
  <c r="AB118" i="8"/>
  <c r="AA120" i="8" l="1"/>
  <c r="AB119" i="8"/>
  <c r="AA121" i="8" l="1"/>
  <c r="AB120" i="8"/>
  <c r="AA122" i="8" l="1"/>
  <c r="AB121" i="8"/>
  <c r="AA123" i="8" l="1"/>
  <c r="AB122" i="8"/>
  <c r="AA124" i="8" l="1"/>
  <c r="AB123" i="8"/>
  <c r="AA125" i="8" l="1"/>
  <c r="AB124" i="8"/>
  <c r="AA126" i="8" l="1"/>
  <c r="AB125" i="8"/>
  <c r="AA127" i="8" l="1"/>
  <c r="AB126" i="8"/>
  <c r="AA128" i="8" l="1"/>
  <c r="AB127" i="8"/>
  <c r="AA129" i="8" l="1"/>
  <c r="AB128" i="8"/>
  <c r="AA130" i="8" l="1"/>
  <c r="AB129" i="8"/>
  <c r="AA131" i="8" l="1"/>
  <c r="AB130" i="8"/>
  <c r="AA132" i="8" l="1"/>
  <c r="AB131" i="8"/>
  <c r="AA133" i="8" l="1"/>
  <c r="AB132" i="8"/>
  <c r="AA134" i="8" l="1"/>
  <c r="AB133" i="8"/>
  <c r="AA135" i="8" l="1"/>
  <c r="AB134" i="8"/>
  <c r="AA136" i="8" l="1"/>
  <c r="AB135" i="8"/>
  <c r="AA137" i="8" l="1"/>
  <c r="AB136" i="8"/>
  <c r="AA138" i="8" l="1"/>
  <c r="AB137" i="8"/>
  <c r="AA139" i="8" l="1"/>
  <c r="AB138" i="8"/>
  <c r="AA140" i="8" l="1"/>
  <c r="AB139" i="8"/>
  <c r="AA141" i="8" l="1"/>
  <c r="AB140" i="8"/>
  <c r="AA142" i="8" l="1"/>
  <c r="AB141" i="8"/>
  <c r="AA143" i="8" l="1"/>
  <c r="AB142" i="8"/>
  <c r="AA144" i="8" l="1"/>
  <c r="AB143" i="8"/>
  <c r="AA145" i="8" l="1"/>
  <c r="AB144" i="8"/>
  <c r="AA146" i="8" l="1"/>
  <c r="AB145" i="8"/>
  <c r="AA147" i="8" l="1"/>
  <c r="AB146" i="8"/>
  <c r="AA148" i="8" l="1"/>
  <c r="AB147" i="8"/>
  <c r="AA149" i="8" l="1"/>
  <c r="AB148" i="8"/>
  <c r="AA150" i="8" l="1"/>
  <c r="AB149" i="8"/>
  <c r="AA151" i="8" l="1"/>
  <c r="AB150" i="8"/>
  <c r="AA152" i="8" l="1"/>
  <c r="AB151" i="8"/>
  <c r="AA153" i="8" l="1"/>
  <c r="AB152" i="8"/>
  <c r="AA154" i="8" l="1"/>
  <c r="AB153" i="8"/>
  <c r="AA155" i="8" l="1"/>
  <c r="AB154" i="8"/>
  <c r="AA156" i="8" l="1"/>
  <c r="AB155" i="8"/>
  <c r="AA157" i="8" l="1"/>
  <c r="AB156" i="8"/>
  <c r="AA158" i="8" l="1"/>
  <c r="AB157" i="8"/>
  <c r="AA159" i="8" l="1"/>
  <c r="AB158" i="8"/>
  <c r="AA160" i="8" l="1"/>
  <c r="AB159" i="8"/>
  <c r="AA161" i="8" l="1"/>
  <c r="AB160" i="8"/>
  <c r="AA162" i="8" l="1"/>
  <c r="AB161" i="8"/>
  <c r="AA163" i="8" l="1"/>
  <c r="AB162" i="8"/>
  <c r="AA164" i="8" l="1"/>
  <c r="AB163" i="8"/>
  <c r="AA165" i="8" l="1"/>
  <c r="AB164" i="8"/>
  <c r="AA166" i="8" l="1"/>
  <c r="AB165" i="8"/>
  <c r="AA167" i="8" l="1"/>
  <c r="AB166" i="8"/>
  <c r="AA168" i="8" l="1"/>
  <c r="AB167" i="8"/>
  <c r="AA169" i="8" l="1"/>
  <c r="AB168" i="8"/>
  <c r="AA170" i="8" l="1"/>
  <c r="AB169" i="8"/>
  <c r="AA171" i="8" l="1"/>
  <c r="AB170" i="8"/>
  <c r="AA172" i="8" l="1"/>
  <c r="AB171" i="8"/>
  <c r="AA173" i="8" l="1"/>
  <c r="AB172" i="8"/>
  <c r="AA174" i="8" l="1"/>
  <c r="AB173" i="8"/>
  <c r="AA175" i="8" l="1"/>
  <c r="AB174" i="8"/>
  <c r="AA176" i="8" l="1"/>
  <c r="AB175" i="8"/>
  <c r="AA177" i="8" l="1"/>
  <c r="AB176" i="8"/>
  <c r="AA178" i="8" l="1"/>
  <c r="AB177" i="8"/>
  <c r="AA179" i="8" l="1"/>
  <c r="AB178" i="8"/>
  <c r="AA180" i="8" l="1"/>
  <c r="AB179" i="8"/>
  <c r="AA181" i="8" l="1"/>
  <c r="AB180" i="8"/>
  <c r="AA182" i="8" l="1"/>
  <c r="AB181" i="8"/>
  <c r="AA183" i="8" l="1"/>
  <c r="AB182" i="8"/>
  <c r="AA184" i="8" l="1"/>
  <c r="AB183" i="8"/>
  <c r="AA185" i="8" l="1"/>
  <c r="AB184" i="8"/>
  <c r="AA186" i="8" l="1"/>
  <c r="AB185" i="8"/>
  <c r="AA187" i="8" l="1"/>
  <c r="AB186" i="8"/>
  <c r="AA188" i="8" l="1"/>
  <c r="AB187" i="8"/>
  <c r="AA189" i="8" l="1"/>
  <c r="AB188" i="8"/>
  <c r="AA190" i="8" l="1"/>
  <c r="AB189" i="8"/>
  <c r="AA191" i="8" l="1"/>
  <c r="AB190" i="8"/>
  <c r="AA192" i="8" l="1"/>
  <c r="AB191" i="8"/>
  <c r="AA193" i="8" l="1"/>
  <c r="AB192" i="8"/>
  <c r="AA194" i="8" l="1"/>
  <c r="AB193" i="8"/>
  <c r="AA195" i="8" l="1"/>
  <c r="AB194" i="8"/>
  <c r="AA196" i="8" l="1"/>
  <c r="AB195" i="8"/>
  <c r="AA197" i="8" l="1"/>
  <c r="AB196" i="8"/>
  <c r="AA198" i="8" l="1"/>
  <c r="AB197" i="8"/>
  <c r="AA199" i="8" l="1"/>
  <c r="AB198" i="8"/>
  <c r="AA200" i="8" l="1"/>
  <c r="AB199" i="8"/>
  <c r="AA201" i="8" l="1"/>
  <c r="AB200" i="8"/>
  <c r="AA202" i="8" l="1"/>
  <c r="AB201" i="8"/>
  <c r="AA203" i="8" l="1"/>
  <c r="AB202" i="8"/>
  <c r="AA204" i="8" l="1"/>
  <c r="AB203" i="8"/>
  <c r="AA205" i="8" l="1"/>
  <c r="AB204" i="8"/>
  <c r="AA206" i="8" l="1"/>
  <c r="AB205" i="8"/>
  <c r="AA207" i="8" l="1"/>
  <c r="AB206" i="8"/>
  <c r="AA208" i="8" l="1"/>
  <c r="AB207" i="8"/>
  <c r="AA209" i="8" l="1"/>
  <c r="AB208" i="8"/>
  <c r="AA210" i="8" l="1"/>
  <c r="AB209" i="8"/>
  <c r="AA211" i="8" l="1"/>
  <c r="AB210" i="8"/>
  <c r="AA212" i="8" l="1"/>
  <c r="AB211" i="8"/>
  <c r="AA213" i="8" l="1"/>
  <c r="AB212" i="8"/>
  <c r="AA214" i="8" l="1"/>
  <c r="AB213" i="8"/>
  <c r="AA215" i="8" l="1"/>
  <c r="AB214" i="8"/>
  <c r="AA216" i="8" l="1"/>
  <c r="AB215" i="8"/>
  <c r="AA217" i="8" l="1"/>
  <c r="AB216" i="8"/>
  <c r="AA218" i="8" l="1"/>
  <c r="AB217" i="8"/>
  <c r="AA219" i="8" l="1"/>
  <c r="AB218" i="8"/>
  <c r="AA220" i="8" l="1"/>
  <c r="AB219" i="8"/>
  <c r="AA221" i="8" l="1"/>
  <c r="AB220" i="8"/>
  <c r="AA222" i="8" l="1"/>
  <c r="AB221" i="8"/>
  <c r="AA223" i="8" l="1"/>
  <c r="AB222" i="8"/>
  <c r="AA224" i="8" l="1"/>
  <c r="AB223" i="8"/>
  <c r="AA225" i="8" l="1"/>
  <c r="AB224" i="8"/>
  <c r="AA226" i="8" l="1"/>
  <c r="AB225" i="8"/>
  <c r="AA227" i="8" l="1"/>
  <c r="AB226" i="8"/>
  <c r="AA228" i="8" l="1"/>
  <c r="AB227" i="8"/>
  <c r="AA229" i="8" l="1"/>
  <c r="AB228" i="8"/>
  <c r="AA230" i="8" l="1"/>
  <c r="AB229" i="8"/>
  <c r="AA231" i="8" l="1"/>
  <c r="AB230" i="8"/>
  <c r="AA232" i="8" l="1"/>
  <c r="AB231" i="8"/>
  <c r="AA233" i="8" l="1"/>
  <c r="AB232" i="8"/>
  <c r="AA234" i="8" l="1"/>
  <c r="AB233" i="8"/>
  <c r="AA235" i="8" l="1"/>
  <c r="AB234" i="8"/>
  <c r="AA236" i="8" l="1"/>
  <c r="AB235" i="8"/>
  <c r="AA237" i="8" l="1"/>
  <c r="AB236" i="8"/>
  <c r="AA238" i="8" l="1"/>
  <c r="AB237" i="8"/>
  <c r="AA239" i="8" l="1"/>
  <c r="AB238" i="8"/>
  <c r="AA240" i="8" l="1"/>
  <c r="AB239" i="8"/>
  <c r="AA241" i="8" l="1"/>
  <c r="AB240" i="8"/>
  <c r="AA242" i="8" l="1"/>
  <c r="AB241" i="8"/>
  <c r="AA243" i="8" l="1"/>
  <c r="AB242" i="8"/>
  <c r="AA244" i="8" l="1"/>
  <c r="AB243" i="8"/>
  <c r="AA245" i="8" l="1"/>
  <c r="AB244" i="8"/>
  <c r="AA246" i="8" l="1"/>
  <c r="AB245" i="8"/>
  <c r="AA247" i="8" l="1"/>
  <c r="AB246" i="8"/>
  <c r="AA248" i="8" l="1"/>
  <c r="AB247" i="8"/>
  <c r="AA249" i="8" l="1"/>
  <c r="AB248" i="8"/>
  <c r="AA250" i="8" l="1"/>
  <c r="AB249" i="8"/>
  <c r="AA251" i="8" l="1"/>
  <c r="AB250" i="8"/>
  <c r="AA252" i="8" l="1"/>
  <c r="AB251" i="8"/>
  <c r="AA253" i="8" l="1"/>
  <c r="AB252" i="8"/>
  <c r="AA254" i="8" l="1"/>
  <c r="AB253" i="8"/>
  <c r="AA255" i="8" l="1"/>
  <c r="AB254" i="8"/>
  <c r="AA256" i="8" l="1"/>
  <c r="AB255" i="8"/>
  <c r="AA257" i="8" l="1"/>
  <c r="AB256" i="8"/>
  <c r="AA258" i="8" l="1"/>
  <c r="AB257" i="8"/>
  <c r="AA259" i="8" l="1"/>
  <c r="AB258" i="8"/>
  <c r="AA260" i="8" l="1"/>
  <c r="AB259" i="8"/>
  <c r="AA261" i="8" l="1"/>
  <c r="AB260" i="8"/>
  <c r="AA262" i="8" l="1"/>
  <c r="AB261" i="8"/>
  <c r="AA263" i="8" l="1"/>
  <c r="AB262" i="8"/>
  <c r="AA264" i="8" l="1"/>
  <c r="AB263" i="8"/>
  <c r="AA265" i="8" l="1"/>
  <c r="AB264" i="8"/>
  <c r="AA266" i="8" l="1"/>
  <c r="AB265" i="8"/>
  <c r="AA267" i="8" l="1"/>
  <c r="AB266" i="8"/>
  <c r="AA268" i="8" l="1"/>
  <c r="AB267" i="8"/>
  <c r="AA269" i="8" l="1"/>
  <c r="AB268" i="8"/>
  <c r="AA270" i="8" l="1"/>
  <c r="AB269" i="8"/>
  <c r="AA271" i="8" l="1"/>
  <c r="AB270" i="8"/>
  <c r="AA272" i="8" l="1"/>
  <c r="AB271" i="8"/>
  <c r="AA273" i="8" l="1"/>
  <c r="AB272" i="8"/>
  <c r="AA274" i="8" l="1"/>
  <c r="AB273" i="8"/>
  <c r="AA275" i="8" l="1"/>
  <c r="AB274" i="8"/>
  <c r="AA276" i="8" l="1"/>
  <c r="AB275" i="8"/>
  <c r="AA277" i="8" l="1"/>
  <c r="AB276" i="8"/>
  <c r="AA278" i="8" l="1"/>
  <c r="AB277" i="8"/>
  <c r="AA279" i="8" l="1"/>
  <c r="AB278" i="8"/>
  <c r="AA280" i="8" l="1"/>
  <c r="AB279" i="8"/>
  <c r="AA281" i="8" l="1"/>
  <c r="AB280" i="8"/>
  <c r="AA282" i="8" l="1"/>
  <c r="AB281" i="8"/>
  <c r="AA283" i="8" l="1"/>
  <c r="AB282" i="8"/>
  <c r="AA284" i="8" l="1"/>
  <c r="AB283" i="8"/>
  <c r="AA285" i="8" l="1"/>
  <c r="AB284" i="8"/>
  <c r="AA286" i="8" l="1"/>
  <c r="AB285" i="8"/>
  <c r="AA287" i="8" l="1"/>
  <c r="AB286" i="8"/>
  <c r="AA288" i="8" l="1"/>
  <c r="AB287" i="8"/>
  <c r="AA289" i="8" l="1"/>
  <c r="AB288" i="8"/>
  <c r="AA290" i="8" l="1"/>
  <c r="AB289" i="8"/>
  <c r="AA291" i="8" l="1"/>
  <c r="AB290" i="8"/>
  <c r="AA292" i="8" l="1"/>
  <c r="AB291" i="8"/>
  <c r="AA293" i="8" l="1"/>
  <c r="AB292" i="8"/>
  <c r="AA294" i="8" l="1"/>
  <c r="AB293" i="8"/>
  <c r="AA295" i="8" l="1"/>
  <c r="AB294" i="8"/>
  <c r="AA296" i="8" l="1"/>
  <c r="AB295" i="8"/>
  <c r="AA297" i="8" l="1"/>
  <c r="AB296" i="8"/>
  <c r="AA298" i="8" l="1"/>
  <c r="AB297" i="8"/>
  <c r="AA299" i="8" l="1"/>
  <c r="AB298" i="8"/>
  <c r="AA300" i="8" l="1"/>
  <c r="AB299" i="8"/>
  <c r="AA301" i="8" l="1"/>
  <c r="AB300" i="8"/>
  <c r="AA302" i="8" l="1"/>
  <c r="AB301" i="8"/>
  <c r="AA303" i="8" l="1"/>
  <c r="AB302" i="8"/>
  <c r="AA304" i="8" l="1"/>
  <c r="AB303" i="8"/>
  <c r="AA305" i="8" l="1"/>
  <c r="AB304" i="8"/>
  <c r="AA306" i="8" l="1"/>
  <c r="AB305" i="8"/>
  <c r="AA307" i="8" l="1"/>
  <c r="AB306" i="8"/>
  <c r="AA308" i="8" l="1"/>
  <c r="AB307" i="8"/>
  <c r="AA309" i="8" l="1"/>
  <c r="AB308" i="8"/>
  <c r="AA310" i="8" l="1"/>
  <c r="AB309" i="8"/>
  <c r="AA311" i="8" l="1"/>
  <c r="AB310" i="8"/>
  <c r="AA312" i="8" l="1"/>
  <c r="AB311" i="8"/>
  <c r="AA313" i="8" l="1"/>
  <c r="AB312" i="8"/>
  <c r="AA314" i="8" l="1"/>
  <c r="AB313" i="8"/>
  <c r="AA315" i="8" l="1"/>
  <c r="AB314" i="8"/>
  <c r="AA316" i="8" l="1"/>
  <c r="AB315" i="8"/>
  <c r="AA317" i="8" l="1"/>
  <c r="AB316" i="8"/>
  <c r="AA318" i="8" l="1"/>
  <c r="AB317" i="8"/>
  <c r="AA319" i="8" l="1"/>
  <c r="AB318" i="8"/>
  <c r="AA320" i="8" l="1"/>
  <c r="AB319" i="8"/>
  <c r="AA321" i="8" l="1"/>
  <c r="AB320" i="8"/>
  <c r="AA322" i="8" l="1"/>
  <c r="AB321" i="8"/>
  <c r="AA323" i="8" l="1"/>
  <c r="AB322" i="8"/>
  <c r="AA324" i="8" l="1"/>
  <c r="AB323" i="8"/>
  <c r="AA325" i="8" l="1"/>
  <c r="AB324" i="8"/>
  <c r="AA326" i="8" l="1"/>
  <c r="AB325" i="8"/>
  <c r="AA327" i="8" l="1"/>
  <c r="AB326" i="8"/>
  <c r="AA328" i="8" l="1"/>
  <c r="AB327" i="8"/>
  <c r="AA329" i="8" l="1"/>
  <c r="AB328" i="8"/>
  <c r="AA330" i="8" l="1"/>
  <c r="AB329" i="8"/>
  <c r="AA331" i="8" l="1"/>
  <c r="AB330" i="8"/>
  <c r="AA332" i="8" l="1"/>
  <c r="AB331" i="8"/>
  <c r="AA333" i="8" l="1"/>
  <c r="AB332" i="8"/>
  <c r="AA334" i="8" l="1"/>
  <c r="AB333" i="8"/>
  <c r="AA335" i="8" l="1"/>
  <c r="AB334" i="8"/>
  <c r="AA336" i="8" l="1"/>
  <c r="AB335" i="8"/>
  <c r="AA337" i="8" l="1"/>
  <c r="AB336" i="8"/>
  <c r="AA338" i="8" l="1"/>
  <c r="AB337" i="8"/>
  <c r="AA339" i="8" l="1"/>
  <c r="AB338" i="8"/>
  <c r="AA340" i="8" l="1"/>
  <c r="AB339" i="8"/>
  <c r="AA341" i="8" l="1"/>
  <c r="AB340" i="8"/>
  <c r="AA342" i="8" l="1"/>
  <c r="AB341" i="8"/>
  <c r="AA343" i="8" l="1"/>
  <c r="AB342" i="8"/>
  <c r="AA344" i="8" l="1"/>
  <c r="AB343" i="8"/>
  <c r="AA345" i="8" l="1"/>
  <c r="AB344" i="8"/>
  <c r="AA346" i="8" l="1"/>
  <c r="AB345" i="8"/>
  <c r="AA347" i="8" l="1"/>
  <c r="AB346" i="8"/>
  <c r="AA348" i="8" l="1"/>
  <c r="AB347" i="8"/>
  <c r="AA349" i="8" l="1"/>
  <c r="AB348" i="8"/>
  <c r="AA350" i="8" l="1"/>
  <c r="AB349" i="8"/>
  <c r="AA351" i="8" l="1"/>
  <c r="AB350" i="8"/>
  <c r="AA352" i="8" l="1"/>
  <c r="AB351" i="8"/>
  <c r="AA353" i="8" l="1"/>
  <c r="AB352" i="8"/>
  <c r="AA354" i="8" l="1"/>
  <c r="AB353" i="8"/>
  <c r="AA355" i="8" l="1"/>
  <c r="AB354" i="8"/>
  <c r="AA356" i="8" l="1"/>
  <c r="AB355" i="8"/>
  <c r="AA357" i="8" l="1"/>
  <c r="AB356" i="8"/>
  <c r="AA358" i="8" l="1"/>
  <c r="AB357" i="8"/>
  <c r="AA359" i="8" l="1"/>
  <c r="AB358" i="8"/>
  <c r="AA360" i="8" l="1"/>
  <c r="AB359" i="8"/>
  <c r="AA361" i="8" l="1"/>
  <c r="AB360" i="8"/>
  <c r="AA362" i="8" l="1"/>
  <c r="AB361" i="8"/>
  <c r="AA363" i="8" l="1"/>
  <c r="AB362" i="8"/>
  <c r="AA364" i="8" l="1"/>
  <c r="AB363" i="8"/>
  <c r="AA365" i="8" l="1"/>
  <c r="AB364" i="8"/>
  <c r="AA366" i="8" l="1"/>
  <c r="AB365" i="8"/>
  <c r="AA367" i="8" l="1"/>
  <c r="AB366" i="8"/>
  <c r="AA368" i="8" l="1"/>
  <c r="AB367" i="8"/>
  <c r="AA369" i="8" l="1"/>
  <c r="AB368" i="8"/>
  <c r="AA370" i="8" l="1"/>
  <c r="AB369" i="8"/>
  <c r="AA371" i="8" l="1"/>
  <c r="AB370" i="8"/>
  <c r="AA372" i="8" l="1"/>
  <c r="AB371" i="8"/>
  <c r="AA373" i="8" l="1"/>
  <c r="AB372" i="8"/>
  <c r="AA374" i="8" l="1"/>
  <c r="AB373" i="8"/>
  <c r="AA375" i="8" l="1"/>
  <c r="AB374" i="8"/>
  <c r="AA376" i="8" l="1"/>
  <c r="AB375" i="8"/>
  <c r="AA377" i="8" l="1"/>
  <c r="AB376" i="8"/>
  <c r="AA378" i="8" l="1"/>
  <c r="AB377" i="8"/>
  <c r="AA379" i="8" l="1"/>
  <c r="AB378" i="8"/>
  <c r="AA380" i="8" l="1"/>
  <c r="AB379" i="8"/>
  <c r="AA381" i="8" l="1"/>
  <c r="AB380" i="8"/>
  <c r="AA382" i="8" l="1"/>
  <c r="AB381" i="8"/>
  <c r="AA383" i="8" l="1"/>
  <c r="AB382" i="8"/>
  <c r="AA384" i="8" l="1"/>
  <c r="AB383" i="8"/>
  <c r="AA385" i="8" l="1"/>
  <c r="AB384" i="8"/>
  <c r="AA386" i="8" l="1"/>
  <c r="AB385" i="8"/>
  <c r="AA387" i="8" l="1"/>
  <c r="AB386" i="8"/>
  <c r="AA388" i="8" l="1"/>
  <c r="AB387" i="8"/>
  <c r="AA389" i="8" l="1"/>
  <c r="AB388" i="8"/>
  <c r="AA390" i="8" l="1"/>
  <c r="AB389" i="8"/>
  <c r="AA391" i="8" l="1"/>
  <c r="AB390" i="8"/>
  <c r="AA392" i="8" l="1"/>
  <c r="AB391" i="8"/>
  <c r="AA393" i="8" l="1"/>
  <c r="AB392" i="8"/>
  <c r="AA394" i="8" l="1"/>
  <c r="AB393" i="8"/>
  <c r="AA395" i="8" l="1"/>
  <c r="AB394" i="8"/>
  <c r="AA396" i="8" l="1"/>
  <c r="AB395" i="8"/>
  <c r="AA397" i="8" l="1"/>
  <c r="AB396" i="8"/>
  <c r="AA398" i="8" l="1"/>
  <c r="AB397" i="8"/>
  <c r="AA399" i="8" l="1"/>
  <c r="AB398" i="8"/>
  <c r="AA400" i="8" l="1"/>
  <c r="AB399" i="8"/>
  <c r="AA401" i="8" l="1"/>
  <c r="AB400" i="8"/>
  <c r="AA402" i="8" l="1"/>
  <c r="AB401" i="8"/>
  <c r="AA403" i="8" l="1"/>
  <c r="AB402" i="8"/>
  <c r="AA404" i="8" l="1"/>
  <c r="AB403" i="8"/>
  <c r="AA405" i="8" l="1"/>
  <c r="AB404" i="8"/>
  <c r="AA406" i="8" l="1"/>
  <c r="AB405" i="8"/>
  <c r="AA407" i="8" l="1"/>
  <c r="AB406" i="8"/>
  <c r="AA408" i="8" l="1"/>
  <c r="AB407" i="8"/>
  <c r="AA409" i="8" l="1"/>
  <c r="AB408" i="8"/>
  <c r="AA410" i="8" l="1"/>
  <c r="AB409" i="8"/>
  <c r="AA411" i="8" l="1"/>
  <c r="AB410" i="8"/>
  <c r="AA412" i="8" l="1"/>
  <c r="AB411" i="8"/>
  <c r="AA413" i="8" l="1"/>
  <c r="AB412" i="8"/>
  <c r="AA414" i="8" l="1"/>
  <c r="AB413" i="8"/>
  <c r="AA415" i="8" l="1"/>
  <c r="AB414" i="8"/>
  <c r="AA416" i="8" l="1"/>
  <c r="AB415" i="8"/>
  <c r="AA417" i="8" l="1"/>
  <c r="AB416" i="8"/>
  <c r="AA418" i="8" l="1"/>
  <c r="AB417" i="8"/>
  <c r="AA419" i="8" l="1"/>
  <c r="AB418" i="8"/>
  <c r="AA420" i="8" l="1"/>
  <c r="AB419" i="8"/>
  <c r="AA421" i="8" l="1"/>
  <c r="AB420" i="8"/>
  <c r="AA422" i="8" l="1"/>
  <c r="AB421" i="8"/>
  <c r="AA423" i="8" l="1"/>
  <c r="AB422" i="8"/>
  <c r="AA424" i="8" l="1"/>
  <c r="AB423" i="8"/>
  <c r="AA425" i="8" l="1"/>
  <c r="AB424" i="8"/>
  <c r="AA426" i="8" l="1"/>
  <c r="AB425" i="8"/>
  <c r="AA427" i="8" l="1"/>
  <c r="AB426" i="8"/>
  <c r="AA428" i="8" l="1"/>
  <c r="AB427" i="8"/>
  <c r="AA429" i="8" l="1"/>
  <c r="AB428" i="8"/>
  <c r="AA430" i="8" l="1"/>
  <c r="AB429" i="8"/>
  <c r="AA431" i="8" l="1"/>
  <c r="AB430" i="8"/>
  <c r="AA432" i="8" l="1"/>
  <c r="AB431" i="8"/>
  <c r="AA433" i="8" l="1"/>
  <c r="AB432" i="8"/>
  <c r="AA434" i="8" l="1"/>
  <c r="AB433" i="8"/>
  <c r="AA435" i="8" l="1"/>
  <c r="AB434" i="8"/>
  <c r="AA436" i="8" l="1"/>
  <c r="AB435" i="8"/>
  <c r="AA437" i="8" l="1"/>
  <c r="AB436" i="8"/>
  <c r="AA438" i="8" l="1"/>
  <c r="AB437" i="8"/>
  <c r="AA439" i="8" l="1"/>
  <c r="AB438" i="8"/>
  <c r="AA440" i="8" l="1"/>
  <c r="AB439" i="8"/>
  <c r="AA441" i="8" l="1"/>
  <c r="AB440" i="8"/>
  <c r="AA442" i="8" l="1"/>
  <c r="AB441" i="8"/>
  <c r="AA443" i="8" l="1"/>
  <c r="AB442" i="8"/>
  <c r="AA444" i="8" l="1"/>
  <c r="AB443" i="8"/>
  <c r="AA445" i="8" l="1"/>
  <c r="AB444" i="8"/>
  <c r="AA446" i="8" l="1"/>
  <c r="AB445" i="8"/>
  <c r="AA447" i="8" l="1"/>
  <c r="AB446" i="8"/>
  <c r="AA448" i="8" l="1"/>
  <c r="AB447" i="8"/>
  <c r="AA449" i="8" l="1"/>
  <c r="AB448" i="8"/>
  <c r="AA450" i="8" l="1"/>
  <c r="AB449" i="8"/>
  <c r="AA451" i="8" l="1"/>
  <c r="AB450" i="8"/>
  <c r="AA452" i="8" l="1"/>
  <c r="AB451" i="8"/>
  <c r="AA453" i="8" l="1"/>
  <c r="AB452" i="8"/>
  <c r="AA454" i="8" l="1"/>
  <c r="AB453" i="8"/>
  <c r="AA455" i="8" l="1"/>
  <c r="AB454" i="8"/>
  <c r="AA456" i="8" l="1"/>
  <c r="AB455" i="8"/>
  <c r="AA457" i="8" l="1"/>
  <c r="AB456" i="8"/>
  <c r="AA458" i="8" l="1"/>
  <c r="AB457" i="8"/>
  <c r="AA459" i="8" l="1"/>
  <c r="AB458" i="8"/>
  <c r="AA460" i="8" l="1"/>
  <c r="AB459" i="8"/>
  <c r="AA461" i="8" l="1"/>
  <c r="AB460" i="8"/>
  <c r="AA462" i="8" l="1"/>
  <c r="AB461" i="8"/>
  <c r="AA463" i="8" l="1"/>
  <c r="AB462" i="8"/>
  <c r="AA464" i="8" l="1"/>
  <c r="AB463" i="8"/>
  <c r="AA465" i="8" l="1"/>
  <c r="AB464" i="8"/>
  <c r="AA466" i="8" l="1"/>
  <c r="AB465" i="8"/>
  <c r="AA467" i="8" l="1"/>
  <c r="AB466" i="8"/>
  <c r="AA468" i="8" l="1"/>
  <c r="AB467" i="8"/>
  <c r="AA469" i="8" l="1"/>
  <c r="AB468" i="8"/>
  <c r="AA470" i="8" l="1"/>
  <c r="AB469" i="8"/>
  <c r="AA471" i="8" l="1"/>
  <c r="AB470" i="8"/>
  <c r="AA472" i="8" l="1"/>
  <c r="AB471" i="8"/>
  <c r="AA473" i="8" l="1"/>
  <c r="AB472" i="8"/>
  <c r="AA474" i="8" l="1"/>
  <c r="AB473" i="8"/>
  <c r="AA475" i="8" l="1"/>
  <c r="AB474" i="8"/>
  <c r="AA476" i="8" l="1"/>
  <c r="AB475" i="8"/>
  <c r="AA477" i="8" l="1"/>
  <c r="AB476" i="8"/>
  <c r="AA478" i="8" l="1"/>
  <c r="AB477" i="8"/>
  <c r="AA479" i="8" l="1"/>
  <c r="AB478" i="8"/>
  <c r="AA480" i="8" l="1"/>
  <c r="AB479" i="8"/>
  <c r="AA481" i="8" l="1"/>
  <c r="AB480" i="8"/>
  <c r="AA482" i="8" l="1"/>
  <c r="AB481" i="8"/>
  <c r="AA483" i="8" l="1"/>
  <c r="AB482" i="8"/>
  <c r="AA484" i="8" l="1"/>
  <c r="AB483" i="8"/>
  <c r="AA485" i="8" l="1"/>
  <c r="AB484" i="8"/>
  <c r="AA486" i="8" l="1"/>
  <c r="AB485" i="8"/>
  <c r="AA487" i="8" l="1"/>
  <c r="AB486" i="8"/>
  <c r="AA488" i="8" l="1"/>
  <c r="AB487" i="8"/>
  <c r="AA489" i="8" l="1"/>
  <c r="AB488" i="8"/>
  <c r="AA490" i="8" l="1"/>
  <c r="AB489" i="8"/>
  <c r="AA491" i="8" l="1"/>
  <c r="AB490" i="8"/>
  <c r="AA492" i="8" l="1"/>
  <c r="AB491" i="8"/>
  <c r="AA493" i="8" l="1"/>
  <c r="AB492" i="8"/>
  <c r="AA494" i="8" l="1"/>
  <c r="AB493" i="8"/>
  <c r="AA495" i="8" l="1"/>
  <c r="AB494" i="8"/>
  <c r="AA496" i="8" l="1"/>
  <c r="AB495" i="8"/>
  <c r="AA497" i="8" l="1"/>
  <c r="AB496" i="8"/>
  <c r="AA498" i="8" l="1"/>
  <c r="AB497" i="8"/>
  <c r="AA499" i="8" l="1"/>
  <c r="AB498" i="8"/>
  <c r="AA500" i="8" l="1"/>
  <c r="AB17" i="8" s="1"/>
  <c r="AB499" i="8"/>
  <c r="AB15" i="8" l="1"/>
  <c r="AB16" i="8"/>
  <c r="AB500" i="8"/>
  <c r="AB14" i="8"/>
  <c r="AD13" i="8" l="1"/>
  <c r="B3" i="2"/>
</calcChain>
</file>

<file path=xl/sharedStrings.xml><?xml version="1.0" encoding="utf-8"?>
<sst xmlns="http://schemas.openxmlformats.org/spreadsheetml/2006/main" count="746" uniqueCount="371">
  <si>
    <t>I. IDENTIFICACIÓN  DE LA UNIDAD</t>
  </si>
  <si>
    <t>UNIDAD NOTIFICANTE:</t>
  </si>
  <si>
    <t>CLAVE DE LA UNIDAD:</t>
  </si>
  <si>
    <t>LOCALIDAD:</t>
  </si>
  <si>
    <t>MUNICIPIO:</t>
  </si>
  <si>
    <t>JURISDICCIÓN O EQUIVALENTE:</t>
  </si>
  <si>
    <t>ENTIDAD O DELEGACIÓN:</t>
  </si>
  <si>
    <t>INSTITUCIÓN:</t>
  </si>
  <si>
    <t>II. ANTECEDENTES</t>
  </si>
  <si>
    <t>DX. PROBABLE:</t>
  </si>
  <si>
    <t>DX. FINAL:</t>
  </si>
  <si>
    <t>FECHA DE NOTIFICACIÓN</t>
  </si>
  <si>
    <t>DIA</t>
  </si>
  <si>
    <t>MES</t>
  </si>
  <si>
    <t>AÑO</t>
  </si>
  <si>
    <t>CASOS PROBABLES</t>
  </si>
  <si>
    <t>CASOS CONFIRMADOS</t>
  </si>
  <si>
    <t>DEFUNCIONES</t>
  </si>
  <si>
    <t>HOSPITALIZADOS</t>
  </si>
  <si>
    <t>III. DISTRIBUCION POR PERSONA</t>
  </si>
  <si>
    <t>LLENE LOS ESPACIOS COMO SE INDICA</t>
  </si>
  <si>
    <t>GRUPO DE EDAD</t>
  </si>
  <si>
    <t>&lt; 1</t>
  </si>
  <si>
    <t xml:space="preserve"> 1 - 4</t>
  </si>
  <si>
    <t xml:space="preserve"> 5 - 14</t>
  </si>
  <si>
    <t xml:space="preserve"> 15 - 24</t>
  </si>
  <si>
    <t xml:space="preserve"> 25 - 44</t>
  </si>
  <si>
    <t xml:space="preserve"> 45 - 64</t>
  </si>
  <si>
    <t>65 Y MAS</t>
  </si>
  <si>
    <t>IGNORADOS</t>
  </si>
  <si>
    <t>T O T A L</t>
  </si>
  <si>
    <t>SISTEMA NACIONAL DE SALUD</t>
  </si>
  <si>
    <t>NOTIFICACION DE BROTE</t>
  </si>
  <si>
    <t>MASCULINO (A)</t>
  </si>
  <si>
    <t>FEMENINO (B)</t>
  </si>
  <si>
    <t>NUMERO DE CASOS</t>
  </si>
  <si>
    <t>NUMERO DE DEFUNCIONES</t>
  </si>
  <si>
    <t>POBLACIÓN EXPUESTA</t>
  </si>
  <si>
    <t>MASCULINO (D)</t>
  </si>
  <si>
    <t>FEMENINO (E)</t>
  </si>
  <si>
    <t>FEMENINO (H)</t>
  </si>
  <si>
    <t>TASA DE ATAQUE *</t>
  </si>
  <si>
    <t>No.</t>
  </si>
  <si>
    <t>%</t>
  </si>
  <si>
    <t>CASOS</t>
  </si>
  <si>
    <t>PARA OBTENER LAS TASAS DE ATAQUE Y LETALIDAD, SE INDICA EN CADA COLUMNA CON LETRAS), LA OPERACIÓN A REALIZAR CON BASE EN LAS LETRAS INDICADAS EN EL CUADRO ANTERIOR.</t>
  </si>
  <si>
    <t>* TASA POR 100</t>
  </si>
  <si>
    <t>IV. DISTRIBUCION EN EL TIEMPO</t>
  </si>
  <si>
    <t>GRAFIQUE EN EL EJE HORIZONTAL EL TIEMPO (HORAS, DÍAS, SEMANAS, ETC.) EN QUE OCURRIO EL BROTE, EN EL EJE VERTICAL LA ESCALA MÁS ADECUADADEL NUMERO DE CASOS Y DEFUNCIONES QUE SEPRESENTARÓN, EN CASO NECESARIO GRAFIQUE EN HOJAS ADICIONALES.</t>
  </si>
  <si>
    <r>
      <rPr>
        <b/>
        <sz val="8"/>
        <color theme="1"/>
        <rFont val="Calibri"/>
        <family val="2"/>
        <scheme val="minor"/>
      </rPr>
      <t>V. DISTRIBUCION GEOGRAFICA:</t>
    </r>
    <r>
      <rPr>
        <sz val="8"/>
        <color theme="1"/>
        <rFont val="Calibri"/>
        <family val="2"/>
        <scheme val="minor"/>
      </rPr>
      <t xml:space="preserve"> ANEXAR CROQUIS CON LA UBICACIÓN DE CASOS Y DEFUNCIONES POR FECHA DE INICIO, EN CASO NECESARIO AGREGAR MÁS DE UN CROQUIS, SELECCIONE SÓLO EL AGREGADO O CATEGORIA QUE MEJOR REPRESENTE LA DISTRIBUCIÓN DE LOS CASOS EN DONDE ESTA OCURRIENDO EL BROTE</t>
    </r>
  </si>
  <si>
    <t>TOTAL</t>
  </si>
  <si>
    <t>VI. ANALISIS EPIDEMIOLÓGICO</t>
  </si>
  <si>
    <t>VII. ACCIONES DE CONTROL</t>
  </si>
  <si>
    <t>NOMBRE Y CARGO DE QUIEN ELABORÓ</t>
  </si>
  <si>
    <t>VO.BO. DIRECTOR</t>
  </si>
  <si>
    <t>VO.BO. EPIDEMIÓLOGO</t>
  </si>
  <si>
    <t>1. ANTECEDENTES EPIDEMIOLÓGICOS DEL BROTE:</t>
  </si>
  <si>
    <t>2. PROBABLES FUENTES DEL BROTE:</t>
  </si>
  <si>
    <t>3. PROBABLES MECANISMOS DE TRANSMISIÓN:</t>
  </si>
  <si>
    <t>EL FORMATO DEBE SER LLENADO POR EL EPIDEMIÓLOGO O PERSONAL DESIGNADO.</t>
  </si>
  <si>
    <t>EL LLENADO DE ESTE INFORME NO SUSTITUYE SU NOTIFICACIÓN EN LOS SISTEMAS DE VIGILANCIA EPIDEMIOLÓGICA NI LA ELABORACIÓN DEL INFORME FINAL DEL BROTE.</t>
  </si>
  <si>
    <t>SECRETARIA DE SALUD DEL ESTADO DE HIDALGO</t>
  </si>
  <si>
    <t>SUBSECRETARIA DE SALUD PUBLICA</t>
  </si>
  <si>
    <t>SUBDIRECCION DE EPIDEMIOLOGIA</t>
  </si>
  <si>
    <t>JURISDICCION:</t>
  </si>
  <si>
    <t xml:space="preserve">MUNICIPIO: </t>
  </si>
  <si>
    <t>TIPO DE BROTE:</t>
  </si>
  <si>
    <t>FECHA INICIO:</t>
  </si>
  <si>
    <t>FECHA REPORTE:</t>
  </si>
  <si>
    <t>NOTA: USAR VALORES NUMERICOS PARA RESPUESTA DE VARIABLES      1 = SI       0 = NO</t>
  </si>
  <si>
    <t xml:space="preserve"> </t>
  </si>
  <si>
    <t>NOMBRE</t>
  </si>
  <si>
    <t>DOMICILIO</t>
  </si>
  <si>
    <t>BARRIO Y/O COLONIA</t>
  </si>
  <si>
    <t>FECHA INICIO SINTOMAS</t>
  </si>
  <si>
    <t>TRATAMIENTO INICIAL</t>
  </si>
  <si>
    <t>FECHA INICIO TRATAMIENTO</t>
  </si>
  <si>
    <t>FECHA TOMA MUESTRA</t>
  </si>
  <si>
    <t>TIPO DE MUESTRA</t>
  </si>
  <si>
    <t>FECHA DE RESULTADO</t>
  </si>
  <si>
    <t>RESULTADO</t>
  </si>
  <si>
    <t>FOLIO LAB.</t>
  </si>
  <si>
    <t>SINTOMATOLOGIA</t>
  </si>
  <si>
    <t>FUENTE PROBABLE DE CONTAGIO (CONTACTO)</t>
  </si>
  <si>
    <t>HOSPITAL</t>
  </si>
  <si>
    <t>MASC</t>
  </si>
  <si>
    <t>FEM</t>
  </si>
  <si>
    <t>EDAD</t>
  </si>
  <si>
    <t>SEXO</t>
  </si>
  <si>
    <t>ANALISIS DE BROTE EPIDEMIOLOGICO</t>
  </si>
  <si>
    <t>FECHA TERMINO:</t>
  </si>
  <si>
    <t>Curva epidémica</t>
  </si>
  <si>
    <t>FUENTE PROBABLE DE CONTAGIO</t>
  </si>
  <si>
    <t>GPO EDAD</t>
  </si>
  <si>
    <t xml:space="preserve">FUENTE </t>
  </si>
  <si>
    <t>Total</t>
  </si>
  <si>
    <t>INFORME NARRATIVO</t>
  </si>
  <si>
    <t>FECHA DE INFORME:</t>
  </si>
  <si>
    <t>ELABORO</t>
  </si>
  <si>
    <t>Vo.Bo.</t>
  </si>
  <si>
    <t>NOMBRE Y FIRMA</t>
  </si>
  <si>
    <t>GEORREFERENCIA DE CASOS DEL BROTE</t>
  </si>
  <si>
    <t>Caso primario</t>
  </si>
  <si>
    <t>Caso índice</t>
  </si>
  <si>
    <t xml:space="preserve">Casos </t>
  </si>
  <si>
    <t>FECHA DE INICIO DEL BROTE</t>
  </si>
  <si>
    <t>NOTIFICACIÓN</t>
  </si>
  <si>
    <t>MASCULINO (A/G)</t>
  </si>
  <si>
    <t>FEMENINO (B/H)</t>
  </si>
  <si>
    <t>MASCULINO(G)</t>
  </si>
  <si>
    <t>NO.</t>
  </si>
  <si>
    <t>Institución</t>
  </si>
  <si>
    <t>HIDALGO</t>
  </si>
  <si>
    <t>LISTADO NOMINAL DE CASOS</t>
  </si>
  <si>
    <t>ESCOLAR</t>
  </si>
  <si>
    <t>MUNICIPIO</t>
  </si>
  <si>
    <t>FORANEO</t>
  </si>
  <si>
    <t>Valores</t>
  </si>
  <si>
    <t>Dia</t>
  </si>
  <si>
    <t>Mes</t>
  </si>
  <si>
    <t>Año</t>
  </si>
  <si>
    <t>Jur</t>
  </si>
  <si>
    <t>Mpio</t>
  </si>
  <si>
    <t>INICIAL</t>
  </si>
  <si>
    <t>01 Pachuca</t>
  </si>
  <si>
    <t>1 SSH</t>
  </si>
  <si>
    <t>02 Tulancingo</t>
  </si>
  <si>
    <t>2 IMSS ORD</t>
  </si>
  <si>
    <t>03 Tula</t>
  </si>
  <si>
    <t>3 ISSSTE</t>
  </si>
  <si>
    <t>04 Huichapan</t>
  </si>
  <si>
    <t>4 OTRA</t>
  </si>
  <si>
    <t>05 Zimapan</t>
  </si>
  <si>
    <t>5 IMSS PROS</t>
  </si>
  <si>
    <t>06 Ixmiquilpan</t>
  </si>
  <si>
    <t>6 DIF</t>
  </si>
  <si>
    <t>07 Actopan</t>
  </si>
  <si>
    <t>7 PEMEX</t>
  </si>
  <si>
    <t>08 Metztitlan</t>
  </si>
  <si>
    <t>8 SEDENA</t>
  </si>
  <si>
    <t>09 Molango</t>
  </si>
  <si>
    <t>10 Huejutla</t>
  </si>
  <si>
    <t>11 Apan</t>
  </si>
  <si>
    <t>12 Tizayuca</t>
  </si>
  <si>
    <t>13 Otomi-Tepehua</t>
  </si>
  <si>
    <t>14 Tepeji</t>
  </si>
  <si>
    <t>15 Atotonilco</t>
  </si>
  <si>
    <t>16 Jacala</t>
  </si>
  <si>
    <t>ALTA</t>
  </si>
  <si>
    <t>17 Zacualtipan</t>
  </si>
  <si>
    <t xml:space="preserve">MES </t>
  </si>
  <si>
    <t>FAMILIAR</t>
  </si>
  <si>
    <t>FECHA DE INGRESO</t>
  </si>
  <si>
    <t>COMUNITARIO</t>
  </si>
  <si>
    <t>LOCALIZADO</t>
  </si>
  <si>
    <t>NOSOCOMIAL</t>
  </si>
  <si>
    <t>NO</t>
  </si>
  <si>
    <t>FECHA_INICIO</t>
  </si>
  <si>
    <t>JURISDICCION</t>
  </si>
  <si>
    <t>LOCALIDAD</t>
  </si>
  <si>
    <t>DIAGNOSTICO INICIAL</t>
  </si>
  <si>
    <t>1 A 4</t>
  </si>
  <si>
    <t>5 A 14</t>
  </si>
  <si>
    <t>15 A 24</t>
  </si>
  <si>
    <t>25 A 44</t>
  </si>
  <si>
    <t>45 A 64</t>
  </si>
  <si>
    <t>CASOS_BUSQ</t>
  </si>
  <si>
    <t>TOTAL_CASOS</t>
  </si>
  <si>
    <t>CLASIFICACION</t>
  </si>
  <si>
    <t>INSTITUCION AL QUE PERTENECE</t>
  </si>
  <si>
    <t>FECHA_ULTIMO_CASO</t>
  </si>
  <si>
    <t>CASOS_NUEVOS</t>
  </si>
  <si>
    <t>Día</t>
  </si>
  <si>
    <t>01 ACATLAN</t>
  </si>
  <si>
    <t>02 ACAXOCHITLAN</t>
  </si>
  <si>
    <t>03 ACTOPAN</t>
  </si>
  <si>
    <t>04 AGUA BLANCA DE ITURBIDE</t>
  </si>
  <si>
    <t>05 AJACUBA</t>
  </si>
  <si>
    <t>06 ALFAJAYUCAN</t>
  </si>
  <si>
    <t>07 ALMOLOYA</t>
  </si>
  <si>
    <t>08 APAN</t>
  </si>
  <si>
    <t>09 EL ARENAL</t>
  </si>
  <si>
    <t>10 ATITALAQUIA</t>
  </si>
  <si>
    <t>11 ATLAPEXCO</t>
  </si>
  <si>
    <t>12 ATOTONILCO EL GRANDE</t>
  </si>
  <si>
    <t>13 ATOTONILCO DE TULA</t>
  </si>
  <si>
    <t>14 CALNALI</t>
  </si>
  <si>
    <t>15 CARDONAL</t>
  </si>
  <si>
    <t>16 CUAUTEPEC DE HINOJOSA</t>
  </si>
  <si>
    <t>17 CHAPANTONGO</t>
  </si>
  <si>
    <t>18 CHAPULHUACAN</t>
  </si>
  <si>
    <t>19 CHILCUAUTLA</t>
  </si>
  <si>
    <t>21 EMILIANO ZAPATA</t>
  </si>
  <si>
    <t>22 EPAZOYUCAN</t>
  </si>
  <si>
    <t>23 FRANCISCO I. MADERO</t>
  </si>
  <si>
    <t>24 HUASCA DE OCAMPO</t>
  </si>
  <si>
    <t>25 HUAUTLA</t>
  </si>
  <si>
    <t>26 HUAZALINGO</t>
  </si>
  <si>
    <t>27 HUEHUETLA</t>
  </si>
  <si>
    <t>28 HUEJUTLA DE REYES</t>
  </si>
  <si>
    <t>29 HUICHAPAN</t>
  </si>
  <si>
    <t>31 JACALA DE LEDEZMA</t>
  </si>
  <si>
    <t>32 JALTOCAN</t>
  </si>
  <si>
    <t>33 JUAREZ HIDALGO</t>
  </si>
  <si>
    <t>34 LOLOTLA</t>
  </si>
  <si>
    <t>35 METEPEC</t>
  </si>
  <si>
    <t>36 SAN AGUSTIN METZQUITITLAN</t>
  </si>
  <si>
    <t>37 METZTITLAN</t>
  </si>
  <si>
    <t>38 MINERAL DEL CHICO</t>
  </si>
  <si>
    <t>39 MINERAL DEL MONTE</t>
  </si>
  <si>
    <t>41 MIXQUIAHUALA DE JUAREZ</t>
  </si>
  <si>
    <t>42 MOLANGO DE ESCAMILLA</t>
  </si>
  <si>
    <t>43 NICOLAS FLORES</t>
  </si>
  <si>
    <t>44 NOPALA DE VILLAGRAN</t>
  </si>
  <si>
    <t>45 OMITLAN DE JUAREZ</t>
  </si>
  <si>
    <t>46 SAN FELIPE ORIZATLAN</t>
  </si>
  <si>
    <t>47 PACULA</t>
  </si>
  <si>
    <t>48 PACHUCA DE SOTO</t>
  </si>
  <si>
    <t>49 PISAFLORES</t>
  </si>
  <si>
    <t>51 MINERAL DE LA REFORMA</t>
  </si>
  <si>
    <t>52 SAN AGUSTIN TLAXIACA</t>
  </si>
  <si>
    <t>53 SAN BARTOLO TUTOTEPEC</t>
  </si>
  <si>
    <t>54 SAN SALVADOR</t>
  </si>
  <si>
    <t>55 SANTIAGO DE ANAYA</t>
  </si>
  <si>
    <t>56 SANTIAGO TULANTEPEC DE LUGO GUERRERO</t>
  </si>
  <si>
    <t>57 SINGUILUCAN</t>
  </si>
  <si>
    <t>58 TASQUILLO</t>
  </si>
  <si>
    <t>59 TECOZAUTLA</t>
  </si>
  <si>
    <t>61 TEPEAPULCO</t>
  </si>
  <si>
    <t>62 TEPEHUACAN DE GUERRERO</t>
  </si>
  <si>
    <t>63 TEPEJI DEL RIO DE OCAMPO</t>
  </si>
  <si>
    <t>64 TEPETITLAN</t>
  </si>
  <si>
    <t>65 TETEPANGO</t>
  </si>
  <si>
    <t>66 VILLA DE TEZONTEPEC</t>
  </si>
  <si>
    <t>67 TEZONTEPEC DE ALDAMA</t>
  </si>
  <si>
    <t>68 TIANGUISTENGO</t>
  </si>
  <si>
    <t>69 TIZAYUCA</t>
  </si>
  <si>
    <t>71 TLAHUILTEPA</t>
  </si>
  <si>
    <t>72 TLANALAPA</t>
  </si>
  <si>
    <t>73 TLANCHINOL</t>
  </si>
  <si>
    <t>74 TLAXCOAPAN</t>
  </si>
  <si>
    <t>75 TOLCAYUCA</t>
  </si>
  <si>
    <t>76 TULA DE ALLENDE</t>
  </si>
  <si>
    <t>77 TULANCINGO DE BRAVO</t>
  </si>
  <si>
    <t>78 XOCHIATIPAN</t>
  </si>
  <si>
    <t>79 XOCHICOATLAN</t>
  </si>
  <si>
    <t>81 ZACUALTIPAN DE ANGELES</t>
  </si>
  <si>
    <t>82 ZAPOTLAN DE JUAREZ</t>
  </si>
  <si>
    <t>83 ZEMPOALA</t>
  </si>
  <si>
    <t>84 ZIMAPAN</t>
  </si>
  <si>
    <t>20 ELOXOCHITLAN</t>
  </si>
  <si>
    <t>30 IXMIQUILPAN</t>
  </si>
  <si>
    <t>40 LA MISION</t>
  </si>
  <si>
    <t>50 PROGRESO DE OBREGON</t>
  </si>
  <si>
    <t>60 TENANGO DE DORIA</t>
  </si>
  <si>
    <t>70 TLAHUELILPAN</t>
  </si>
  <si>
    <t>80 YAHUALICA</t>
  </si>
  <si>
    <t>&lt;1</t>
  </si>
  <si>
    <t>TASA DE LETALIDAD</t>
  </si>
  <si>
    <t>TOTAL            ( F/C )</t>
  </si>
  <si>
    <t>SIGNOS Y SINTOMAS</t>
  </si>
  <si>
    <t>FRECUENCIA DE SIGNOS Y SINTOMAS</t>
  </si>
  <si>
    <t>TOTAL ( C )</t>
  </si>
  <si>
    <t>TOTAL (F)</t>
  </si>
  <si>
    <t>TOTAL (I)</t>
  </si>
  <si>
    <t>notificacion_MASC</t>
  </si>
  <si>
    <t>JN</t>
  </si>
  <si>
    <t>PRIM</t>
  </si>
  <si>
    <t>SEC</t>
  </si>
  <si>
    <t>PREPA</t>
  </si>
  <si>
    <t>COLONIA</t>
  </si>
  <si>
    <t>HOSP</t>
  </si>
  <si>
    <t>OTRO</t>
  </si>
  <si>
    <t>ORDENA</t>
  </si>
  <si>
    <t>VALORES_UNICOS</t>
  </si>
  <si>
    <t>SEGUIMIENTO</t>
  </si>
  <si>
    <t>SEGUIMIENTO 1</t>
  </si>
  <si>
    <t>SEGUIMIENTO 2</t>
  </si>
  <si>
    <t>SEGUIMIENTO 3</t>
  </si>
  <si>
    <t>SEGUIMIENTO 4</t>
  </si>
  <si>
    <t>SEGUIMIENTO 5</t>
  </si>
  <si>
    <t>SEGUIMIENTO 6</t>
  </si>
  <si>
    <t>SEGUIMIENTO 7</t>
  </si>
  <si>
    <t>SEGUIMIENTO 8</t>
  </si>
  <si>
    <t>SEGUIMIENTO 9</t>
  </si>
  <si>
    <t>SEGUIMIENTO 10</t>
  </si>
  <si>
    <t>SEGUIMIENTO 11</t>
  </si>
  <si>
    <t>SEGUIMIENTO 12</t>
  </si>
  <si>
    <t>SEGUIMIENTO 13</t>
  </si>
  <si>
    <t>SEGUIMIENTO 14</t>
  </si>
  <si>
    <t>SEGUIMIENTO 15</t>
  </si>
  <si>
    <t>SEGUIMIENTO 16</t>
  </si>
  <si>
    <t>SEGUIMIENTO 17</t>
  </si>
  <si>
    <t>SEGUIMIENTO 18</t>
  </si>
  <si>
    <t>SEGUIMIENTO 19</t>
  </si>
  <si>
    <t>SEGUIMIENTO 20</t>
  </si>
  <si>
    <t>SEGUIMIENTO 21</t>
  </si>
  <si>
    <t>SEGUIMIENTO 22</t>
  </si>
  <si>
    <t>SEGUIMIENTO 23</t>
  </si>
  <si>
    <t>SEGUIMIENTO 24</t>
  </si>
  <si>
    <t>SEGUIMIENTO 25</t>
  </si>
  <si>
    <t>SEGUIMIENTO 26</t>
  </si>
  <si>
    <t>SEGUIMIENTO 27</t>
  </si>
  <si>
    <t>SEGUIMIENTO 28</t>
  </si>
  <si>
    <t>SEGUIMIENTO 29</t>
  </si>
  <si>
    <t>SEGUIMIENTO 30</t>
  </si>
  <si>
    <t>INF_INICIAL</t>
  </si>
  <si>
    <t>JUR 15 ATOTONILCO</t>
  </si>
  <si>
    <t>JUR 13 OTOMI-TEPEHUA</t>
  </si>
  <si>
    <t>JUR 07 ACTOPAN</t>
  </si>
  <si>
    <t>JUR 14 TEPEJI</t>
  </si>
  <si>
    <t>JUR 06 IXMIQUILPAN</t>
  </si>
  <si>
    <t>JUR 11 APAN</t>
  </si>
  <si>
    <t>JUR 10 HUEJUTLA</t>
  </si>
  <si>
    <t>JUR 09 MOLANGO</t>
  </si>
  <si>
    <t>JUR 02 TULANCINGO</t>
  </si>
  <si>
    <t>JUR 04 HUICHAPAN</t>
  </si>
  <si>
    <t>JUR 16 JACALA</t>
  </si>
  <si>
    <t>JUR 08 METZTITLAN</t>
  </si>
  <si>
    <t>JUR 01 PACHUCA</t>
  </si>
  <si>
    <t>JUR 05 ZIMAPAN</t>
  </si>
  <si>
    <t>JUR 03 TULA</t>
  </si>
  <si>
    <t>JUR 12 TIZAYUCA</t>
  </si>
  <si>
    <t>JUR 17 ZACUALTIPAN</t>
  </si>
  <si>
    <t>SUPERIOR</t>
  </si>
  <si>
    <t>Días</t>
  </si>
  <si>
    <t>Casos</t>
  </si>
  <si>
    <t>4.- VIGILANCIA EPIDEMIOLOGICA CONTINUA PARA HACER DETECCION Y TRATAMIENTO OPORTUNO SI ASI SE REQUIERE</t>
  </si>
  <si>
    <t>FIEBRE</t>
  </si>
  <si>
    <t>TOS</t>
  </si>
  <si>
    <t>MIALGIAS</t>
  </si>
  <si>
    <t>CEFALEA</t>
  </si>
  <si>
    <t>ODINOFAGIA</t>
  </si>
  <si>
    <t>2.-  SE IMPARTIO ORIENTACION SOBRE EL PADECIMIENTO</t>
  </si>
  <si>
    <t xml:space="preserve">  NINGUNO</t>
  </si>
  <si>
    <t xml:space="preserve">  PERSONA-PERSONA</t>
  </si>
  <si>
    <t>ESCALOFRIOS</t>
  </si>
  <si>
    <t xml:space="preserve">FOLIO SISVER </t>
  </si>
  <si>
    <t>SINTOMATICO</t>
  </si>
  <si>
    <t xml:space="preserve">FAMILIAR </t>
  </si>
  <si>
    <t>F</t>
  </si>
  <si>
    <t xml:space="preserve">TEZOQUIPA </t>
  </si>
  <si>
    <t>ATITALAQUIA</t>
  </si>
  <si>
    <t>1.- ATENCION MEDICA A PACIENTES EN CS.  DE TEZOQUIPA</t>
  </si>
  <si>
    <t xml:space="preserve">ATITALAQUIA </t>
  </si>
  <si>
    <t>TEZOQUIPA</t>
  </si>
  <si>
    <t>DRA. ANA ALICIA CRUZ CRUZ</t>
  </si>
  <si>
    <t>TULA DE ALLENDE</t>
  </si>
  <si>
    <t>M</t>
  </si>
  <si>
    <t>TULA ALLENDE</t>
  </si>
  <si>
    <t>Dra. Ana Alicia Cruz Cruz</t>
  </si>
  <si>
    <t>UNIDAD DE SALUD TEZOQUIPA</t>
  </si>
  <si>
    <t>HGIMB004696</t>
  </si>
  <si>
    <t>RAMIREZ SANCHEZ YOSED MATEO</t>
  </si>
  <si>
    <t>SANCHEZ HERNANDEZ HILDA</t>
  </si>
  <si>
    <t>AV. JUAN DE DIOS PEZA NO. 77</t>
  </si>
  <si>
    <t>REFERENCIA A HOSPITAL GENERAL TULA</t>
  </si>
  <si>
    <t>14</t>
  </si>
  <si>
    <t>1</t>
  </si>
  <si>
    <t>2025</t>
  </si>
  <si>
    <t>IMSS</t>
  </si>
  <si>
    <t>AV. JUAN DE DIOS PEZA NO. 77, TEZOQUIPA, ATITALAQUIA, HIDALGO</t>
  </si>
  <si>
    <t>3.-  TRATAMIENTO MEDIANTE REFERENCIA OPORTUNA A LOS CASOS DE IRAG</t>
  </si>
  <si>
    <t>MTRA. MARISOL PEREZ VARGAS</t>
  </si>
  <si>
    <t>El día 16 de Enero de 2025 acuden al centro de salud de Tezoquipa 2 pacientes, Sanchez Hernandez Hilda de 52 años de edad y Ramírez Sanchez Yosed Mateo de 12 años de edad, refiriendo que son madre e hijo los cuales presentan sintomatología compatible con caso sospechoso de COVID 19 con datos de Infección Respiratoria Aguda Grave, desaturando el paciente Yosed Mateo hasta 82% e Hilda hasta 85% por lo que se les interroga y se brinda atención médica y referencia a segundo nivel de atención sin toma de muestra ya que la unidad de salud no cuenta con el insumo para toma del mismo, además se elabora estudio epidemiológico y se investigan sus contactos.</t>
  </si>
  <si>
    <t>Mtra. Marisol Pérez Vargas</t>
  </si>
  <si>
    <t xml:space="preserve">CONTACTO DIRECTO O GOTAS DE FLUGGE </t>
  </si>
  <si>
    <t>PBE. COVID 19</t>
  </si>
  <si>
    <t xml:space="preserve">3.- ACCIONES PREVENTIVAS COMO LAVADO DE MANOS, ASEO EXAUSTIVO DE CASA HABITACION, DESINFECCION DE FOMITES, ESTORNUDO DE ETIQUETA </t>
  </si>
  <si>
    <t xml:space="preserve">FIEBRE </t>
  </si>
  <si>
    <t>DESATURACION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</si>
</sst>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46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0"/>
      <name val="Arial"/>
      <family val="2"/>
    </font>
    <font>
      <b/>
      <sz val="10"/>
      <color indexed="56"/>
      <name val="Arial"/>
      <family val="2"/>
    </font>
    <font>
      <b/>
      <sz val="9"/>
      <color indexed="56"/>
      <name val="Arial Unicode MS"/>
      <family val="2"/>
    </font>
    <font>
      <b/>
      <sz val="8"/>
      <color indexed="58"/>
      <name val="Tahoma"/>
      <family val="2"/>
    </font>
    <font>
      <b/>
      <sz val="9"/>
      <color indexed="58"/>
      <name val="Tahoma"/>
      <family val="2"/>
    </font>
    <font>
      <b/>
      <sz val="8"/>
      <name val="Arial"/>
      <family val="2"/>
    </font>
    <font>
      <b/>
      <sz val="7"/>
      <color indexed="58"/>
      <name val="Tahoma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b/>
      <sz val="7.5"/>
      <color indexed="56"/>
      <name val="Arial Unicode MS"/>
      <family val="2"/>
    </font>
    <font>
      <b/>
      <sz val="8"/>
      <color theme="1"/>
      <name val="Arial"/>
      <family val="2"/>
    </font>
    <font>
      <b/>
      <sz val="9"/>
      <color indexed="18"/>
      <name val="Arial"/>
      <family val="2"/>
    </font>
    <font>
      <sz val="6"/>
      <name val="Arial"/>
      <family val="2"/>
    </font>
    <font>
      <b/>
      <sz val="10"/>
      <color indexed="62"/>
      <name val="Arial"/>
      <family val="2"/>
    </font>
    <font>
      <sz val="11"/>
      <name val="Tahoma"/>
      <family val="2"/>
    </font>
    <font>
      <sz val="9"/>
      <name val="Tahoma"/>
      <family val="2"/>
    </font>
    <font>
      <b/>
      <sz val="9"/>
      <color indexed="62"/>
      <name val="Arial Unicode MS"/>
      <family val="2"/>
    </font>
    <font>
      <sz val="10"/>
      <color indexed="62"/>
      <name val="Arial"/>
      <family val="2"/>
    </font>
    <font>
      <b/>
      <sz val="9"/>
      <color indexed="62"/>
      <name val="Arial"/>
      <family val="2"/>
    </font>
    <font>
      <sz val="10"/>
      <color indexed="10"/>
      <name val="Arial"/>
      <family val="2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0"/>
      <name val="Arial"/>
      <family val="2"/>
    </font>
    <font>
      <sz val="14"/>
      <color rgb="FF404040"/>
      <name val="Courier New"/>
      <family val="3"/>
    </font>
    <font>
      <b/>
      <sz val="7"/>
      <color indexed="62"/>
      <name val="Arial Unicode MS"/>
      <family val="2"/>
    </font>
    <font>
      <b/>
      <sz val="8"/>
      <color theme="1"/>
      <name val="Tahoma"/>
      <family val="2"/>
    </font>
    <font>
      <sz val="8"/>
      <color theme="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name val="Tahoma"/>
      <family val="2"/>
    </font>
    <font>
      <sz val="10"/>
      <color rgb="FFFF0000"/>
      <name val="Arial"/>
      <family val="2"/>
    </font>
    <font>
      <sz val="7"/>
      <name val="Arial"/>
      <family val="2"/>
    </font>
    <font>
      <sz val="1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95373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8" fillId="0" borderId="0"/>
    <xf numFmtId="9" fontId="40" fillId="0" borderId="0" applyFont="0" applyFill="0" applyBorder="0" applyAlignment="0" applyProtection="0"/>
  </cellStyleXfs>
  <cellXfs count="244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 vertical="center"/>
    </xf>
    <xf numFmtId="0" fontId="1" fillId="0" borderId="7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1" fillId="0" borderId="9" xfId="0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12" xfId="0" applyFont="1" applyBorder="1" applyAlignment="1">
      <alignment horizontal="left"/>
    </xf>
    <xf numFmtId="0" fontId="3" fillId="0" borderId="9" xfId="0" applyFont="1" applyBorder="1" applyAlignment="1">
      <alignment horizontal="left"/>
    </xf>
    <xf numFmtId="0" fontId="2" fillId="0" borderId="0" xfId="0" applyFont="1" applyAlignment="1">
      <alignment horizontal="center"/>
    </xf>
    <xf numFmtId="0" fontId="3" fillId="0" borderId="10" xfId="0" applyFont="1" applyBorder="1" applyAlignment="1">
      <alignment horizontal="left"/>
    </xf>
    <xf numFmtId="0" fontId="6" fillId="0" borderId="0" xfId="0" applyFont="1" applyAlignment="1">
      <alignment horizontal="left" vertical="center"/>
    </xf>
    <xf numFmtId="0" fontId="1" fillId="0" borderId="9" xfId="0" applyFont="1" applyBorder="1"/>
    <xf numFmtId="0" fontId="1" fillId="0" borderId="10" xfId="0" applyFont="1" applyBorder="1"/>
    <xf numFmtId="0" fontId="7" fillId="0" borderId="0" xfId="0" applyFont="1" applyAlignment="1">
      <alignment horizontal="left"/>
    </xf>
    <xf numFmtId="0" fontId="8" fillId="0" borderId="0" xfId="1"/>
    <xf numFmtId="0" fontId="10" fillId="0" borderId="0" xfId="1" applyFont="1"/>
    <xf numFmtId="0" fontId="11" fillId="0" borderId="0" xfId="1" applyFont="1" applyAlignment="1">
      <alignment horizontal="left"/>
    </xf>
    <xf numFmtId="0" fontId="12" fillId="2" borderId="0" xfId="1" applyFont="1" applyFill="1"/>
    <xf numFmtId="0" fontId="14" fillId="0" borderId="0" xfId="1" applyFont="1" applyAlignment="1">
      <alignment horizontal="center"/>
    </xf>
    <xf numFmtId="0" fontId="8" fillId="0" borderId="0" xfId="1" applyAlignment="1">
      <alignment horizontal="center"/>
    </xf>
    <xf numFmtId="0" fontId="16" fillId="0" borderId="0" xfId="1" applyFont="1" applyAlignment="1">
      <alignment horizontal="center"/>
    </xf>
    <xf numFmtId="0" fontId="17" fillId="0" borderId="0" xfId="1" applyFont="1"/>
    <xf numFmtId="0" fontId="9" fillId="0" borderId="0" xfId="1" applyFont="1"/>
    <xf numFmtId="0" fontId="11" fillId="0" borderId="0" xfId="1" applyFont="1"/>
    <xf numFmtId="0" fontId="8" fillId="2" borderId="0" xfId="1" applyFill="1"/>
    <xf numFmtId="0" fontId="12" fillId="0" borderId="0" xfId="1" applyFont="1"/>
    <xf numFmtId="0" fontId="19" fillId="7" borderId="1" xfId="1" applyFont="1" applyFill="1" applyBorder="1" applyAlignment="1">
      <alignment horizontal="center"/>
    </xf>
    <xf numFmtId="0" fontId="19" fillId="0" borderId="0" xfId="1" applyFont="1" applyAlignment="1">
      <alignment horizontal="center"/>
    </xf>
    <xf numFmtId="14" fontId="23" fillId="5" borderId="1" xfId="1" applyNumberFormat="1" applyFont="1" applyFill="1" applyBorder="1" applyAlignment="1">
      <alignment horizontal="center"/>
    </xf>
    <xf numFmtId="0" fontId="23" fillId="5" borderId="1" xfId="1" applyFont="1" applyFill="1" applyBorder="1" applyAlignment="1">
      <alignment horizontal="center"/>
    </xf>
    <xf numFmtId="0" fontId="15" fillId="7" borderId="1" xfId="1" applyFont="1" applyFill="1" applyBorder="1" applyAlignment="1">
      <alignment horizontal="center"/>
    </xf>
    <xf numFmtId="0" fontId="19" fillId="5" borderId="1" xfId="1" applyFont="1" applyFill="1" applyBorder="1" applyAlignment="1">
      <alignment horizontal="center"/>
    </xf>
    <xf numFmtId="0" fontId="8" fillId="5" borderId="1" xfId="1" applyFill="1" applyBorder="1" applyAlignment="1">
      <alignment horizontal="center"/>
    </xf>
    <xf numFmtId="16" fontId="19" fillId="5" borderId="1" xfId="1" applyNumberFormat="1" applyFont="1" applyFill="1" applyBorder="1" applyAlignment="1">
      <alignment horizontal="center"/>
    </xf>
    <xf numFmtId="17" fontId="19" fillId="5" borderId="1" xfId="1" applyNumberFormat="1" applyFont="1" applyFill="1" applyBorder="1" applyAlignment="1">
      <alignment horizontal="center"/>
    </xf>
    <xf numFmtId="0" fontId="10" fillId="8" borderId="1" xfId="1" applyFont="1" applyFill="1" applyBorder="1" applyAlignment="1">
      <alignment horizontal="center"/>
    </xf>
    <xf numFmtId="164" fontId="8" fillId="0" borderId="0" xfId="1" applyNumberFormat="1" applyAlignment="1">
      <alignment horizontal="center"/>
    </xf>
    <xf numFmtId="0" fontId="15" fillId="8" borderId="1" xfId="1" applyFont="1" applyFill="1" applyBorder="1" applyAlignment="1">
      <alignment horizontal="center"/>
    </xf>
    <xf numFmtId="0" fontId="10" fillId="4" borderId="1" xfId="1" applyFont="1" applyFill="1" applyBorder="1" applyAlignment="1">
      <alignment horizontal="center"/>
    </xf>
    <xf numFmtId="0" fontId="25" fillId="0" borderId="0" xfId="1" applyFont="1"/>
    <xf numFmtId="0" fontId="28" fillId="2" borderId="16" xfId="1" applyFont="1" applyFill="1" applyBorder="1"/>
    <xf numFmtId="0" fontId="29" fillId="2" borderId="16" xfId="1" applyFont="1" applyFill="1" applyBorder="1"/>
    <xf numFmtId="0" fontId="30" fillId="0" borderId="0" xfId="1" applyFont="1"/>
    <xf numFmtId="0" fontId="14" fillId="0" borderId="0" xfId="1" applyFont="1"/>
    <xf numFmtId="0" fontId="16" fillId="0" borderId="0" xfId="1" applyFont="1"/>
    <xf numFmtId="0" fontId="20" fillId="0" borderId="0" xfId="1" applyFont="1"/>
    <xf numFmtId="0" fontId="8" fillId="0" borderId="0" xfId="1" applyAlignment="1">
      <alignment vertical="center"/>
    </xf>
    <xf numFmtId="0" fontId="19" fillId="0" borderId="0" xfId="1" applyFont="1" applyAlignment="1">
      <alignment horizontal="center" vertical="center" wrapText="1"/>
    </xf>
    <xf numFmtId="0" fontId="9" fillId="0" borderId="0" xfId="0" applyFont="1"/>
    <xf numFmtId="0" fontId="0" fillId="0" borderId="0" xfId="0" applyAlignment="1">
      <alignment horizontal="right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/>
    <xf numFmtId="15" fontId="14" fillId="0" borderId="0" xfId="1" applyNumberFormat="1" applyFont="1" applyAlignment="1">
      <alignment horizontal="center"/>
    </xf>
    <xf numFmtId="0" fontId="22" fillId="4" borderId="0" xfId="1" applyFont="1" applyFill="1" applyAlignment="1">
      <alignment horizontal="center" vertical="center"/>
    </xf>
    <xf numFmtId="49" fontId="13" fillId="3" borderId="6" xfId="1" applyNumberFormat="1" applyFont="1" applyFill="1" applyBorder="1" applyAlignment="1">
      <alignment horizontal="center" vertical="center"/>
    </xf>
    <xf numFmtId="0" fontId="8" fillId="0" borderId="0" xfId="0" applyFont="1"/>
    <xf numFmtId="2" fontId="0" fillId="0" borderId="0" xfId="0" applyNumberFormat="1"/>
    <xf numFmtId="0" fontId="15" fillId="3" borderId="0" xfId="1" applyFont="1" applyFill="1" applyAlignment="1">
      <alignment horizontal="center"/>
    </xf>
    <xf numFmtId="0" fontId="13" fillId="3" borderId="0" xfId="1" applyFont="1" applyFill="1" applyAlignment="1">
      <alignment horizontal="center"/>
    </xf>
    <xf numFmtId="2" fontId="8" fillId="0" borderId="0" xfId="1" applyNumberFormat="1"/>
    <xf numFmtId="1" fontId="8" fillId="0" borderId="0" xfId="1" applyNumberFormat="1"/>
    <xf numFmtId="0" fontId="18" fillId="0" borderId="1" xfId="1" applyFont="1" applyBorder="1" applyAlignment="1">
      <alignment horizontal="center" vertical="center"/>
    </xf>
    <xf numFmtId="1" fontId="8" fillId="0" borderId="1" xfId="1" applyNumberFormat="1" applyBorder="1" applyAlignment="1">
      <alignment horizontal="center" vertical="center"/>
    </xf>
    <xf numFmtId="0" fontId="8" fillId="0" borderId="1" xfId="1" applyBorder="1" applyAlignment="1">
      <alignment horizontal="center" vertical="center"/>
    </xf>
    <xf numFmtId="0" fontId="31" fillId="0" borderId="1" xfId="1" applyFont="1" applyBorder="1" applyAlignment="1">
      <alignment horizontal="center" vertical="center"/>
    </xf>
    <xf numFmtId="14" fontId="8" fillId="0" borderId="1" xfId="1" applyNumberFormat="1" applyBorder="1" applyAlignment="1">
      <alignment horizontal="center" vertical="center"/>
    </xf>
    <xf numFmtId="0" fontId="19" fillId="0" borderId="1" xfId="1" applyFont="1" applyBorder="1" applyAlignment="1">
      <alignment horizontal="center" vertical="center" wrapText="1"/>
    </xf>
    <xf numFmtId="0" fontId="31" fillId="0" borderId="1" xfId="1" applyFont="1" applyBorder="1" applyAlignment="1">
      <alignment vertical="center"/>
    </xf>
    <xf numFmtId="0" fontId="8" fillId="0" borderId="1" xfId="1" applyBorder="1" applyAlignment="1">
      <alignment vertical="center"/>
    </xf>
    <xf numFmtId="49" fontId="13" fillId="3" borderId="1" xfId="1" applyNumberFormat="1" applyFont="1" applyFill="1" applyBorder="1" applyAlignment="1">
      <alignment horizontal="center" vertical="center"/>
    </xf>
    <xf numFmtId="0" fontId="8" fillId="0" borderId="0" xfId="1" applyAlignment="1">
      <alignment horizontal="center" vertical="center"/>
    </xf>
    <xf numFmtId="0" fontId="15" fillId="5" borderId="1" xfId="1" applyFont="1" applyFill="1" applyBorder="1" applyAlignment="1">
      <alignment horizontal="center" vertical="center" wrapText="1"/>
    </xf>
    <xf numFmtId="0" fontId="35" fillId="6" borderId="1" xfId="1" applyFont="1" applyFill="1" applyBorder="1" applyAlignment="1">
      <alignment horizontal="center" vertical="center"/>
    </xf>
    <xf numFmtId="165" fontId="8" fillId="5" borderId="1" xfId="1" applyNumberFormat="1" applyFill="1" applyBorder="1" applyAlignment="1">
      <alignment horizontal="center"/>
    </xf>
    <xf numFmtId="165" fontId="10" fillId="8" borderId="1" xfId="1" applyNumberFormat="1" applyFont="1" applyFill="1" applyBorder="1" applyAlignment="1">
      <alignment horizontal="center"/>
    </xf>
    <xf numFmtId="1" fontId="10" fillId="8" borderId="1" xfId="1" applyNumberFormat="1" applyFont="1" applyFill="1" applyBorder="1" applyAlignment="1">
      <alignment horizontal="center"/>
    </xf>
    <xf numFmtId="1" fontId="13" fillId="3" borderId="4" xfId="1" applyNumberFormat="1" applyFont="1" applyFill="1" applyBorder="1" applyAlignment="1">
      <alignment horizontal="center"/>
    </xf>
    <xf numFmtId="14" fontId="8" fillId="0" borderId="0" xfId="1" applyNumberFormat="1" applyAlignment="1">
      <alignment horizontal="center"/>
    </xf>
    <xf numFmtId="14" fontId="8" fillId="0" borderId="0" xfId="1" applyNumberFormat="1" applyAlignment="1">
      <alignment horizontal="center" vertical="center"/>
    </xf>
    <xf numFmtId="1" fontId="8" fillId="0" borderId="0" xfId="1" applyNumberFormat="1" applyAlignment="1">
      <alignment horizontal="center"/>
    </xf>
    <xf numFmtId="14" fontId="8" fillId="0" borderId="0" xfId="1" applyNumberFormat="1"/>
    <xf numFmtId="14" fontId="0" fillId="0" borderId="0" xfId="0" applyNumberFormat="1"/>
    <xf numFmtId="0" fontId="36" fillId="0" borderId="0" xfId="0" applyFont="1"/>
    <xf numFmtId="1" fontId="8" fillId="0" borderId="1" xfId="1" applyNumberFormat="1" applyBorder="1" applyAlignment="1">
      <alignment horizontal="center" vertical="center" wrapText="1"/>
    </xf>
    <xf numFmtId="14" fontId="8" fillId="0" borderId="1" xfId="1" applyNumberForma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8" fillId="0" borderId="0" xfId="1" applyAlignment="1">
      <alignment horizontal="left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2" fillId="2" borderId="0" xfId="1" applyFont="1" applyFill="1" applyAlignment="1">
      <alignment horizontal="center"/>
    </xf>
    <xf numFmtId="0" fontId="17" fillId="0" borderId="0" xfId="1" applyFont="1" applyAlignment="1">
      <alignment horizontal="center"/>
    </xf>
    <xf numFmtId="0" fontId="8" fillId="0" borderId="15" xfId="1" applyBorder="1"/>
    <xf numFmtId="0" fontId="37" fillId="2" borderId="16" xfId="1" applyFont="1" applyFill="1" applyBorder="1"/>
    <xf numFmtId="0" fontId="1" fillId="0" borderId="0" xfId="0" applyFont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0" fontId="38" fillId="0" borderId="4" xfId="0" applyFont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0" fontId="33" fillId="0" borderId="0" xfId="0" applyFont="1" applyAlignment="1">
      <alignment horizontal="left" vertical="center" wrapText="1"/>
    </xf>
    <xf numFmtId="0" fontId="33" fillId="10" borderId="0" xfId="0" applyFont="1" applyFill="1" applyAlignment="1">
      <alignment horizontal="left" vertical="center"/>
    </xf>
    <xf numFmtId="0" fontId="34" fillId="10" borderId="0" xfId="0" applyFont="1" applyFill="1" applyAlignment="1">
      <alignment horizontal="left" vertical="center" wrapText="1"/>
    </xf>
    <xf numFmtId="0" fontId="34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38" fillId="12" borderId="4" xfId="0" applyFont="1" applyFill="1" applyBorder="1" applyAlignment="1">
      <alignment horizontal="center" vertical="center"/>
    </xf>
    <xf numFmtId="0" fontId="38" fillId="12" borderId="1" xfId="0" applyFont="1" applyFill="1" applyBorder="1" applyAlignment="1">
      <alignment horizontal="center" vertical="center"/>
    </xf>
    <xf numFmtId="0" fontId="0" fillId="10" borderId="0" xfId="0" applyFill="1" applyAlignment="1">
      <alignment horizontal="left"/>
    </xf>
    <xf numFmtId="14" fontId="0" fillId="0" borderId="0" xfId="0" applyNumberFormat="1" applyAlignment="1">
      <alignment horizontal="left"/>
    </xf>
    <xf numFmtId="0" fontId="39" fillId="0" borderId="4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14" fontId="19" fillId="0" borderId="1" xfId="1" applyNumberFormat="1" applyFont="1" applyBorder="1" applyAlignment="1">
      <alignment horizontal="center" vertical="center" wrapText="1"/>
    </xf>
    <xf numFmtId="0" fontId="8" fillId="0" borderId="1" xfId="1" applyBorder="1" applyAlignment="1">
      <alignment horizontal="center" vertical="center" wrapText="1"/>
    </xf>
    <xf numFmtId="0" fontId="43" fillId="0" borderId="1" xfId="1" applyFont="1" applyBorder="1" applyAlignment="1">
      <alignment horizontal="center" vertical="center"/>
    </xf>
    <xf numFmtId="0" fontId="44" fillId="0" borderId="1" xfId="1" applyFont="1" applyBorder="1" applyAlignment="1">
      <alignment horizontal="center" vertical="center" wrapText="1"/>
    </xf>
    <xf numFmtId="0" fontId="15" fillId="5" borderId="7" xfId="1" applyFont="1" applyFill="1" applyBorder="1" applyAlignment="1">
      <alignment horizontal="center" vertical="center" wrapText="1"/>
    </xf>
    <xf numFmtId="0" fontId="45" fillId="0" borderId="1" xfId="1" applyFont="1" applyBorder="1" applyAlignment="1">
      <alignment horizontal="center" vertical="center" wrapText="1"/>
    </xf>
    <xf numFmtId="0" fontId="1" fillId="0" borderId="3" xfId="0" applyFont="1" applyBorder="1" applyAlignment="1">
      <alignment horizontal="justify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165" fontId="1" fillId="11" borderId="1" xfId="0" applyNumberFormat="1" applyFont="1" applyFill="1" applyBorder="1" applyAlignment="1">
      <alignment horizontal="center" vertical="center"/>
    </xf>
    <xf numFmtId="165" fontId="1" fillId="11" borderId="4" xfId="0" applyNumberFormat="1" applyFont="1" applyFill="1" applyBorder="1" applyAlignment="1">
      <alignment horizontal="center" vertical="center"/>
    </xf>
    <xf numFmtId="165" fontId="1" fillId="11" borderId="5" xfId="0" applyNumberFormat="1" applyFont="1" applyFill="1" applyBorder="1" applyAlignment="1">
      <alignment horizontal="center" vertical="center"/>
    </xf>
    <xf numFmtId="165" fontId="1" fillId="11" borderId="6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top"/>
    </xf>
    <xf numFmtId="9" fontId="1" fillId="11" borderId="1" xfId="2" applyFont="1" applyFill="1" applyBorder="1" applyAlignment="1" applyProtection="1">
      <alignment horizontal="center" vertical="center"/>
    </xf>
    <xf numFmtId="0" fontId="1" fillId="0" borderId="0" xfId="0" applyFont="1" applyAlignment="1">
      <alignment horizontal="justify" wrapText="1"/>
    </xf>
    <xf numFmtId="0" fontId="1" fillId="11" borderId="1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justify" wrapText="1"/>
    </xf>
    <xf numFmtId="0" fontId="1" fillId="0" borderId="0" xfId="0" applyFont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1" xfId="0" quotePrefix="1" applyFont="1" applyFill="1" applyBorder="1" applyAlignment="1">
      <alignment horizontal="center" vertical="center"/>
    </xf>
    <xf numFmtId="0" fontId="1" fillId="11" borderId="4" xfId="0" applyFont="1" applyFill="1" applyBorder="1" applyAlignment="1">
      <alignment horizontal="center" vertical="center"/>
    </xf>
    <xf numFmtId="0" fontId="1" fillId="11" borderId="5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49" fontId="1" fillId="11" borderId="4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32" fillId="10" borderId="0" xfId="0" applyFont="1" applyFill="1" applyAlignment="1">
      <alignment horizontal="center" vertical="center"/>
    </xf>
    <xf numFmtId="0" fontId="18" fillId="0" borderId="4" xfId="1" applyFont="1" applyBorder="1" applyAlignment="1">
      <alignment horizontal="center" vertical="center"/>
    </xf>
    <xf numFmtId="0" fontId="18" fillId="0" borderId="5" xfId="1" applyFont="1" applyBorder="1" applyAlignment="1">
      <alignment horizontal="center" vertical="center"/>
    </xf>
    <xf numFmtId="0" fontId="13" fillId="11" borderId="4" xfId="1" applyFont="1" applyFill="1" applyBorder="1" applyAlignment="1">
      <alignment horizontal="center"/>
    </xf>
    <xf numFmtId="0" fontId="13" fillId="11" borderId="5" xfId="1" applyFont="1" applyFill="1" applyBorder="1" applyAlignment="1">
      <alignment horizontal="center"/>
    </xf>
    <xf numFmtId="0" fontId="13" fillId="11" borderId="6" xfId="1" applyFont="1" applyFill="1" applyBorder="1" applyAlignment="1">
      <alignment horizontal="center"/>
    </xf>
    <xf numFmtId="0" fontId="15" fillId="3" borderId="4" xfId="1" applyFont="1" applyFill="1" applyBorder="1" applyAlignment="1">
      <alignment horizontal="center"/>
    </xf>
    <xf numFmtId="0" fontId="15" fillId="3" borderId="5" xfId="1" applyFont="1" applyFill="1" applyBorder="1" applyAlignment="1">
      <alignment horizontal="center"/>
    </xf>
    <xf numFmtId="0" fontId="15" fillId="3" borderId="6" xfId="1" applyFont="1" applyFill="1" applyBorder="1" applyAlignment="1">
      <alignment horizontal="center"/>
    </xf>
    <xf numFmtId="0" fontId="13" fillId="12" borderId="4" xfId="1" applyFont="1" applyFill="1" applyBorder="1" applyAlignment="1">
      <alignment horizontal="center"/>
    </xf>
    <xf numFmtId="0" fontId="13" fillId="12" borderId="5" xfId="1" applyFont="1" applyFill="1" applyBorder="1" applyAlignment="1">
      <alignment horizontal="center"/>
    </xf>
    <xf numFmtId="0" fontId="13" fillId="12" borderId="6" xfId="1" applyFont="1" applyFill="1" applyBorder="1" applyAlignment="1">
      <alignment horizontal="center"/>
    </xf>
    <xf numFmtId="0" fontId="15" fillId="5" borderId="1" xfId="1" applyFont="1" applyFill="1" applyBorder="1" applyAlignment="1">
      <alignment horizontal="center" vertical="center"/>
    </xf>
    <xf numFmtId="0" fontId="15" fillId="5" borderId="7" xfId="1" applyFont="1" applyFill="1" applyBorder="1" applyAlignment="1">
      <alignment horizontal="center" vertical="center" wrapText="1"/>
    </xf>
    <xf numFmtId="0" fontId="15" fillId="5" borderId="11" xfId="1" applyFont="1" applyFill="1" applyBorder="1" applyAlignment="1">
      <alignment horizontal="center" vertical="center" wrapText="1"/>
    </xf>
    <xf numFmtId="0" fontId="15" fillId="5" borderId="1" xfId="1" applyFont="1" applyFill="1" applyBorder="1" applyAlignment="1">
      <alignment horizontal="center" vertical="center" wrapText="1"/>
    </xf>
    <xf numFmtId="0" fontId="18" fillId="0" borderId="1" xfId="1" applyFont="1" applyBorder="1" applyAlignment="1">
      <alignment horizontal="center" vertical="center"/>
    </xf>
    <xf numFmtId="0" fontId="18" fillId="0" borderId="4" xfId="1" applyFont="1" applyBorder="1" applyAlignment="1">
      <alignment horizontal="center" vertical="center" wrapText="1"/>
    </xf>
    <xf numFmtId="0" fontId="18" fillId="0" borderId="6" xfId="1" applyFont="1" applyBorder="1" applyAlignment="1">
      <alignment horizontal="center" vertical="center" wrapText="1"/>
    </xf>
    <xf numFmtId="0" fontId="15" fillId="5" borderId="2" xfId="1" applyFont="1" applyFill="1" applyBorder="1" applyAlignment="1">
      <alignment horizontal="center" vertical="center" wrapText="1"/>
    </xf>
    <xf numFmtId="0" fontId="15" fillId="5" borderId="3" xfId="1" applyFont="1" applyFill="1" applyBorder="1" applyAlignment="1">
      <alignment horizontal="center" vertical="center" wrapText="1"/>
    </xf>
    <xf numFmtId="0" fontId="21" fillId="2" borderId="0" xfId="1" applyFont="1" applyFill="1" applyAlignment="1">
      <alignment horizontal="left"/>
    </xf>
    <xf numFmtId="0" fontId="21" fillId="2" borderId="10" xfId="1" applyFont="1" applyFill="1" applyBorder="1" applyAlignment="1">
      <alignment horizontal="left"/>
    </xf>
    <xf numFmtId="0" fontId="19" fillId="0" borderId="4" xfId="1" applyFont="1" applyBorder="1" applyAlignment="1">
      <alignment horizontal="center" vertical="center" wrapText="1"/>
    </xf>
    <xf numFmtId="0" fontId="19" fillId="0" borderId="6" xfId="1" applyFont="1" applyBorder="1" applyAlignment="1">
      <alignment horizontal="center" vertical="center" wrapText="1"/>
    </xf>
    <xf numFmtId="0" fontId="18" fillId="0" borderId="1" xfId="1" applyFont="1" applyBorder="1" applyAlignment="1">
      <alignment horizontal="left" vertical="center"/>
    </xf>
    <xf numFmtId="0" fontId="8" fillId="0" borderId="1" xfId="1" applyBorder="1" applyAlignment="1">
      <alignment horizontal="left" vertical="center"/>
    </xf>
    <xf numFmtId="0" fontId="15" fillId="5" borderId="8" xfId="1" applyFont="1" applyFill="1" applyBorder="1" applyAlignment="1">
      <alignment horizontal="center" vertical="center" wrapText="1"/>
    </xf>
    <xf numFmtId="0" fontId="18" fillId="0" borderId="4" xfId="1" applyFont="1" applyBorder="1" applyAlignment="1">
      <alignment horizontal="left" vertical="center" wrapText="1"/>
    </xf>
    <xf numFmtId="0" fontId="18" fillId="0" borderId="5" xfId="1" applyFont="1" applyBorder="1" applyAlignment="1">
      <alignment horizontal="left" vertical="center" wrapText="1"/>
    </xf>
    <xf numFmtId="0" fontId="18" fillId="0" borderId="6" xfId="1" applyFont="1" applyBorder="1" applyAlignment="1">
      <alignment horizontal="left" vertical="center" wrapText="1"/>
    </xf>
    <xf numFmtId="0" fontId="14" fillId="3" borderId="4" xfId="1" applyFont="1" applyFill="1" applyBorder="1" applyAlignment="1">
      <alignment horizontal="center" vertical="center"/>
    </xf>
    <xf numFmtId="0" fontId="14" fillId="3" borderId="5" xfId="1" applyFont="1" applyFill="1" applyBorder="1" applyAlignment="1">
      <alignment horizontal="center" vertical="center"/>
    </xf>
    <xf numFmtId="0" fontId="14" fillId="3" borderId="6" xfId="1" applyFont="1" applyFill="1" applyBorder="1" applyAlignment="1">
      <alignment horizontal="center" vertical="center"/>
    </xf>
    <xf numFmtId="0" fontId="14" fillId="3" borderId="4" xfId="1" applyFont="1" applyFill="1" applyBorder="1" applyAlignment="1">
      <alignment horizontal="center"/>
    </xf>
    <xf numFmtId="0" fontId="14" fillId="3" borderId="5" xfId="1" applyFont="1" applyFill="1" applyBorder="1" applyAlignment="1">
      <alignment horizontal="center"/>
    </xf>
    <xf numFmtId="0" fontId="14" fillId="3" borderId="6" xfId="1" applyFont="1" applyFill="1" applyBorder="1" applyAlignment="1">
      <alignment horizontal="center"/>
    </xf>
    <xf numFmtId="0" fontId="10" fillId="0" borderId="3" xfId="1" applyFont="1" applyBorder="1" applyAlignment="1">
      <alignment horizontal="center"/>
    </xf>
    <xf numFmtId="0" fontId="20" fillId="7" borderId="4" xfId="1" applyFont="1" applyFill="1" applyBorder="1" applyAlignment="1">
      <alignment horizontal="center"/>
    </xf>
    <xf numFmtId="0" fontId="20" fillId="7" borderId="5" xfId="1" applyFont="1" applyFill="1" applyBorder="1" applyAlignment="1">
      <alignment horizontal="center"/>
    </xf>
    <xf numFmtId="0" fontId="20" fillId="7" borderId="6" xfId="1" applyFont="1" applyFill="1" applyBorder="1" applyAlignment="1">
      <alignment horizontal="center"/>
    </xf>
    <xf numFmtId="0" fontId="15" fillId="7" borderId="1" xfId="1" applyFont="1" applyFill="1" applyBorder="1" applyAlignment="1">
      <alignment horizontal="center"/>
    </xf>
    <xf numFmtId="0" fontId="19" fillId="7" borderId="1" xfId="1" applyFont="1" applyFill="1" applyBorder="1" applyAlignment="1">
      <alignment horizontal="center"/>
    </xf>
    <xf numFmtId="0" fontId="15" fillId="7" borderId="16" xfId="1" applyFont="1" applyFill="1" applyBorder="1" applyAlignment="1">
      <alignment horizontal="center"/>
    </xf>
    <xf numFmtId="0" fontId="19" fillId="7" borderId="16" xfId="1" applyFont="1" applyFill="1" applyBorder="1" applyAlignment="1">
      <alignment horizontal="center"/>
    </xf>
    <xf numFmtId="0" fontId="8" fillId="5" borderId="4" xfId="1" applyFill="1" applyBorder="1" applyAlignment="1">
      <alignment horizontal="center" vertical="center" wrapText="1" shrinkToFit="1"/>
    </xf>
    <xf numFmtId="0" fontId="8" fillId="5" borderId="6" xfId="1" applyFill="1" applyBorder="1" applyAlignment="1">
      <alignment horizontal="center" vertical="center" wrapText="1" shrinkToFit="1"/>
    </xf>
    <xf numFmtId="0" fontId="19" fillId="5" borderId="1" xfId="1" applyFont="1" applyFill="1" applyBorder="1" applyAlignment="1">
      <alignment horizontal="center"/>
    </xf>
    <xf numFmtId="0" fontId="10" fillId="8" borderId="4" xfId="1" applyFont="1" applyFill="1" applyBorder="1" applyAlignment="1">
      <alignment horizontal="center"/>
    </xf>
    <xf numFmtId="0" fontId="10" fillId="8" borderId="6" xfId="1" applyFont="1" applyFill="1" applyBorder="1" applyAlignment="1">
      <alignment horizontal="center"/>
    </xf>
    <xf numFmtId="0" fontId="19" fillId="0" borderId="0" xfId="1" applyFont="1" applyAlignment="1">
      <alignment horizontal="center"/>
    </xf>
    <xf numFmtId="0" fontId="24" fillId="5" borderId="4" xfId="1" applyFont="1" applyFill="1" applyBorder="1" applyAlignment="1">
      <alignment horizontal="center" vertical="center" wrapText="1" shrinkToFit="1"/>
    </xf>
    <xf numFmtId="0" fontId="24" fillId="5" borderId="6" xfId="1" applyFont="1" applyFill="1" applyBorder="1" applyAlignment="1">
      <alignment horizontal="center" vertical="center" wrapText="1" shrinkToFit="1"/>
    </xf>
    <xf numFmtId="0" fontId="15" fillId="8" borderId="1" xfId="1" applyFont="1" applyFill="1" applyBorder="1" applyAlignment="1">
      <alignment horizontal="center"/>
    </xf>
    <xf numFmtId="0" fontId="14" fillId="3" borderId="1" xfId="1" applyFont="1" applyFill="1" applyBorder="1" applyAlignment="1">
      <alignment horizontal="center"/>
    </xf>
    <xf numFmtId="0" fontId="42" fillId="5" borderId="19" xfId="1" applyFont="1" applyFill="1" applyBorder="1" applyAlignment="1">
      <alignment horizontal="justify" vertical="justify"/>
    </xf>
    <xf numFmtId="0" fontId="26" fillId="5" borderId="0" xfId="1" applyFont="1" applyFill="1" applyAlignment="1">
      <alignment horizontal="justify" vertical="justify"/>
    </xf>
    <xf numFmtId="0" fontId="26" fillId="5" borderId="19" xfId="1" applyFont="1" applyFill="1" applyBorder="1" applyAlignment="1">
      <alignment horizontal="justify" vertical="justify"/>
    </xf>
    <xf numFmtId="0" fontId="9" fillId="0" borderId="0" xfId="1" applyFont="1" applyAlignment="1">
      <alignment horizontal="center"/>
    </xf>
    <xf numFmtId="0" fontId="11" fillId="0" borderId="0" xfId="1" applyFont="1" applyAlignment="1">
      <alignment horizontal="center"/>
    </xf>
    <xf numFmtId="0" fontId="30" fillId="0" borderId="0" xfId="1" applyFont="1" applyAlignment="1">
      <alignment horizontal="center"/>
    </xf>
    <xf numFmtId="0" fontId="20" fillId="0" borderId="4" xfId="1" applyFont="1" applyBorder="1" applyAlignment="1">
      <alignment horizontal="center"/>
    </xf>
    <xf numFmtId="0" fontId="20" fillId="0" borderId="5" xfId="1" applyFont="1" applyBorder="1" applyAlignment="1">
      <alignment horizontal="center"/>
    </xf>
    <xf numFmtId="0" fontId="20" fillId="0" borderId="6" xfId="1" applyFont="1" applyBorder="1" applyAlignment="1">
      <alignment horizontal="center"/>
    </xf>
    <xf numFmtId="0" fontId="26" fillId="5" borderId="17" xfId="1" applyFont="1" applyFill="1" applyBorder="1" applyAlignment="1">
      <alignment horizontal="justify" vertical="top" wrapText="1"/>
    </xf>
    <xf numFmtId="0" fontId="27" fillId="5" borderId="15" xfId="1" applyFont="1" applyFill="1" applyBorder="1" applyAlignment="1">
      <alignment horizontal="justify" vertical="top" wrapText="1"/>
    </xf>
    <xf numFmtId="0" fontId="27" fillId="5" borderId="18" xfId="1" applyFont="1" applyFill="1" applyBorder="1" applyAlignment="1">
      <alignment horizontal="justify" vertical="top" wrapText="1"/>
    </xf>
    <xf numFmtId="0" fontId="27" fillId="5" borderId="19" xfId="1" applyFont="1" applyFill="1" applyBorder="1" applyAlignment="1">
      <alignment horizontal="justify" vertical="top" wrapText="1"/>
    </xf>
    <xf numFmtId="0" fontId="27" fillId="5" borderId="0" xfId="1" applyFont="1" applyFill="1" applyAlignment="1">
      <alignment horizontal="justify" vertical="top" wrapText="1"/>
    </xf>
    <xf numFmtId="0" fontId="27" fillId="5" borderId="20" xfId="1" applyFont="1" applyFill="1" applyBorder="1" applyAlignment="1">
      <alignment horizontal="justify" vertical="top" wrapText="1"/>
    </xf>
    <xf numFmtId="0" fontId="27" fillId="5" borderId="21" xfId="1" applyFont="1" applyFill="1" applyBorder="1" applyAlignment="1">
      <alignment horizontal="justify" vertical="top" wrapText="1"/>
    </xf>
    <xf numFmtId="0" fontId="27" fillId="5" borderId="14" xfId="1" applyFont="1" applyFill="1" applyBorder="1" applyAlignment="1">
      <alignment horizontal="justify" vertical="top" wrapText="1"/>
    </xf>
    <xf numFmtId="0" fontId="27" fillId="5" borderId="22" xfId="1" applyFont="1" applyFill="1" applyBorder="1" applyAlignment="1">
      <alignment horizontal="justify" vertical="top" wrapText="1"/>
    </xf>
    <xf numFmtId="14" fontId="14" fillId="9" borderId="1" xfId="1" applyNumberFormat="1" applyFont="1" applyFill="1" applyBorder="1" applyAlignment="1">
      <alignment horizontal="center"/>
    </xf>
    <xf numFmtId="0" fontId="14" fillId="9" borderId="1" xfId="1" applyFont="1" applyFill="1" applyBorder="1" applyAlignment="1">
      <alignment horizontal="center"/>
    </xf>
  </cellXfs>
  <cellStyles count="3">
    <cellStyle name="Normal" xfId="0" builtinId="0"/>
    <cellStyle name="Normal 2" xfId="1" xr:uid="{00000000-0005-0000-0000-000001000000}"/>
    <cellStyle name="Porcentaje" xfId="2" builtinId="5"/>
  </cellStyles>
  <dxfs count="49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8" Type="http://schemas.microsoft.com/office/2017/10/relationships/person" Target="persons/person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17" Type="http://schemas.microsoft.com/office/2017/10/relationships/person" Target="persons/person3.xml"/><Relationship Id="rId2" Type="http://schemas.openxmlformats.org/officeDocument/2006/relationships/worksheet" Target="worksheets/sheet2.xml"/><Relationship Id="rId16" Type="http://schemas.microsoft.com/office/2017/10/relationships/person" Target="persons/pers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17/10/relationships/person" Target="persons/person0.xml"/><Relationship Id="rId10" Type="http://schemas.openxmlformats.org/officeDocument/2006/relationships/sharedStrings" Target="sharedStrings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s-MX" sz="1200"/>
            </a:pPr>
            <a:r>
              <a:rPr lang="es-MX" sz="1200" b="1" i="0" baseline="0">
                <a:effectLst/>
              </a:rPr>
              <a:t>Curva epidémica del brote</a:t>
            </a:r>
            <a:endParaRPr lang="es-MX" sz="1200">
              <a:effectLst/>
            </a:endParaRPr>
          </a:p>
        </c:rich>
      </c:tx>
      <c:layout>
        <c:manualLayout>
          <c:xMode val="edge"/>
          <c:yMode val="edge"/>
          <c:x val="0.34180943479773285"/>
          <c:y val="1.892473246463348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6371223859132484E-2"/>
          <c:y val="0.15127976640621571"/>
          <c:w val="0.90374557687922863"/>
          <c:h val="0.500042841421917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ANALISIS_EPIDEM!$B$13</c:f>
              <c:strCache>
                <c:ptCount val="1"/>
                <c:pt idx="0">
                  <c:v>Casos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cat>
            <c:numRef>
              <c:f>[0]!DIAS_ANALISIS</c:f>
              <c:numCache>
                <c:formatCode>m/d/yyyy</c:formatCode>
                <c:ptCount val="1"/>
                <c:pt idx="0">
                  <c:v>45671</c:v>
                </c:pt>
              </c:numCache>
              <c:extLst xmlns:c15="http://schemas.microsoft.com/office/drawing/2012/chart"/>
            </c:numRef>
          </c:cat>
          <c:val>
            <c:numRef>
              <c:f>[0]!CASOS_ANALISIS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5-4C65-8590-740C197D6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2518656"/>
        <c:axId val="346355416"/>
      </c:barChart>
      <c:dateAx>
        <c:axId val="142518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s-MX"/>
                </a:pPr>
                <a:r>
                  <a:rPr lang="es-MX"/>
                  <a:t>Días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lang="es-MX" sz="800"/>
            </a:pPr>
            <a:endParaRPr lang="es-MX"/>
          </a:p>
        </c:txPr>
        <c:crossAx val="346355416"/>
        <c:crosses val="autoZero"/>
        <c:auto val="1"/>
        <c:lblOffset val="100"/>
        <c:baseTimeUnit val="days"/>
      </c:dateAx>
      <c:valAx>
        <c:axId val="3463554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s-MX" sz="1000"/>
                </a:pPr>
                <a:r>
                  <a:rPr lang="es-MX" sz="1000"/>
                  <a:t>Casos</a:t>
                </a:r>
              </a:p>
            </c:rich>
          </c:tx>
          <c:layout>
            <c:manualLayout>
              <c:xMode val="edge"/>
              <c:yMode val="edge"/>
              <c:x val="1.1930344456731429E-2"/>
              <c:y val="0.2194162539609693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MX" sz="800"/>
            </a:pPr>
            <a:endParaRPr lang="es-MX"/>
          </a:p>
        </c:txPr>
        <c:crossAx val="142518656"/>
        <c:crosses val="autoZero"/>
        <c:crossBetween val="between"/>
      </c:valAx>
      <c:spPr>
        <a:solidFill>
          <a:schemeClr val="accent1">
            <a:lumMod val="75000"/>
          </a:schemeClr>
        </a:solidFill>
      </c:spPr>
    </c:plotArea>
    <c:legend>
      <c:legendPos val="b"/>
      <c:layout>
        <c:manualLayout>
          <c:xMode val="edge"/>
          <c:yMode val="edge"/>
          <c:x val="0.43842883590698672"/>
          <c:y val="0.90870865523384436"/>
          <c:w val="7.3012873839794212E-2"/>
          <c:h val="7.9839273886328027E-2"/>
        </c:manualLayout>
      </c:layout>
      <c:overlay val="0"/>
      <c:txPr>
        <a:bodyPr/>
        <a:lstStyle/>
        <a:p>
          <a:pPr>
            <a:defRPr lang="es-MX" sz="900"/>
          </a:pPr>
          <a:endParaRPr lang="es-MX"/>
        </a:p>
      </c:txPr>
    </c:legend>
    <c:plotVisOnly val="1"/>
    <c:dispBlanksAs val="gap"/>
    <c:showDLblsOverMax val="0"/>
  </c:chart>
  <c:spPr>
    <a:solidFill>
      <a:srgbClr val="FFC000"/>
    </a:solidFill>
  </c:sp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s-MX"/>
            </a:pPr>
            <a:r>
              <a:rPr lang="es-MX" sz="1800" b="1" i="0" baseline="0">
                <a:effectLst/>
              </a:rPr>
              <a:t>Curva epidémica del brote</a:t>
            </a:r>
            <a:endParaRPr lang="es-MX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007040562340894E-2"/>
          <c:y val="0.13494127627985894"/>
          <c:w val="0.90799295943765912"/>
          <c:h val="0.658502081179246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ANALISIS_EPIDEM!$B$13</c:f>
              <c:strCache>
                <c:ptCount val="1"/>
                <c:pt idx="0">
                  <c:v>Casos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cat>
            <c:numRef>
              <c:f>[0]!DIAS_ANALISIS</c:f>
              <c:numCache>
                <c:formatCode>m/d/yyyy</c:formatCode>
                <c:ptCount val="1"/>
                <c:pt idx="0">
                  <c:v>45671</c:v>
                </c:pt>
              </c:numCache>
              <c:extLst xmlns:c15="http://schemas.microsoft.com/office/drawing/2012/chart"/>
            </c:numRef>
          </c:cat>
          <c:val>
            <c:numRef>
              <c:f>[0]!CASOS_ANALISIS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DC-4A0B-9EFA-AF7E1D4F0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872528"/>
        <c:axId val="346825640"/>
      </c:barChart>
      <c:dateAx>
        <c:axId val="346872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s-MX"/>
                </a:pPr>
                <a:r>
                  <a:rPr lang="es-MX"/>
                  <a:t>Días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lang="es-MX"/>
            </a:pPr>
            <a:endParaRPr lang="es-MX"/>
          </a:p>
        </c:txPr>
        <c:crossAx val="346825640"/>
        <c:crosses val="autoZero"/>
        <c:auto val="1"/>
        <c:lblOffset val="100"/>
        <c:baseTimeUnit val="days"/>
      </c:dateAx>
      <c:valAx>
        <c:axId val="34682564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 lang="es-MX" sz="1100"/>
                </a:pPr>
                <a:r>
                  <a:rPr lang="es-MX" sz="1100"/>
                  <a:t>Casos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MX"/>
            </a:pPr>
            <a:endParaRPr lang="es-MX"/>
          </a:p>
        </c:txPr>
        <c:crossAx val="346872528"/>
        <c:crosses val="autoZero"/>
        <c:crossBetween val="between"/>
      </c:valAx>
      <c:spPr>
        <a:solidFill>
          <a:schemeClr val="accent1">
            <a:lumMod val="75000"/>
          </a:schemeClr>
        </a:solidFill>
      </c:spPr>
    </c:plotArea>
    <c:legend>
      <c:legendPos val="b"/>
      <c:overlay val="0"/>
      <c:txPr>
        <a:bodyPr/>
        <a:lstStyle/>
        <a:p>
          <a:pPr>
            <a:defRPr lang="es-MX" sz="1100"/>
          </a:pPr>
          <a:endParaRPr lang="es-MX"/>
        </a:p>
      </c:txPr>
    </c:legend>
    <c:plotVisOnly val="1"/>
    <c:dispBlanksAs val="gap"/>
    <c:showDLblsOverMax val="0"/>
  </c:chart>
  <c:spPr>
    <a:solidFill>
      <a:srgbClr val="FFC000"/>
    </a:solidFill>
  </c:spPr>
  <c:printSettings>
    <c:headerFooter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106017</xdr:colOff>
      <xdr:row>1</xdr:row>
      <xdr:rowOff>46382</xdr:rowOff>
    </xdr:from>
    <xdr:to>
      <xdr:col>5</xdr:col>
      <xdr:colOff>0</xdr:colOff>
      <xdr:row>3</xdr:row>
      <xdr:rowOff>39757</xdr:rowOff>
    </xdr:to>
    <xdr:grpSp>
      <xdr:nvGrpSpPr>
        <xdr:cNvPr id="2" name="Group 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63167" y="189257"/>
          <a:ext cx="465483" cy="431525"/>
          <a:chOff x="192" y="192"/>
          <a:chExt cx="989" cy="692"/>
        </a:xfrm>
      </xdr:grpSpPr>
      <xdr:sp macro="" textlink="">
        <xdr:nvSpPr>
          <xdr:cNvPr id="3" name="Freeform 96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/>
          </xdr:cNvSpPr>
        </xdr:nvSpPr>
        <xdr:spPr bwMode="auto">
          <a:xfrm>
            <a:off x="598" y="495"/>
            <a:ext cx="427" cy="387"/>
          </a:xfrm>
          <a:custGeom>
            <a:avLst/>
            <a:gdLst>
              <a:gd name="T0" fmla="*/ 0 w 1296"/>
              <a:gd name="T1" fmla="*/ 0 h 1248"/>
              <a:gd name="T2" fmla="*/ 0 w 1296"/>
              <a:gd name="T3" fmla="*/ 0 h 1248"/>
              <a:gd name="T4" fmla="*/ 0 w 1296"/>
              <a:gd name="T5" fmla="*/ 0 h 1248"/>
              <a:gd name="T6" fmla="*/ 0 w 1296"/>
              <a:gd name="T7" fmla="*/ 0 h 1248"/>
              <a:gd name="T8" fmla="*/ 0 w 1296"/>
              <a:gd name="T9" fmla="*/ 0 h 1248"/>
              <a:gd name="T10" fmla="*/ 0 w 1296"/>
              <a:gd name="T11" fmla="*/ 0 h 1248"/>
              <a:gd name="T12" fmla="*/ 0 w 1296"/>
              <a:gd name="T13" fmla="*/ 0 h 1248"/>
              <a:gd name="T14" fmla="*/ 0 w 1296"/>
              <a:gd name="T15" fmla="*/ 0 h 1248"/>
              <a:gd name="T16" fmla="*/ 0 w 1296"/>
              <a:gd name="T17" fmla="*/ 0 h 1248"/>
              <a:gd name="T18" fmla="*/ 0 w 1296"/>
              <a:gd name="T19" fmla="*/ 0 h 1248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w 1296"/>
              <a:gd name="T31" fmla="*/ 0 h 1248"/>
              <a:gd name="T32" fmla="*/ 1296 w 1296"/>
              <a:gd name="T33" fmla="*/ 1248 h 1248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T30" t="T31" r="T32" b="T33"/>
            <a:pathLst>
              <a:path w="1296" h="1248">
                <a:moveTo>
                  <a:pt x="0" y="1248"/>
                </a:moveTo>
                <a:lnTo>
                  <a:pt x="468" y="1248"/>
                </a:lnTo>
                <a:lnTo>
                  <a:pt x="1078" y="347"/>
                </a:lnTo>
                <a:lnTo>
                  <a:pt x="1276" y="9"/>
                </a:lnTo>
                <a:lnTo>
                  <a:pt x="1294" y="0"/>
                </a:lnTo>
                <a:lnTo>
                  <a:pt x="1285" y="0"/>
                </a:lnTo>
                <a:lnTo>
                  <a:pt x="1294" y="9"/>
                </a:lnTo>
                <a:lnTo>
                  <a:pt x="1296" y="11"/>
                </a:lnTo>
                <a:lnTo>
                  <a:pt x="828" y="11"/>
                </a:lnTo>
                <a:lnTo>
                  <a:pt x="0" y="1248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12700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4" name="Freeform 97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/>
          </xdr:cNvSpPr>
        </xdr:nvSpPr>
        <xdr:spPr bwMode="auto">
          <a:xfrm>
            <a:off x="199" y="350"/>
            <a:ext cx="816" cy="530"/>
          </a:xfrm>
          <a:custGeom>
            <a:avLst/>
            <a:gdLst>
              <a:gd name="T0" fmla="*/ 0 w 386"/>
              <a:gd name="T1" fmla="*/ 2147483647 h 299"/>
              <a:gd name="T2" fmla="*/ 2147483647 w 386"/>
              <a:gd name="T3" fmla="*/ 2147483647 h 299"/>
              <a:gd name="T4" fmla="*/ 2147483647 w 386"/>
              <a:gd name="T5" fmla="*/ 1053375932 h 299"/>
              <a:gd name="T6" fmla="*/ 2147483647 w 386"/>
              <a:gd name="T7" fmla="*/ 1053375932 h 299"/>
              <a:gd name="T8" fmla="*/ 2147483647 w 386"/>
              <a:gd name="T9" fmla="*/ 0 h 299"/>
              <a:gd name="T10" fmla="*/ 2147483647 w 386"/>
              <a:gd name="T11" fmla="*/ 0 h 299"/>
              <a:gd name="T12" fmla="*/ 2147483647 w 386"/>
              <a:gd name="T13" fmla="*/ 2147483647 h 299"/>
              <a:gd name="T14" fmla="*/ 0 w 386"/>
              <a:gd name="T15" fmla="*/ 2147483647 h 299"/>
              <a:gd name="T16" fmla="*/ 0 w 386"/>
              <a:gd name="T17" fmla="*/ 2147483647 h 29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86"/>
              <a:gd name="T28" fmla="*/ 0 h 299"/>
              <a:gd name="T29" fmla="*/ 386 w 386"/>
              <a:gd name="T30" fmla="*/ 299 h 29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86" h="299">
                <a:moveTo>
                  <a:pt x="0" y="298"/>
                </a:moveTo>
                <a:lnTo>
                  <a:pt x="167" y="298"/>
                </a:lnTo>
                <a:lnTo>
                  <a:pt x="307" y="65"/>
                </a:lnTo>
                <a:lnTo>
                  <a:pt x="385" y="65"/>
                </a:lnTo>
                <a:lnTo>
                  <a:pt x="346" y="0"/>
                </a:lnTo>
                <a:lnTo>
                  <a:pt x="273" y="0"/>
                </a:lnTo>
                <a:lnTo>
                  <a:pt x="133" y="234"/>
                </a:lnTo>
                <a:lnTo>
                  <a:pt x="0" y="234"/>
                </a:lnTo>
                <a:lnTo>
                  <a:pt x="0" y="298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12700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5" name="Freeform 98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/>
          </xdr:cNvSpPr>
        </xdr:nvSpPr>
        <xdr:spPr bwMode="auto">
          <a:xfrm>
            <a:off x="192" y="192"/>
            <a:ext cx="712" cy="530"/>
          </a:xfrm>
          <a:custGeom>
            <a:avLst/>
            <a:gdLst>
              <a:gd name="T0" fmla="*/ 0 w 337"/>
              <a:gd name="T1" fmla="*/ 2147483647 h 299"/>
              <a:gd name="T2" fmla="*/ 2147483647 w 337"/>
              <a:gd name="T3" fmla="*/ 2147483647 h 299"/>
              <a:gd name="T4" fmla="*/ 2147483647 w 337"/>
              <a:gd name="T5" fmla="*/ 1053375932 h 299"/>
              <a:gd name="T6" fmla="*/ 2147483647 w 337"/>
              <a:gd name="T7" fmla="*/ 1053375932 h 299"/>
              <a:gd name="T8" fmla="*/ 2147483647 w 337"/>
              <a:gd name="T9" fmla="*/ 0 h 299"/>
              <a:gd name="T10" fmla="*/ 2147483647 w 337"/>
              <a:gd name="T11" fmla="*/ 0 h 299"/>
              <a:gd name="T12" fmla="*/ 2147483647 w 337"/>
              <a:gd name="T13" fmla="*/ 2147483647 h 299"/>
              <a:gd name="T14" fmla="*/ 0 w 337"/>
              <a:gd name="T15" fmla="*/ 2147483647 h 299"/>
              <a:gd name="T16" fmla="*/ 0 w 337"/>
              <a:gd name="T17" fmla="*/ 2147483647 h 29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37"/>
              <a:gd name="T28" fmla="*/ 0 h 299"/>
              <a:gd name="T29" fmla="*/ 337 w 337"/>
              <a:gd name="T30" fmla="*/ 299 h 29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37" h="299">
                <a:moveTo>
                  <a:pt x="0" y="298"/>
                </a:moveTo>
                <a:lnTo>
                  <a:pt x="122" y="298"/>
                </a:lnTo>
                <a:lnTo>
                  <a:pt x="263" y="65"/>
                </a:lnTo>
                <a:lnTo>
                  <a:pt x="336" y="65"/>
                </a:lnTo>
                <a:lnTo>
                  <a:pt x="296" y="0"/>
                </a:lnTo>
                <a:lnTo>
                  <a:pt x="224" y="0"/>
                </a:lnTo>
                <a:lnTo>
                  <a:pt x="83" y="239"/>
                </a:lnTo>
                <a:lnTo>
                  <a:pt x="0" y="239"/>
                </a:lnTo>
                <a:lnTo>
                  <a:pt x="0" y="298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12700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6" name="Freeform 99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/>
          </xdr:cNvSpPr>
        </xdr:nvSpPr>
        <xdr:spPr bwMode="auto">
          <a:xfrm>
            <a:off x="809" y="715"/>
            <a:ext cx="239" cy="80"/>
          </a:xfrm>
          <a:custGeom>
            <a:avLst/>
            <a:gdLst>
              <a:gd name="T0" fmla="*/ 0 w 725"/>
              <a:gd name="T1" fmla="*/ 0 h 257"/>
              <a:gd name="T2" fmla="*/ 0 w 725"/>
              <a:gd name="T3" fmla="*/ 0 h 257"/>
              <a:gd name="T4" fmla="*/ 0 w 725"/>
              <a:gd name="T5" fmla="*/ 0 h 257"/>
              <a:gd name="T6" fmla="*/ 0 w 725"/>
              <a:gd name="T7" fmla="*/ 0 h 257"/>
              <a:gd name="T8" fmla="*/ 0 w 725"/>
              <a:gd name="T9" fmla="*/ 0 h 257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725"/>
              <a:gd name="T16" fmla="*/ 0 h 257"/>
              <a:gd name="T17" fmla="*/ 725 w 725"/>
              <a:gd name="T18" fmla="*/ 257 h 257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725" h="257">
                <a:moveTo>
                  <a:pt x="716" y="0"/>
                </a:moveTo>
                <a:lnTo>
                  <a:pt x="521" y="257"/>
                </a:lnTo>
                <a:lnTo>
                  <a:pt x="0" y="257"/>
                </a:lnTo>
                <a:lnTo>
                  <a:pt x="154" y="5"/>
                </a:lnTo>
                <a:lnTo>
                  <a:pt x="725" y="9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100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>
            <a:spLocks/>
          </xdr:cNvSpPr>
        </xdr:nvSpPr>
        <xdr:spPr bwMode="auto">
          <a:xfrm>
            <a:off x="905" y="613"/>
            <a:ext cx="276" cy="271"/>
          </a:xfrm>
          <a:custGeom>
            <a:avLst/>
            <a:gdLst>
              <a:gd name="T0" fmla="*/ 0 w 836"/>
              <a:gd name="T1" fmla="*/ 0 h 872"/>
              <a:gd name="T2" fmla="*/ 0 w 836"/>
              <a:gd name="T3" fmla="*/ 0 h 872"/>
              <a:gd name="T4" fmla="*/ 0 w 836"/>
              <a:gd name="T5" fmla="*/ 0 h 872"/>
              <a:gd name="T6" fmla="*/ 0 w 836"/>
              <a:gd name="T7" fmla="*/ 0 h 872"/>
              <a:gd name="T8" fmla="*/ 0 w 836"/>
              <a:gd name="T9" fmla="*/ 0 h 872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836"/>
              <a:gd name="T16" fmla="*/ 0 h 872"/>
              <a:gd name="T17" fmla="*/ 836 w 836"/>
              <a:gd name="T18" fmla="*/ 872 h 872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836" h="872">
                <a:moveTo>
                  <a:pt x="0" y="854"/>
                </a:moveTo>
                <a:lnTo>
                  <a:pt x="491" y="854"/>
                </a:lnTo>
                <a:lnTo>
                  <a:pt x="836" y="345"/>
                </a:lnTo>
                <a:lnTo>
                  <a:pt x="600" y="0"/>
                </a:lnTo>
                <a:lnTo>
                  <a:pt x="11" y="872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3</xdr:col>
      <xdr:colOff>17318</xdr:colOff>
      <xdr:row>59</xdr:row>
      <xdr:rowOff>60614</xdr:rowOff>
    </xdr:from>
    <xdr:to>
      <xdr:col>44</xdr:col>
      <xdr:colOff>51954</xdr:colOff>
      <xdr:row>77</xdr:row>
      <xdr:rowOff>95250</xdr:rowOff>
    </xdr:to>
    <xdr:graphicFrame macro="">
      <xdr:nvGraphicFramePr>
        <xdr:cNvPr id="11" name="10 Gráfic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133350</xdr:colOff>
          <xdr:row>2</xdr:row>
          <xdr:rowOff>200025</xdr:rowOff>
        </xdr:from>
        <xdr:to>
          <xdr:col>61</xdr:col>
          <xdr:colOff>47625</xdr:colOff>
          <xdr:row>7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SEGUIMIENTO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8</xdr:row>
          <xdr:rowOff>123825</xdr:rowOff>
        </xdr:from>
        <xdr:to>
          <xdr:col>61</xdr:col>
          <xdr:colOff>66675</xdr:colOff>
          <xdr:row>14</xdr:row>
          <xdr:rowOff>19050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1</xdr:row>
          <xdr:rowOff>0</xdr:rowOff>
        </xdr:from>
        <xdr:to>
          <xdr:col>8</xdr:col>
          <xdr:colOff>609600</xdr:colOff>
          <xdr:row>2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NUEVO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0</xdr:row>
          <xdr:rowOff>161925</xdr:rowOff>
        </xdr:from>
        <xdr:to>
          <xdr:col>12</xdr:col>
          <xdr:colOff>85725</xdr:colOff>
          <xdr:row>3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251460</xdr:colOff>
      <xdr:row>4</xdr:row>
      <xdr:rowOff>0</xdr:rowOff>
    </xdr:from>
    <xdr:to>
      <xdr:col>9</xdr:col>
      <xdr:colOff>335280</xdr:colOff>
      <xdr:row>5</xdr:row>
      <xdr:rowOff>38100</xdr:rowOff>
    </xdr:to>
    <xdr:sp macro="" textlink="">
      <xdr:nvSpPr>
        <xdr:cNvPr id="2" name="Text Box 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6949440" y="67056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76199</xdr:colOff>
      <xdr:row>32</xdr:row>
      <xdr:rowOff>0</xdr:rowOff>
    </xdr:from>
    <xdr:to>
      <xdr:col>15</xdr:col>
      <xdr:colOff>57149</xdr:colOff>
      <xdr:row>55</xdr:row>
      <xdr:rowOff>47625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619125</xdr:colOff>
          <xdr:row>0</xdr:row>
          <xdr:rowOff>66675</xdr:rowOff>
        </xdr:from>
        <xdr:to>
          <xdr:col>6</xdr:col>
          <xdr:colOff>619125</xdr:colOff>
          <xdr:row>3</xdr:row>
          <xdr:rowOff>104775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1</xdr:row>
          <xdr:rowOff>57150</xdr:rowOff>
        </xdr:from>
        <xdr:to>
          <xdr:col>12</xdr:col>
          <xdr:colOff>152400</xdr:colOff>
          <xdr:row>4</xdr:row>
          <xdr:rowOff>85725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123826</xdr:colOff>
      <xdr:row>14</xdr:row>
      <xdr:rowOff>9526</xdr:rowOff>
    </xdr:from>
    <xdr:to>
      <xdr:col>10</xdr:col>
      <xdr:colOff>291466</xdr:colOff>
      <xdr:row>15</xdr:row>
      <xdr:rowOff>9525</xdr:rowOff>
    </xdr:to>
    <xdr:sp macro="" textlink="">
      <xdr:nvSpPr>
        <xdr:cNvPr id="2" name="2 Elips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rrowheads="1"/>
        </xdr:cNvSpPr>
      </xdr:nvSpPr>
      <xdr:spPr bwMode="auto">
        <a:xfrm>
          <a:off x="8196264" y="2343151"/>
          <a:ext cx="167640" cy="166687"/>
        </a:xfrm>
        <a:prstGeom prst="ellipse">
          <a:avLst/>
        </a:prstGeom>
        <a:solidFill>
          <a:srgbClr val="FF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106680</xdr:colOff>
      <xdr:row>16</xdr:row>
      <xdr:rowOff>7620</xdr:rowOff>
    </xdr:from>
    <xdr:to>
      <xdr:col>10</xdr:col>
      <xdr:colOff>274320</xdr:colOff>
      <xdr:row>17</xdr:row>
      <xdr:rowOff>7620</xdr:rowOff>
    </xdr:to>
    <xdr:sp macro="" textlink="">
      <xdr:nvSpPr>
        <xdr:cNvPr id="3" name="4 Elips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/>
        </xdr:cNvSpPr>
      </xdr:nvSpPr>
      <xdr:spPr bwMode="auto">
        <a:xfrm>
          <a:off x="6736080" y="2689860"/>
          <a:ext cx="167640" cy="160020"/>
        </a:xfrm>
        <a:prstGeom prst="ellipse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116434</xdr:colOff>
      <xdr:row>17</xdr:row>
      <xdr:rowOff>134257</xdr:rowOff>
    </xdr:from>
    <xdr:to>
      <xdr:col>10</xdr:col>
      <xdr:colOff>284074</xdr:colOff>
      <xdr:row>18</xdr:row>
      <xdr:rowOff>134257</xdr:rowOff>
    </xdr:to>
    <xdr:sp macro="" textlink="">
      <xdr:nvSpPr>
        <xdr:cNvPr id="4" name="6 Elips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rrowheads="1"/>
        </xdr:cNvSpPr>
      </xdr:nvSpPr>
      <xdr:spPr bwMode="auto">
        <a:xfrm>
          <a:off x="8534720" y="2910114"/>
          <a:ext cx="167640" cy="163286"/>
        </a:xfrm>
        <a:prstGeom prst="ellipse">
          <a:avLst/>
        </a:prstGeom>
        <a:solidFill>
          <a:srgbClr val="00206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102052</xdr:colOff>
      <xdr:row>12</xdr:row>
      <xdr:rowOff>119061</xdr:rowOff>
    </xdr:from>
    <xdr:to>
      <xdr:col>9</xdr:col>
      <xdr:colOff>646338</xdr:colOff>
      <xdr:row>52</xdr:row>
      <xdr:rowOff>17009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E881F367-BFC1-EDA2-1111-BB8F06CF953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8957" t="16976" r="35805" b="18842"/>
        <a:stretch/>
      </xdr:blipFill>
      <xdr:spPr>
        <a:xfrm>
          <a:off x="306159" y="2160132"/>
          <a:ext cx="7585983" cy="6701520"/>
        </a:xfrm>
        <a:prstGeom prst="rect">
          <a:avLst/>
        </a:prstGeom>
      </xdr:spPr>
    </xdr:pic>
    <xdr:clientData/>
  </xdr:twoCellAnchor>
  <xdr:twoCellAnchor>
    <xdr:from>
      <xdr:col>6</xdr:col>
      <xdr:colOff>984478</xdr:colOff>
      <xdr:row>39</xdr:row>
      <xdr:rowOff>131991</xdr:rowOff>
    </xdr:from>
    <xdr:to>
      <xdr:col>7</xdr:col>
      <xdr:colOff>12520</xdr:colOff>
      <xdr:row>40</xdr:row>
      <xdr:rowOff>131990</xdr:rowOff>
    </xdr:to>
    <xdr:sp macro="" textlink="">
      <xdr:nvSpPr>
        <xdr:cNvPr id="7" name="2 Elipse">
          <a:extLst>
            <a:ext uri="{FF2B5EF4-FFF2-40B4-BE49-F238E27FC236}">
              <a16:creationId xmlns:a16="http://schemas.microsoft.com/office/drawing/2014/main" id="{E3F3912E-4BF0-48C8-867B-18AD5216292D}"/>
            </a:ext>
          </a:extLst>
        </xdr:cNvPr>
        <xdr:cNvSpPr>
          <a:spLocks noChangeArrowheads="1"/>
        </xdr:cNvSpPr>
      </xdr:nvSpPr>
      <xdr:spPr bwMode="auto">
        <a:xfrm>
          <a:off x="5525862" y="6765473"/>
          <a:ext cx="167640" cy="170088"/>
        </a:xfrm>
        <a:prstGeom prst="ellipse">
          <a:avLst/>
        </a:prstGeom>
        <a:solidFill>
          <a:srgbClr val="FF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544</xdr:colOff>
      <xdr:row>39</xdr:row>
      <xdr:rowOff>155530</xdr:rowOff>
    </xdr:from>
    <xdr:to>
      <xdr:col>7</xdr:col>
      <xdr:colOff>168184</xdr:colOff>
      <xdr:row>40</xdr:row>
      <xdr:rowOff>155530</xdr:rowOff>
    </xdr:to>
    <xdr:sp macro="" textlink="">
      <xdr:nvSpPr>
        <xdr:cNvPr id="8" name="4 Elipse">
          <a:extLst>
            <a:ext uri="{FF2B5EF4-FFF2-40B4-BE49-F238E27FC236}">
              <a16:creationId xmlns:a16="http://schemas.microsoft.com/office/drawing/2014/main" id="{D73EF679-ABF3-4E1D-A56E-C28F0B01F9DB}"/>
            </a:ext>
          </a:extLst>
        </xdr:cNvPr>
        <xdr:cNvSpPr>
          <a:spLocks noChangeArrowheads="1"/>
        </xdr:cNvSpPr>
      </xdr:nvSpPr>
      <xdr:spPr bwMode="auto">
        <a:xfrm>
          <a:off x="5681526" y="6789012"/>
          <a:ext cx="167640" cy="170089"/>
        </a:xfrm>
        <a:prstGeom prst="ellipse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4"/>
  <dimension ref="A1:CG116"/>
  <sheetViews>
    <sheetView showGridLines="0" view="pageBreakPreview" topLeftCell="A13" zoomScaleSheetLayoutView="100" workbookViewId="0">
      <selection activeCell="H85" sqref="H85:AA85"/>
    </sheetView>
  </sheetViews>
  <sheetFormatPr baseColWidth="10" defaultColWidth="11.5703125" defaultRowHeight="11.25" customHeight="1" zeroHeight="1"/>
  <cols>
    <col min="1" max="1" width="0.85546875" style="1" customWidth="1"/>
    <col min="2" max="135" width="2.140625" style="1" customWidth="1"/>
    <col min="136" max="302" width="11.5703125" style="1" customWidth="1"/>
    <col min="303" max="16384" width="11.5703125" style="1"/>
  </cols>
  <sheetData>
    <row r="1" spans="1:61"/>
    <row r="2" spans="1:61" ht="15.75">
      <c r="A2" s="166" t="s">
        <v>31</v>
      </c>
      <c r="B2" s="166"/>
      <c r="C2" s="166"/>
      <c r="D2" s="166"/>
      <c r="E2" s="166"/>
      <c r="F2" s="166"/>
      <c r="G2" s="166"/>
      <c r="H2" s="166"/>
      <c r="I2" s="166"/>
      <c r="J2" s="166"/>
      <c r="K2" s="166"/>
      <c r="L2" s="166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66"/>
      <c r="AJ2" s="166"/>
      <c r="AK2" s="166"/>
      <c r="AL2" s="166"/>
      <c r="AM2" s="166"/>
      <c r="AN2" s="166"/>
      <c r="AO2" s="166"/>
      <c r="AP2" s="166"/>
      <c r="AQ2" s="166"/>
      <c r="AR2" s="166"/>
      <c r="AS2" s="166"/>
      <c r="AT2" s="166"/>
      <c r="AU2" s="166"/>
      <c r="AV2" s="166"/>
    </row>
    <row r="3" spans="1:61" ht="18.75">
      <c r="A3" s="167" t="s">
        <v>32</v>
      </c>
      <c r="B3" s="167"/>
      <c r="C3" s="167"/>
      <c r="D3" s="167"/>
      <c r="E3" s="167"/>
      <c r="F3" s="167"/>
      <c r="G3" s="167"/>
      <c r="H3" s="167"/>
      <c r="I3" s="167"/>
      <c r="J3" s="167"/>
      <c r="K3" s="167"/>
      <c r="L3" s="167"/>
      <c r="M3" s="167"/>
      <c r="N3" s="167"/>
      <c r="O3" s="167"/>
      <c r="P3" s="167"/>
      <c r="Q3" s="167"/>
      <c r="R3" s="167"/>
      <c r="S3" s="167"/>
      <c r="T3" s="167"/>
      <c r="U3" s="167"/>
      <c r="V3" s="167"/>
      <c r="W3" s="167"/>
      <c r="X3" s="167"/>
      <c r="Y3" s="167"/>
      <c r="Z3" s="167"/>
      <c r="AA3" s="167"/>
      <c r="AB3" s="167"/>
      <c r="AC3" s="167"/>
      <c r="AD3" s="167"/>
      <c r="AE3" s="167"/>
      <c r="AF3" s="167"/>
      <c r="AG3" s="167"/>
      <c r="AH3" s="167"/>
      <c r="AI3" s="167"/>
      <c r="AJ3" s="167"/>
      <c r="AK3" s="167"/>
      <c r="AL3" s="167"/>
      <c r="AM3" s="167"/>
      <c r="AN3" s="167"/>
      <c r="AO3" s="167"/>
      <c r="AP3" s="167"/>
      <c r="AQ3" s="167"/>
      <c r="AR3" s="167"/>
      <c r="AS3" s="167"/>
      <c r="AT3" s="167"/>
      <c r="AU3" s="167"/>
      <c r="AV3" s="167"/>
    </row>
    <row r="4" spans="1:6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</row>
    <row r="5" spans="1:61"/>
    <row r="6" spans="1:61" ht="5.0999999999999996" customHeight="1">
      <c r="A6" s="6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8"/>
    </row>
    <row r="7" spans="1:61">
      <c r="A7" s="9"/>
      <c r="B7" s="2" t="s">
        <v>0</v>
      </c>
      <c r="AV7" s="10"/>
    </row>
    <row r="8" spans="1:61" ht="5.85" customHeight="1">
      <c r="A8" s="9"/>
      <c r="AV8" s="10"/>
    </row>
    <row r="9" spans="1:61">
      <c r="A9" s="9"/>
      <c r="B9" s="1" t="s">
        <v>1</v>
      </c>
      <c r="I9" s="168" t="s">
        <v>351</v>
      </c>
      <c r="J9" s="168"/>
      <c r="K9" s="168"/>
      <c r="L9" s="168"/>
      <c r="M9" s="168"/>
      <c r="N9" s="168"/>
      <c r="O9" s="168"/>
      <c r="P9" s="168"/>
      <c r="Q9" s="168"/>
      <c r="R9" s="168"/>
      <c r="S9" s="168"/>
      <c r="T9" s="126" t="s">
        <v>2</v>
      </c>
      <c r="U9" s="126"/>
      <c r="V9" s="126"/>
      <c r="W9" s="126"/>
      <c r="X9" s="126"/>
      <c r="Y9" s="126"/>
      <c r="Z9" s="124" t="s">
        <v>352</v>
      </c>
      <c r="AA9" s="124"/>
      <c r="AB9" s="124"/>
      <c r="AC9" s="124"/>
      <c r="AD9" s="124"/>
      <c r="AE9" s="124"/>
      <c r="AF9" s="124"/>
      <c r="AG9" s="124"/>
      <c r="AI9" s="1" t="s">
        <v>3</v>
      </c>
      <c r="AM9" s="159" t="s">
        <v>341</v>
      </c>
      <c r="AN9" s="159"/>
      <c r="AO9" s="159"/>
      <c r="AP9" s="159"/>
      <c r="AQ9" s="159"/>
      <c r="AR9" s="159"/>
      <c r="AS9" s="159"/>
      <c r="AT9" s="159"/>
      <c r="AU9" s="159"/>
      <c r="AV9" s="10"/>
    </row>
    <row r="10" spans="1:61" ht="5.85" customHeight="1">
      <c r="A10" s="9"/>
      <c r="AV10" s="10"/>
    </row>
    <row r="11" spans="1:61">
      <c r="A11" s="9"/>
      <c r="B11" s="164" t="s">
        <v>4</v>
      </c>
      <c r="C11" s="164"/>
      <c r="D11" s="164"/>
      <c r="E11" s="164"/>
      <c r="F11" s="159" t="s">
        <v>342</v>
      </c>
      <c r="G11" s="159"/>
      <c r="H11" s="159"/>
      <c r="I11" s="159"/>
      <c r="J11" s="159"/>
      <c r="K11" s="159"/>
      <c r="L11" s="159"/>
      <c r="M11" s="159"/>
      <c r="O11" s="1" t="s">
        <v>5</v>
      </c>
      <c r="X11" s="159" t="s">
        <v>347</v>
      </c>
      <c r="Y11" s="159"/>
      <c r="Z11" s="159"/>
      <c r="AA11" s="159"/>
      <c r="AB11" s="159"/>
      <c r="AC11" s="159"/>
      <c r="AD11" s="159"/>
      <c r="AE11" s="159"/>
      <c r="AF11" s="159"/>
      <c r="AG11" s="159"/>
      <c r="AI11" s="1" t="s">
        <v>6</v>
      </c>
      <c r="AP11" s="159" t="s">
        <v>112</v>
      </c>
      <c r="AQ11" s="159"/>
      <c r="AR11" s="159"/>
      <c r="AS11" s="159"/>
      <c r="AT11" s="159"/>
      <c r="AU11" s="159"/>
      <c r="AV11" s="10"/>
      <c r="BA11" s="165"/>
      <c r="BB11" s="165"/>
      <c r="BC11" s="165"/>
      <c r="BD11" s="165"/>
      <c r="BE11" s="165"/>
      <c r="BF11" s="165"/>
      <c r="BG11" s="165"/>
      <c r="BH11" s="165"/>
      <c r="BI11" s="165"/>
    </row>
    <row r="12" spans="1:61" ht="5.85" customHeight="1">
      <c r="A12" s="9"/>
      <c r="AV12" s="10"/>
      <c r="BA12" s="165"/>
      <c r="BB12" s="165"/>
      <c r="BC12" s="165"/>
      <c r="BD12" s="165"/>
      <c r="BE12" s="165"/>
      <c r="BF12" s="165"/>
      <c r="BG12" s="165"/>
      <c r="BH12" s="165"/>
      <c r="BI12" s="165"/>
    </row>
    <row r="13" spans="1:61">
      <c r="A13" s="9"/>
      <c r="B13" s="1" t="s">
        <v>7</v>
      </c>
      <c r="F13" s="124" t="s">
        <v>360</v>
      </c>
      <c r="G13" s="124"/>
      <c r="H13" s="124"/>
      <c r="I13" s="124"/>
      <c r="J13" s="124"/>
      <c r="K13" s="124"/>
      <c r="L13" s="124"/>
      <c r="AV13" s="10"/>
      <c r="BA13" s="165"/>
      <c r="BB13" s="165"/>
      <c r="BC13" s="165"/>
      <c r="BD13" s="165"/>
      <c r="BE13" s="165"/>
      <c r="BF13" s="165"/>
      <c r="BG13" s="165"/>
      <c r="BH13" s="165"/>
      <c r="BI13" s="165"/>
    </row>
    <row r="14" spans="1:61" ht="5.85" customHeight="1">
      <c r="A14" s="9"/>
      <c r="AV14" s="10"/>
    </row>
    <row r="15" spans="1:61" ht="5.85" customHeight="1">
      <c r="A15" s="6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8"/>
    </row>
    <row r="16" spans="1:61" ht="15" customHeight="1">
      <c r="A16" s="9"/>
      <c r="B16" s="2" t="s">
        <v>8</v>
      </c>
      <c r="AD16" s="93"/>
      <c r="AE16" s="169" t="s">
        <v>306</v>
      </c>
      <c r="AF16" s="169"/>
      <c r="AG16" s="169"/>
      <c r="AH16" s="169"/>
      <c r="AI16" s="169"/>
      <c r="AK16" s="116"/>
      <c r="AL16" s="4"/>
      <c r="AN16" s="127">
        <v>22</v>
      </c>
      <c r="AO16" s="129"/>
      <c r="AP16" s="127">
        <v>1</v>
      </c>
      <c r="AQ16" s="129"/>
      <c r="AR16" s="127">
        <v>2025</v>
      </c>
      <c r="AS16" s="128"/>
      <c r="AT16" s="128"/>
      <c r="AU16" s="129"/>
      <c r="AV16" s="10"/>
      <c r="BE16" s="163"/>
      <c r="BF16" s="163"/>
      <c r="BG16" s="163"/>
    </row>
    <row r="17" spans="1:85" ht="8.4499999999999993" customHeight="1">
      <c r="A17" s="9"/>
      <c r="AN17" s="160" t="s">
        <v>12</v>
      </c>
      <c r="AO17" s="160"/>
      <c r="AP17" s="160" t="s">
        <v>13</v>
      </c>
      <c r="AQ17" s="160"/>
      <c r="AR17" s="161" t="s">
        <v>14</v>
      </c>
      <c r="AS17" s="161"/>
      <c r="AT17" s="161"/>
      <c r="AU17" s="161"/>
      <c r="AV17" s="10"/>
    </row>
    <row r="18" spans="1:85">
      <c r="A18" s="9"/>
      <c r="B18" s="1" t="s">
        <v>9</v>
      </c>
      <c r="G18" s="124" t="s">
        <v>367</v>
      </c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AB18" s="1" t="s">
        <v>10</v>
      </c>
      <c r="AE18" s="124"/>
      <c r="AF18" s="124"/>
      <c r="AG18" s="124"/>
      <c r="AH18" s="124"/>
      <c r="AI18" s="124"/>
      <c r="AJ18" s="124"/>
      <c r="AK18" s="124"/>
      <c r="AL18" s="124"/>
      <c r="AM18" s="124"/>
      <c r="AN18" s="124"/>
      <c r="AO18" s="124"/>
      <c r="AP18" s="124"/>
      <c r="AQ18" s="124"/>
      <c r="AR18" s="124"/>
      <c r="AS18" s="124"/>
      <c r="AT18" s="124"/>
      <c r="AU18" s="124"/>
      <c r="AV18" s="10"/>
    </row>
    <row r="19" spans="1:85" ht="5.85" customHeight="1">
      <c r="A19" s="9"/>
      <c r="AV19" s="10"/>
    </row>
    <row r="20" spans="1:85" s="4" customFormat="1" ht="14.1" customHeight="1">
      <c r="A20" s="18"/>
      <c r="B20" s="4" t="s">
        <v>11</v>
      </c>
      <c r="L20" s="127">
        <v>22</v>
      </c>
      <c r="M20" s="129"/>
      <c r="N20" s="127">
        <v>1</v>
      </c>
      <c r="O20" s="129"/>
      <c r="P20" s="127">
        <v>2025</v>
      </c>
      <c r="Q20" s="128"/>
      <c r="R20" s="128"/>
      <c r="S20" s="129"/>
      <c r="X20" s="4" t="s">
        <v>105</v>
      </c>
      <c r="AH20" s="162" t="s">
        <v>357</v>
      </c>
      <c r="AI20" s="158"/>
      <c r="AJ20" s="162" t="s">
        <v>358</v>
      </c>
      <c r="AK20" s="158"/>
      <c r="AL20" s="162" t="s">
        <v>359</v>
      </c>
      <c r="AM20" s="157"/>
      <c r="AN20" s="157"/>
      <c r="AO20" s="158"/>
      <c r="AS20" s="163"/>
      <c r="AT20" s="163"/>
      <c r="AU20" s="163"/>
      <c r="AV20" s="19"/>
    </row>
    <row r="21" spans="1:85" s="3" customFormat="1" ht="8.25">
      <c r="A21" s="14"/>
      <c r="L21" s="160" t="s">
        <v>12</v>
      </c>
      <c r="M21" s="160"/>
      <c r="N21" s="160" t="s">
        <v>13</v>
      </c>
      <c r="O21" s="160"/>
      <c r="P21" s="161" t="s">
        <v>14</v>
      </c>
      <c r="Q21" s="161"/>
      <c r="R21" s="161"/>
      <c r="S21" s="161"/>
      <c r="AH21" s="160" t="s">
        <v>12</v>
      </c>
      <c r="AI21" s="160"/>
      <c r="AJ21" s="160" t="s">
        <v>13</v>
      </c>
      <c r="AK21" s="160"/>
      <c r="AL21" s="161" t="s">
        <v>14</v>
      </c>
      <c r="AM21" s="161"/>
      <c r="AN21" s="161"/>
      <c r="AO21" s="161"/>
      <c r="AV21" s="16"/>
    </row>
    <row r="22" spans="1:85" ht="5.85" customHeight="1">
      <c r="A22" s="9"/>
      <c r="S22" s="4"/>
      <c r="T22" s="4"/>
      <c r="U22" s="4"/>
      <c r="AV22" s="10"/>
    </row>
    <row r="23" spans="1:85">
      <c r="A23" s="9"/>
      <c r="B23" s="4" t="s">
        <v>15</v>
      </c>
      <c r="C23" s="4"/>
      <c r="D23" s="4"/>
      <c r="E23" s="4"/>
      <c r="F23" s="4"/>
      <c r="H23" s="159">
        <v>2</v>
      </c>
      <c r="I23" s="159"/>
      <c r="J23" s="159"/>
      <c r="L23" s="4" t="s">
        <v>16</v>
      </c>
      <c r="M23" s="4"/>
      <c r="N23" s="4"/>
      <c r="O23" s="4"/>
      <c r="P23" s="4"/>
      <c r="Q23" s="4"/>
      <c r="S23" s="124">
        <v>0</v>
      </c>
      <c r="T23" s="124"/>
      <c r="U23" s="124"/>
      <c r="W23" s="1" t="s">
        <v>17</v>
      </c>
      <c r="AB23" s="159">
        <v>0</v>
      </c>
      <c r="AC23" s="159"/>
      <c r="AD23" s="159"/>
      <c r="AF23" s="1" t="s">
        <v>18</v>
      </c>
      <c r="AL23" s="124">
        <v>0</v>
      </c>
      <c r="AM23" s="124"/>
      <c r="AN23" s="124"/>
      <c r="AV23" s="10"/>
    </row>
    <row r="24" spans="1:85" ht="5.0999999999999996" customHeight="1">
      <c r="A24" s="11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3"/>
    </row>
    <row r="25" spans="1:85" ht="5.0999999999999996" customHeight="1"/>
    <row r="26" spans="1:85">
      <c r="B26" s="2" t="s">
        <v>19</v>
      </c>
    </row>
    <row r="27" spans="1:85" ht="5.0999999999999996" customHeight="1">
      <c r="CG27" s="1" t="e">
        <f>+CI27:CCG29</f>
        <v>#VALUE!</v>
      </c>
    </row>
    <row r="28" spans="1:85">
      <c r="B28" s="1" t="s">
        <v>20</v>
      </c>
    </row>
    <row r="29" spans="1:85" s="5" customFormat="1" ht="23.85" customHeight="1">
      <c r="B29" s="148" t="s">
        <v>21</v>
      </c>
      <c r="C29" s="148"/>
      <c r="D29" s="148"/>
      <c r="E29" s="148"/>
      <c r="F29" s="135" t="s">
        <v>35</v>
      </c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  <c r="S29" s="135"/>
      <c r="T29" s="135" t="s">
        <v>36</v>
      </c>
      <c r="U29" s="135"/>
      <c r="V29" s="135"/>
      <c r="W29" s="135"/>
      <c r="X29" s="135"/>
      <c r="Y29" s="135"/>
      <c r="Z29" s="135"/>
      <c r="AA29" s="135"/>
      <c r="AB29" s="135"/>
      <c r="AC29" s="135"/>
      <c r="AD29" s="135"/>
      <c r="AE29" s="135"/>
      <c r="AF29" s="135"/>
      <c r="AG29" s="135"/>
      <c r="AH29" s="135" t="s">
        <v>37</v>
      </c>
      <c r="AI29" s="135"/>
      <c r="AJ29" s="135"/>
      <c r="AK29" s="135"/>
      <c r="AL29" s="135"/>
      <c r="AM29" s="135"/>
      <c r="AN29" s="135"/>
      <c r="AO29" s="135"/>
      <c r="AP29" s="135"/>
      <c r="AQ29" s="135"/>
      <c r="AR29" s="135"/>
      <c r="AS29" s="135"/>
      <c r="AT29" s="135"/>
      <c r="AU29" s="135"/>
      <c r="AV29" s="17"/>
    </row>
    <row r="30" spans="1:85" s="5" customFormat="1" ht="23.85" customHeight="1">
      <c r="B30" s="148"/>
      <c r="C30" s="148"/>
      <c r="D30" s="148"/>
      <c r="E30" s="148"/>
      <c r="F30" s="147" t="s">
        <v>33</v>
      </c>
      <c r="G30" s="147"/>
      <c r="H30" s="147"/>
      <c r="I30" s="147"/>
      <c r="J30" s="147"/>
      <c r="K30" s="148" t="s">
        <v>34</v>
      </c>
      <c r="L30" s="148"/>
      <c r="M30" s="148"/>
      <c r="N30" s="148"/>
      <c r="O30" s="148"/>
      <c r="P30" s="149" t="s">
        <v>262</v>
      </c>
      <c r="Q30" s="150"/>
      <c r="R30" s="150"/>
      <c r="S30" s="151"/>
      <c r="T30" s="148" t="s">
        <v>38</v>
      </c>
      <c r="U30" s="148"/>
      <c r="V30" s="148"/>
      <c r="W30" s="148"/>
      <c r="X30" s="148"/>
      <c r="Y30" s="148" t="s">
        <v>39</v>
      </c>
      <c r="Z30" s="148"/>
      <c r="AA30" s="148"/>
      <c r="AB30" s="148"/>
      <c r="AC30" s="148"/>
      <c r="AD30" s="149" t="s">
        <v>263</v>
      </c>
      <c r="AE30" s="150"/>
      <c r="AF30" s="150"/>
      <c r="AG30" s="151"/>
      <c r="AH30" s="148" t="s">
        <v>109</v>
      </c>
      <c r="AI30" s="148"/>
      <c r="AJ30" s="148"/>
      <c r="AK30" s="148"/>
      <c r="AL30" s="148"/>
      <c r="AM30" s="148" t="s">
        <v>40</v>
      </c>
      <c r="AN30" s="148"/>
      <c r="AO30" s="148"/>
      <c r="AP30" s="148"/>
      <c r="AQ30" s="148"/>
      <c r="AR30" s="149" t="s">
        <v>264</v>
      </c>
      <c r="AS30" s="150"/>
      <c r="AT30" s="150"/>
      <c r="AU30" s="151"/>
      <c r="AV30" s="17"/>
    </row>
    <row r="31" spans="1:85" ht="18" customHeight="1">
      <c r="A31" s="1">
        <v>0</v>
      </c>
      <c r="B31" s="135" t="s">
        <v>257</v>
      </c>
      <c r="C31" s="135"/>
      <c r="D31" s="135"/>
      <c r="E31" s="135"/>
      <c r="F31" s="130">
        <v>0</v>
      </c>
      <c r="G31" s="130"/>
      <c r="H31" s="130"/>
      <c r="I31" s="130"/>
      <c r="J31" s="130"/>
      <c r="K31" s="130">
        <v>0</v>
      </c>
      <c r="L31" s="130"/>
      <c r="M31" s="130"/>
      <c r="N31" s="130"/>
      <c r="O31" s="130"/>
      <c r="P31" s="156">
        <v>0</v>
      </c>
      <c r="Q31" s="157"/>
      <c r="R31" s="157"/>
      <c r="S31" s="158"/>
      <c r="T31" s="131">
        <v>0</v>
      </c>
      <c r="U31" s="131"/>
      <c r="V31" s="131"/>
      <c r="W31" s="131"/>
      <c r="X31" s="131"/>
      <c r="Y31" s="131">
        <v>0</v>
      </c>
      <c r="Z31" s="131"/>
      <c r="AA31" s="131"/>
      <c r="AB31" s="131"/>
      <c r="AC31" s="131"/>
      <c r="AD31" s="130">
        <v>0</v>
      </c>
      <c r="AE31" s="130"/>
      <c r="AF31" s="130"/>
      <c r="AG31" s="130"/>
      <c r="AH31" s="131">
        <v>0</v>
      </c>
      <c r="AI31" s="131"/>
      <c r="AJ31" s="131"/>
      <c r="AK31" s="131"/>
      <c r="AL31" s="131"/>
      <c r="AM31" s="131">
        <v>0</v>
      </c>
      <c r="AN31" s="131"/>
      <c r="AO31" s="131"/>
      <c r="AP31" s="131"/>
      <c r="AQ31" s="131"/>
      <c r="AR31" s="130">
        <v>0</v>
      </c>
      <c r="AS31" s="130"/>
      <c r="AT31" s="130"/>
      <c r="AU31" s="130"/>
    </row>
    <row r="32" spans="1:85" ht="18" customHeight="1">
      <c r="B32" s="135" t="s">
        <v>23</v>
      </c>
      <c r="C32" s="135"/>
      <c r="D32" s="135"/>
      <c r="E32" s="135"/>
      <c r="F32" s="130">
        <v>0</v>
      </c>
      <c r="G32" s="130"/>
      <c r="H32" s="130"/>
      <c r="I32" s="130"/>
      <c r="J32" s="130"/>
      <c r="K32" s="130">
        <v>0</v>
      </c>
      <c r="L32" s="130"/>
      <c r="M32" s="130"/>
      <c r="N32" s="130"/>
      <c r="O32" s="130"/>
      <c r="P32" s="130">
        <v>0</v>
      </c>
      <c r="Q32" s="130"/>
      <c r="R32" s="130"/>
      <c r="S32" s="130"/>
      <c r="T32" s="131">
        <v>0</v>
      </c>
      <c r="U32" s="131"/>
      <c r="V32" s="131"/>
      <c r="W32" s="131"/>
      <c r="X32" s="131"/>
      <c r="Y32" s="131">
        <v>0</v>
      </c>
      <c r="Z32" s="131"/>
      <c r="AA32" s="131"/>
      <c r="AB32" s="131"/>
      <c r="AC32" s="131"/>
      <c r="AD32" s="130">
        <v>0</v>
      </c>
      <c r="AE32" s="130"/>
      <c r="AF32" s="130"/>
      <c r="AG32" s="130"/>
      <c r="AH32" s="131">
        <v>0</v>
      </c>
      <c r="AI32" s="131"/>
      <c r="AJ32" s="131"/>
      <c r="AK32" s="131"/>
      <c r="AL32" s="131"/>
      <c r="AM32" s="131">
        <v>0</v>
      </c>
      <c r="AN32" s="131"/>
      <c r="AO32" s="131"/>
      <c r="AP32" s="131"/>
      <c r="AQ32" s="131"/>
      <c r="AR32" s="130">
        <v>0</v>
      </c>
      <c r="AS32" s="130"/>
      <c r="AT32" s="130"/>
      <c r="AU32" s="130"/>
    </row>
    <row r="33" spans="1:47" ht="18" customHeight="1">
      <c r="B33" s="135" t="s">
        <v>24</v>
      </c>
      <c r="C33" s="135"/>
      <c r="D33" s="135"/>
      <c r="E33" s="135"/>
      <c r="F33" s="130">
        <v>1</v>
      </c>
      <c r="G33" s="130"/>
      <c r="H33" s="130"/>
      <c r="I33" s="130"/>
      <c r="J33" s="130"/>
      <c r="K33" s="130">
        <v>0</v>
      </c>
      <c r="L33" s="130"/>
      <c r="M33" s="130"/>
      <c r="N33" s="130"/>
      <c r="O33" s="130"/>
      <c r="P33" s="130">
        <v>1</v>
      </c>
      <c r="Q33" s="130"/>
      <c r="R33" s="130"/>
      <c r="S33" s="130"/>
      <c r="T33" s="131">
        <v>0</v>
      </c>
      <c r="U33" s="131"/>
      <c r="V33" s="131"/>
      <c r="W33" s="131"/>
      <c r="X33" s="131"/>
      <c r="Y33" s="131">
        <v>0</v>
      </c>
      <c r="Z33" s="131"/>
      <c r="AA33" s="131"/>
      <c r="AB33" s="131"/>
      <c r="AC33" s="131"/>
      <c r="AD33" s="130">
        <v>0</v>
      </c>
      <c r="AE33" s="130"/>
      <c r="AF33" s="130"/>
      <c r="AG33" s="130"/>
      <c r="AH33" s="127">
        <v>1</v>
      </c>
      <c r="AI33" s="128"/>
      <c r="AJ33" s="128"/>
      <c r="AK33" s="128"/>
      <c r="AL33" s="129"/>
      <c r="AM33" s="127">
        <v>0</v>
      </c>
      <c r="AN33" s="128"/>
      <c r="AO33" s="128"/>
      <c r="AP33" s="128"/>
      <c r="AQ33" s="129"/>
      <c r="AR33" s="155">
        <v>1</v>
      </c>
      <c r="AS33" s="130"/>
      <c r="AT33" s="130"/>
      <c r="AU33" s="130"/>
    </row>
    <row r="34" spans="1:47" ht="18" customHeight="1">
      <c r="B34" s="135" t="s">
        <v>25</v>
      </c>
      <c r="C34" s="135"/>
      <c r="D34" s="135"/>
      <c r="E34" s="135"/>
      <c r="F34" s="130">
        <v>0</v>
      </c>
      <c r="G34" s="130"/>
      <c r="H34" s="130"/>
      <c r="I34" s="130"/>
      <c r="J34" s="130"/>
      <c r="K34" s="130">
        <v>0</v>
      </c>
      <c r="L34" s="130"/>
      <c r="M34" s="130"/>
      <c r="N34" s="130"/>
      <c r="O34" s="130"/>
      <c r="P34" s="130">
        <v>0</v>
      </c>
      <c r="Q34" s="130"/>
      <c r="R34" s="130"/>
      <c r="S34" s="130"/>
      <c r="T34" s="131">
        <v>0</v>
      </c>
      <c r="U34" s="131"/>
      <c r="V34" s="131"/>
      <c r="W34" s="131"/>
      <c r="X34" s="131"/>
      <c r="Y34" s="131">
        <v>0</v>
      </c>
      <c r="Z34" s="131"/>
      <c r="AA34" s="131"/>
      <c r="AB34" s="131"/>
      <c r="AC34" s="131"/>
      <c r="AD34" s="130">
        <v>0</v>
      </c>
      <c r="AE34" s="130"/>
      <c r="AF34" s="130"/>
      <c r="AG34" s="130"/>
      <c r="AH34" s="127">
        <v>1</v>
      </c>
      <c r="AI34" s="128"/>
      <c r="AJ34" s="128"/>
      <c r="AK34" s="128"/>
      <c r="AL34" s="129"/>
      <c r="AM34" s="127">
        <v>0</v>
      </c>
      <c r="AN34" s="128"/>
      <c r="AO34" s="128"/>
      <c r="AP34" s="128"/>
      <c r="AQ34" s="129"/>
      <c r="AR34" s="155">
        <v>1</v>
      </c>
      <c r="AS34" s="130"/>
      <c r="AT34" s="130"/>
      <c r="AU34" s="130"/>
    </row>
    <row r="35" spans="1:47" ht="18" customHeight="1">
      <c r="B35" s="135" t="s">
        <v>26</v>
      </c>
      <c r="C35" s="135"/>
      <c r="D35" s="135"/>
      <c r="E35" s="135"/>
      <c r="F35" s="130">
        <v>0</v>
      </c>
      <c r="G35" s="130"/>
      <c r="H35" s="130"/>
      <c r="I35" s="130"/>
      <c r="J35" s="130"/>
      <c r="K35" s="130">
        <v>0</v>
      </c>
      <c r="L35" s="130"/>
      <c r="M35" s="130"/>
      <c r="N35" s="130"/>
      <c r="O35" s="130"/>
      <c r="P35" s="130">
        <v>0</v>
      </c>
      <c r="Q35" s="130"/>
      <c r="R35" s="130"/>
      <c r="S35" s="130"/>
      <c r="T35" s="131">
        <v>0</v>
      </c>
      <c r="U35" s="131"/>
      <c r="V35" s="131"/>
      <c r="W35" s="131"/>
      <c r="X35" s="131"/>
      <c r="Y35" s="131">
        <v>0</v>
      </c>
      <c r="Z35" s="131"/>
      <c r="AA35" s="131"/>
      <c r="AB35" s="131"/>
      <c r="AC35" s="131"/>
      <c r="AD35" s="130">
        <v>0</v>
      </c>
      <c r="AE35" s="130"/>
      <c r="AF35" s="130"/>
      <c r="AG35" s="130"/>
      <c r="AH35" s="131">
        <v>0</v>
      </c>
      <c r="AI35" s="131"/>
      <c r="AJ35" s="131"/>
      <c r="AK35" s="131"/>
      <c r="AL35" s="131"/>
      <c r="AM35" s="131">
        <v>0</v>
      </c>
      <c r="AN35" s="131"/>
      <c r="AO35" s="131"/>
      <c r="AP35" s="131"/>
      <c r="AQ35" s="131"/>
      <c r="AR35" s="155">
        <v>0</v>
      </c>
      <c r="AS35" s="130"/>
      <c r="AT35" s="130"/>
      <c r="AU35" s="130"/>
    </row>
    <row r="36" spans="1:47" ht="18" customHeight="1">
      <c r="B36" s="135" t="s">
        <v>27</v>
      </c>
      <c r="C36" s="135"/>
      <c r="D36" s="135"/>
      <c r="E36" s="135"/>
      <c r="F36" s="130">
        <v>0</v>
      </c>
      <c r="G36" s="130"/>
      <c r="H36" s="130"/>
      <c r="I36" s="130"/>
      <c r="J36" s="130"/>
      <c r="K36" s="130">
        <v>1</v>
      </c>
      <c r="L36" s="130"/>
      <c r="M36" s="130"/>
      <c r="N36" s="130"/>
      <c r="O36" s="130"/>
      <c r="P36" s="130">
        <v>1</v>
      </c>
      <c r="Q36" s="130"/>
      <c r="R36" s="130"/>
      <c r="S36" s="130"/>
      <c r="T36" s="131">
        <v>0</v>
      </c>
      <c r="U36" s="131"/>
      <c r="V36" s="131"/>
      <c r="W36" s="131"/>
      <c r="X36" s="131"/>
      <c r="Y36" s="131">
        <v>0</v>
      </c>
      <c r="Z36" s="131"/>
      <c r="AA36" s="131"/>
      <c r="AB36" s="131"/>
      <c r="AC36" s="131"/>
      <c r="AD36" s="130">
        <v>0</v>
      </c>
      <c r="AE36" s="130"/>
      <c r="AF36" s="130"/>
      <c r="AG36" s="130"/>
      <c r="AH36" s="131">
        <v>0</v>
      </c>
      <c r="AI36" s="131"/>
      <c r="AJ36" s="131"/>
      <c r="AK36" s="131"/>
      <c r="AL36" s="131"/>
      <c r="AM36" s="131">
        <v>1</v>
      </c>
      <c r="AN36" s="131"/>
      <c r="AO36" s="131"/>
      <c r="AP36" s="131"/>
      <c r="AQ36" s="131"/>
      <c r="AR36" s="155">
        <v>1</v>
      </c>
      <c r="AS36" s="130"/>
      <c r="AT36" s="130"/>
      <c r="AU36" s="130"/>
    </row>
    <row r="37" spans="1:47" ht="18" customHeight="1">
      <c r="B37" s="135" t="s">
        <v>28</v>
      </c>
      <c r="C37" s="135"/>
      <c r="D37" s="135"/>
      <c r="E37" s="135"/>
      <c r="F37" s="130">
        <v>0</v>
      </c>
      <c r="G37" s="130"/>
      <c r="H37" s="130"/>
      <c r="I37" s="130"/>
      <c r="J37" s="130"/>
      <c r="K37" s="130">
        <v>0</v>
      </c>
      <c r="L37" s="130"/>
      <c r="M37" s="130"/>
      <c r="N37" s="130"/>
      <c r="O37" s="130"/>
      <c r="P37" s="130">
        <v>0</v>
      </c>
      <c r="Q37" s="130"/>
      <c r="R37" s="130"/>
      <c r="S37" s="130"/>
      <c r="T37" s="131">
        <v>0</v>
      </c>
      <c r="U37" s="131"/>
      <c r="V37" s="131"/>
      <c r="W37" s="131"/>
      <c r="X37" s="131"/>
      <c r="Y37" s="131">
        <v>0</v>
      </c>
      <c r="Z37" s="131"/>
      <c r="AA37" s="131"/>
      <c r="AB37" s="131"/>
      <c r="AC37" s="131"/>
      <c r="AD37" s="130">
        <v>0</v>
      </c>
      <c r="AE37" s="130"/>
      <c r="AF37" s="130"/>
      <c r="AG37" s="130"/>
      <c r="AH37" s="131">
        <v>0</v>
      </c>
      <c r="AI37" s="131"/>
      <c r="AJ37" s="131"/>
      <c r="AK37" s="131"/>
      <c r="AL37" s="131"/>
      <c r="AM37" s="131">
        <v>0</v>
      </c>
      <c r="AN37" s="131"/>
      <c r="AO37" s="131"/>
      <c r="AP37" s="131"/>
      <c r="AQ37" s="131"/>
      <c r="AR37" s="130">
        <v>0</v>
      </c>
      <c r="AS37" s="130"/>
      <c r="AT37" s="130"/>
      <c r="AU37" s="130"/>
    </row>
    <row r="38" spans="1:47" ht="18" customHeight="1">
      <c r="A38" s="1">
        <v>17</v>
      </c>
      <c r="B38" s="135" t="s">
        <v>29</v>
      </c>
      <c r="C38" s="135"/>
      <c r="D38" s="135"/>
      <c r="E38" s="135"/>
      <c r="F38" s="130">
        <v>0</v>
      </c>
      <c r="G38" s="130"/>
      <c r="H38" s="130"/>
      <c r="I38" s="130"/>
      <c r="J38" s="130"/>
      <c r="K38" s="155">
        <v>0</v>
      </c>
      <c r="L38" s="130"/>
      <c r="M38" s="130"/>
      <c r="N38" s="130"/>
      <c r="O38" s="130"/>
      <c r="P38" s="130">
        <v>0</v>
      </c>
      <c r="Q38" s="130"/>
      <c r="R38" s="130"/>
      <c r="S38" s="130"/>
      <c r="T38" s="131">
        <v>0</v>
      </c>
      <c r="U38" s="131"/>
      <c r="V38" s="131"/>
      <c r="W38" s="131"/>
      <c r="X38" s="131"/>
      <c r="Y38" s="131">
        <v>0</v>
      </c>
      <c r="Z38" s="131"/>
      <c r="AA38" s="131"/>
      <c r="AB38" s="131"/>
      <c r="AC38" s="131"/>
      <c r="AD38" s="130">
        <v>0</v>
      </c>
      <c r="AE38" s="130"/>
      <c r="AF38" s="130"/>
      <c r="AG38" s="130"/>
      <c r="AH38" s="131">
        <v>0</v>
      </c>
      <c r="AI38" s="131"/>
      <c r="AJ38" s="131"/>
      <c r="AK38" s="131"/>
      <c r="AL38" s="131"/>
      <c r="AM38" s="131">
        <v>0</v>
      </c>
      <c r="AN38" s="131"/>
      <c r="AO38" s="131"/>
      <c r="AP38" s="131"/>
      <c r="AQ38" s="131"/>
      <c r="AR38" s="130">
        <v>0</v>
      </c>
      <c r="AS38" s="130"/>
      <c r="AT38" s="130"/>
      <c r="AU38" s="130"/>
    </row>
    <row r="39" spans="1:47" ht="18" customHeight="1">
      <c r="B39" s="135" t="s">
        <v>30</v>
      </c>
      <c r="C39" s="135"/>
      <c r="D39" s="135"/>
      <c r="E39" s="135"/>
      <c r="F39" s="130">
        <v>1</v>
      </c>
      <c r="G39" s="130"/>
      <c r="H39" s="130"/>
      <c r="I39" s="130"/>
      <c r="J39" s="130"/>
      <c r="K39" s="155">
        <v>1</v>
      </c>
      <c r="L39" s="130"/>
      <c r="M39" s="130"/>
      <c r="N39" s="130"/>
      <c r="O39" s="130"/>
      <c r="P39" s="130">
        <v>2</v>
      </c>
      <c r="Q39" s="130"/>
      <c r="R39" s="130"/>
      <c r="S39" s="130"/>
      <c r="T39" s="130">
        <v>0</v>
      </c>
      <c r="U39" s="130"/>
      <c r="V39" s="130"/>
      <c r="W39" s="130"/>
      <c r="X39" s="130"/>
      <c r="Y39" s="130">
        <v>0</v>
      </c>
      <c r="Z39" s="130"/>
      <c r="AA39" s="130"/>
      <c r="AB39" s="130"/>
      <c r="AC39" s="130"/>
      <c r="AD39" s="130">
        <v>0</v>
      </c>
      <c r="AE39" s="130"/>
      <c r="AF39" s="130"/>
      <c r="AG39" s="130"/>
      <c r="AH39" s="130">
        <v>2</v>
      </c>
      <c r="AI39" s="130"/>
      <c r="AJ39" s="130"/>
      <c r="AK39" s="130"/>
      <c r="AL39" s="130"/>
      <c r="AM39" s="130">
        <v>1</v>
      </c>
      <c r="AN39" s="130"/>
      <c r="AO39" s="130"/>
      <c r="AP39" s="130"/>
      <c r="AQ39" s="130"/>
      <c r="AR39" s="130">
        <v>3</v>
      </c>
      <c r="AS39" s="130"/>
      <c r="AT39" s="130"/>
      <c r="AU39" s="130"/>
    </row>
    <row r="40" spans="1:47"/>
    <row r="41" spans="1:47">
      <c r="B41" s="142" t="s">
        <v>45</v>
      </c>
      <c r="C41" s="142"/>
      <c r="D41" s="142"/>
      <c r="E41" s="142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  <c r="Y41" s="142"/>
      <c r="Z41" s="142"/>
      <c r="AA41" s="142"/>
      <c r="AB41" s="142"/>
      <c r="AC41" s="142"/>
      <c r="AD41" s="142"/>
      <c r="AE41" s="142"/>
      <c r="AF41" s="142"/>
      <c r="AG41" s="142"/>
      <c r="AH41" s="153" t="s">
        <v>261</v>
      </c>
      <c r="AI41" s="153"/>
      <c r="AJ41" s="153"/>
      <c r="AK41" s="153"/>
      <c r="AL41" s="153"/>
      <c r="AM41" s="153"/>
      <c r="AN41" s="153"/>
      <c r="AO41" s="153"/>
      <c r="AP41" s="153"/>
      <c r="AQ41" s="153"/>
      <c r="AR41" s="153"/>
      <c r="AS41" s="153"/>
      <c r="AT41" s="153"/>
      <c r="AU41" s="153"/>
    </row>
    <row r="42" spans="1:47"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2"/>
      <c r="S42" s="152"/>
      <c r="T42" s="152"/>
      <c r="U42" s="152"/>
      <c r="V42" s="152"/>
      <c r="W42" s="152"/>
      <c r="X42" s="152"/>
      <c r="Y42" s="152"/>
      <c r="Z42" s="152"/>
      <c r="AA42" s="152"/>
      <c r="AB42" s="152"/>
      <c r="AC42" s="152"/>
      <c r="AD42" s="152"/>
      <c r="AE42" s="152"/>
      <c r="AF42" s="152"/>
      <c r="AG42" s="152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154"/>
      <c r="AT42" s="154"/>
      <c r="AU42" s="154"/>
    </row>
    <row r="43" spans="1:47" ht="24.75" customHeight="1">
      <c r="B43" s="148" t="s">
        <v>21</v>
      </c>
      <c r="C43" s="148"/>
      <c r="D43" s="148"/>
      <c r="E43" s="148"/>
      <c r="F43" s="135" t="s">
        <v>41</v>
      </c>
      <c r="G43" s="135"/>
      <c r="H43" s="135"/>
      <c r="I43" s="135"/>
      <c r="J43" s="135"/>
      <c r="K43" s="135"/>
      <c r="L43" s="135"/>
      <c r="M43" s="135"/>
      <c r="N43" s="135"/>
      <c r="O43" s="135"/>
      <c r="P43" s="135"/>
      <c r="Q43" s="135"/>
      <c r="R43" s="135"/>
      <c r="S43" s="135"/>
      <c r="T43" s="135" t="s">
        <v>258</v>
      </c>
      <c r="U43" s="135"/>
      <c r="V43" s="135"/>
      <c r="W43" s="135"/>
      <c r="X43" s="135"/>
      <c r="Y43" s="135"/>
      <c r="Z43" s="135"/>
      <c r="AA43" s="135"/>
      <c r="AB43" s="135"/>
      <c r="AC43" s="135"/>
      <c r="AD43" s="135"/>
      <c r="AE43" s="135"/>
      <c r="AF43" s="135"/>
      <c r="AG43" s="135"/>
      <c r="AH43" s="148" t="s">
        <v>260</v>
      </c>
      <c r="AI43" s="148"/>
      <c r="AJ43" s="148"/>
      <c r="AK43" s="148"/>
      <c r="AL43" s="148"/>
      <c r="AM43" s="135" t="s">
        <v>44</v>
      </c>
      <c r="AN43" s="135"/>
      <c r="AO43" s="135"/>
      <c r="AP43" s="135"/>
      <c r="AQ43" s="135"/>
      <c r="AR43" s="135"/>
      <c r="AS43" s="135"/>
      <c r="AT43" s="135"/>
      <c r="AU43" s="135"/>
    </row>
    <row r="44" spans="1:47" ht="24.75" customHeight="1">
      <c r="B44" s="148"/>
      <c r="C44" s="148"/>
      <c r="D44" s="148"/>
      <c r="E44" s="148"/>
      <c r="F44" s="147" t="s">
        <v>107</v>
      </c>
      <c r="G44" s="147"/>
      <c r="H44" s="147"/>
      <c r="I44" s="147"/>
      <c r="J44" s="147"/>
      <c r="K44" s="148" t="s">
        <v>108</v>
      </c>
      <c r="L44" s="148"/>
      <c r="M44" s="148"/>
      <c r="N44" s="148"/>
      <c r="O44" s="148"/>
      <c r="P44" s="144" t="s">
        <v>50</v>
      </c>
      <c r="Q44" s="145"/>
      <c r="R44" s="145"/>
      <c r="S44" s="146"/>
      <c r="T44" s="147" t="s">
        <v>107</v>
      </c>
      <c r="U44" s="147"/>
      <c r="V44" s="147"/>
      <c r="W44" s="147"/>
      <c r="X44" s="147"/>
      <c r="Y44" s="148" t="s">
        <v>108</v>
      </c>
      <c r="Z44" s="148"/>
      <c r="AA44" s="148"/>
      <c r="AB44" s="148"/>
      <c r="AC44" s="148"/>
      <c r="AD44" s="149" t="s">
        <v>259</v>
      </c>
      <c r="AE44" s="150"/>
      <c r="AF44" s="150"/>
      <c r="AG44" s="151"/>
      <c r="AH44" s="148"/>
      <c r="AI44" s="148"/>
      <c r="AJ44" s="148"/>
      <c r="AK44" s="148"/>
      <c r="AL44" s="148"/>
      <c r="AM44" s="148">
        <v>0</v>
      </c>
      <c r="AN44" s="148"/>
      <c r="AO44" s="148"/>
      <c r="AP44" s="148"/>
      <c r="AQ44" s="148"/>
      <c r="AR44" s="135">
        <v>0</v>
      </c>
      <c r="AS44" s="135"/>
      <c r="AT44" s="135"/>
      <c r="AU44" s="135"/>
    </row>
    <row r="45" spans="1:47" ht="18" customHeight="1">
      <c r="B45" s="135" t="s">
        <v>22</v>
      </c>
      <c r="C45" s="135"/>
      <c r="D45" s="135"/>
      <c r="E45" s="135"/>
      <c r="F45" s="136" t="e">
        <f>(F31/AH31)*100</f>
        <v>#DIV/0!</v>
      </c>
      <c r="G45" s="136"/>
      <c r="H45" s="136"/>
      <c r="I45" s="136"/>
      <c r="J45" s="136"/>
      <c r="K45" s="136" t="e">
        <f>(K31/AM31)*100</f>
        <v>#DIV/0!</v>
      </c>
      <c r="L45" s="136"/>
      <c r="M45" s="136"/>
      <c r="N45" s="136"/>
      <c r="O45" s="136"/>
      <c r="P45" s="136" t="e">
        <f>(P31/AR31)*100</f>
        <v>#DIV/0!</v>
      </c>
      <c r="Q45" s="136"/>
      <c r="R45" s="136"/>
      <c r="S45" s="136"/>
      <c r="T45" s="136">
        <v>0</v>
      </c>
      <c r="U45" s="136"/>
      <c r="V45" s="136"/>
      <c r="W45" s="136"/>
      <c r="X45" s="136"/>
      <c r="Y45" s="136">
        <v>0</v>
      </c>
      <c r="Z45" s="136"/>
      <c r="AA45" s="136"/>
      <c r="AB45" s="136"/>
      <c r="AC45" s="136"/>
      <c r="AD45" s="136">
        <v>0</v>
      </c>
      <c r="AE45" s="136"/>
      <c r="AF45" s="136"/>
      <c r="AG45" s="136"/>
      <c r="AH45" s="143" t="s">
        <v>328</v>
      </c>
      <c r="AI45" s="143"/>
      <c r="AJ45" s="143"/>
      <c r="AK45" s="143"/>
      <c r="AL45" s="143"/>
      <c r="AM45" s="130">
        <v>1</v>
      </c>
      <c r="AN45" s="130"/>
      <c r="AO45" s="130"/>
      <c r="AP45" s="130"/>
      <c r="AQ45" s="130"/>
      <c r="AR45" s="141">
        <v>0.5</v>
      </c>
      <c r="AS45" s="141"/>
      <c r="AT45" s="141"/>
      <c r="AU45" s="141"/>
    </row>
    <row r="46" spans="1:47" ht="18" customHeight="1">
      <c r="B46" s="135" t="s">
        <v>23</v>
      </c>
      <c r="C46" s="135"/>
      <c r="D46" s="135"/>
      <c r="E46" s="135"/>
      <c r="F46" s="136" t="e">
        <f t="shared" ref="F46:F53" si="0">(F32/AH32)*100</f>
        <v>#DIV/0!</v>
      </c>
      <c r="G46" s="136"/>
      <c r="H46" s="136"/>
      <c r="I46" s="136"/>
      <c r="J46" s="136"/>
      <c r="K46" s="136" t="e">
        <f t="shared" ref="K46:K52" si="1">(K32/AM32)*100</f>
        <v>#DIV/0!</v>
      </c>
      <c r="L46" s="136"/>
      <c r="M46" s="136"/>
      <c r="N46" s="136"/>
      <c r="O46" s="136"/>
      <c r="P46" s="136" t="e">
        <f t="shared" ref="P46:P52" si="2">(P32/AR32)*100</f>
        <v>#DIV/0!</v>
      </c>
      <c r="Q46" s="136"/>
      <c r="R46" s="136"/>
      <c r="S46" s="136"/>
      <c r="T46" s="136">
        <v>0</v>
      </c>
      <c r="U46" s="136"/>
      <c r="V46" s="136"/>
      <c r="W46" s="136"/>
      <c r="X46" s="136"/>
      <c r="Y46" s="136">
        <v>0</v>
      </c>
      <c r="Z46" s="136"/>
      <c r="AA46" s="136"/>
      <c r="AB46" s="136"/>
      <c r="AC46" s="136"/>
      <c r="AD46" s="136">
        <v>0</v>
      </c>
      <c r="AE46" s="136"/>
      <c r="AF46" s="136"/>
      <c r="AG46" s="136"/>
      <c r="AH46" s="143" t="s">
        <v>329</v>
      </c>
      <c r="AI46" s="143"/>
      <c r="AJ46" s="143"/>
      <c r="AK46" s="143"/>
      <c r="AL46" s="143"/>
      <c r="AM46" s="130">
        <v>2</v>
      </c>
      <c r="AN46" s="130"/>
      <c r="AO46" s="130"/>
      <c r="AP46" s="130"/>
      <c r="AQ46" s="130"/>
      <c r="AR46" s="141">
        <v>1</v>
      </c>
      <c r="AS46" s="141"/>
      <c r="AT46" s="141"/>
      <c r="AU46" s="141"/>
    </row>
    <row r="47" spans="1:47" ht="18" customHeight="1">
      <c r="B47" s="135" t="s">
        <v>24</v>
      </c>
      <c r="C47" s="135"/>
      <c r="D47" s="135"/>
      <c r="E47" s="135"/>
      <c r="F47" s="136">
        <f t="shared" ref="F47:F49" si="3">(F33/AH33)*100</f>
        <v>100</v>
      </c>
      <c r="G47" s="136"/>
      <c r="H47" s="136"/>
      <c r="I47" s="136"/>
      <c r="J47" s="136"/>
      <c r="K47" s="136" t="e">
        <f t="shared" ref="K47:K50" si="4">(K33/AM33)*100</f>
        <v>#DIV/0!</v>
      </c>
      <c r="L47" s="136"/>
      <c r="M47" s="136"/>
      <c r="N47" s="136"/>
      <c r="O47" s="136"/>
      <c r="P47" s="137">
        <v>50</v>
      </c>
      <c r="Q47" s="138"/>
      <c r="R47" s="138"/>
      <c r="S47" s="139"/>
      <c r="T47" s="136">
        <v>0</v>
      </c>
      <c r="U47" s="136"/>
      <c r="V47" s="136"/>
      <c r="W47" s="136"/>
      <c r="X47" s="136"/>
      <c r="Y47" s="136">
        <v>0</v>
      </c>
      <c r="Z47" s="136"/>
      <c r="AA47" s="136"/>
      <c r="AB47" s="136"/>
      <c r="AC47" s="136"/>
      <c r="AD47" s="136">
        <v>0</v>
      </c>
      <c r="AE47" s="136"/>
      <c r="AF47" s="136"/>
      <c r="AG47" s="136"/>
      <c r="AH47" s="143" t="s">
        <v>331</v>
      </c>
      <c r="AI47" s="143"/>
      <c r="AJ47" s="143"/>
      <c r="AK47" s="143"/>
      <c r="AL47" s="143"/>
      <c r="AM47" s="130">
        <v>2</v>
      </c>
      <c r="AN47" s="130"/>
      <c r="AO47" s="130"/>
      <c r="AP47" s="130"/>
      <c r="AQ47" s="130"/>
      <c r="AR47" s="141">
        <v>1</v>
      </c>
      <c r="AS47" s="141"/>
      <c r="AT47" s="141"/>
      <c r="AU47" s="141"/>
    </row>
    <row r="48" spans="1:47" ht="18" customHeight="1">
      <c r="B48" s="135" t="s">
        <v>25</v>
      </c>
      <c r="C48" s="135"/>
      <c r="D48" s="135"/>
      <c r="E48" s="135"/>
      <c r="F48" s="136">
        <f t="shared" si="3"/>
        <v>0</v>
      </c>
      <c r="G48" s="136"/>
      <c r="H48" s="136"/>
      <c r="I48" s="136"/>
      <c r="J48" s="136"/>
      <c r="K48" s="136" t="e">
        <f t="shared" si="4"/>
        <v>#DIV/0!</v>
      </c>
      <c r="L48" s="136"/>
      <c r="M48" s="136"/>
      <c r="N48" s="136"/>
      <c r="O48" s="136"/>
      <c r="P48" s="137">
        <f t="shared" si="2"/>
        <v>0</v>
      </c>
      <c r="Q48" s="138"/>
      <c r="R48" s="138"/>
      <c r="S48" s="139"/>
      <c r="T48" s="136">
        <v>0</v>
      </c>
      <c r="U48" s="136"/>
      <c r="V48" s="136"/>
      <c r="W48" s="136"/>
      <c r="X48" s="136"/>
      <c r="Y48" s="136">
        <v>0</v>
      </c>
      <c r="Z48" s="136"/>
      <c r="AA48" s="136"/>
      <c r="AB48" s="136"/>
      <c r="AC48" s="136"/>
      <c r="AD48" s="136">
        <v>0</v>
      </c>
      <c r="AE48" s="136"/>
      <c r="AF48" s="136"/>
      <c r="AG48" s="136"/>
      <c r="AH48" s="143" t="s">
        <v>330</v>
      </c>
      <c r="AI48" s="143"/>
      <c r="AJ48" s="143"/>
      <c r="AK48" s="143"/>
      <c r="AL48" s="143"/>
      <c r="AM48" s="130">
        <v>2</v>
      </c>
      <c r="AN48" s="130"/>
      <c r="AO48" s="130"/>
      <c r="AP48" s="130"/>
      <c r="AQ48" s="130"/>
      <c r="AR48" s="136">
        <v>100</v>
      </c>
      <c r="AS48" s="136"/>
      <c r="AT48" s="136"/>
      <c r="AU48" s="136"/>
    </row>
    <row r="49" spans="2:48" ht="18" customHeight="1">
      <c r="B49" s="135" t="s">
        <v>26</v>
      </c>
      <c r="C49" s="135"/>
      <c r="D49" s="135"/>
      <c r="E49" s="135"/>
      <c r="F49" s="136" t="e">
        <f t="shared" si="3"/>
        <v>#DIV/0!</v>
      </c>
      <c r="G49" s="136"/>
      <c r="H49" s="136"/>
      <c r="I49" s="136"/>
      <c r="J49" s="136"/>
      <c r="K49" s="136" t="e">
        <f t="shared" ref="K49" si="5">(K35/AM35)*100</f>
        <v>#DIV/0!</v>
      </c>
      <c r="L49" s="136"/>
      <c r="M49" s="136"/>
      <c r="N49" s="136"/>
      <c r="O49" s="136"/>
      <c r="P49" s="137" t="e">
        <f t="shared" si="2"/>
        <v>#DIV/0!</v>
      </c>
      <c r="Q49" s="138"/>
      <c r="R49" s="138"/>
      <c r="S49" s="139"/>
      <c r="T49" s="136">
        <v>0</v>
      </c>
      <c r="U49" s="136"/>
      <c r="V49" s="136"/>
      <c r="W49" s="136"/>
      <c r="X49" s="136"/>
      <c r="Y49" s="136">
        <v>0</v>
      </c>
      <c r="Z49" s="136"/>
      <c r="AA49" s="136"/>
      <c r="AB49" s="136"/>
      <c r="AC49" s="136"/>
      <c r="AD49" s="136">
        <v>0</v>
      </c>
      <c r="AE49" s="136"/>
      <c r="AF49" s="136"/>
      <c r="AG49" s="136"/>
      <c r="AH49" s="143" t="s">
        <v>332</v>
      </c>
      <c r="AI49" s="143"/>
      <c r="AJ49" s="143"/>
      <c r="AK49" s="143"/>
      <c r="AL49" s="143"/>
      <c r="AM49" s="130">
        <v>1</v>
      </c>
      <c r="AN49" s="130"/>
      <c r="AO49" s="130"/>
      <c r="AP49" s="130"/>
      <c r="AQ49" s="130"/>
      <c r="AR49" s="136">
        <v>50</v>
      </c>
      <c r="AS49" s="136"/>
      <c r="AT49" s="136"/>
      <c r="AU49" s="136"/>
    </row>
    <row r="50" spans="2:48" ht="18" customHeight="1">
      <c r="B50" s="135" t="s">
        <v>27</v>
      </c>
      <c r="C50" s="135"/>
      <c r="D50" s="135"/>
      <c r="E50" s="135"/>
      <c r="F50" s="136" t="e">
        <f t="shared" si="0"/>
        <v>#DIV/0!</v>
      </c>
      <c r="G50" s="136"/>
      <c r="H50" s="136"/>
      <c r="I50" s="136"/>
      <c r="J50" s="136"/>
      <c r="K50" s="136">
        <f t="shared" si="4"/>
        <v>100</v>
      </c>
      <c r="L50" s="136"/>
      <c r="M50" s="136"/>
      <c r="N50" s="136"/>
      <c r="O50" s="136"/>
      <c r="P50" s="137">
        <v>50</v>
      </c>
      <c r="Q50" s="138"/>
      <c r="R50" s="138"/>
      <c r="S50" s="139"/>
      <c r="T50" s="136">
        <v>0</v>
      </c>
      <c r="U50" s="136"/>
      <c r="V50" s="136"/>
      <c r="W50" s="136"/>
      <c r="X50" s="136"/>
      <c r="Y50" s="136">
        <v>0</v>
      </c>
      <c r="Z50" s="136"/>
      <c r="AA50" s="136"/>
      <c r="AB50" s="136"/>
      <c r="AC50" s="136"/>
      <c r="AD50" s="136">
        <v>0</v>
      </c>
      <c r="AE50" s="136"/>
      <c r="AF50" s="136"/>
      <c r="AG50" s="136"/>
      <c r="AH50" s="143" t="s">
        <v>336</v>
      </c>
      <c r="AI50" s="143"/>
      <c r="AJ50" s="143"/>
      <c r="AK50" s="143"/>
      <c r="AL50" s="143"/>
      <c r="AM50" s="130">
        <v>2</v>
      </c>
      <c r="AN50" s="130"/>
      <c r="AO50" s="130"/>
      <c r="AP50" s="130"/>
      <c r="AQ50" s="130"/>
      <c r="AR50" s="136">
        <v>100</v>
      </c>
      <c r="AS50" s="136"/>
      <c r="AT50" s="136"/>
      <c r="AU50" s="136"/>
    </row>
    <row r="51" spans="2:48" ht="18" customHeight="1">
      <c r="B51" s="135" t="s">
        <v>28</v>
      </c>
      <c r="C51" s="135"/>
      <c r="D51" s="135"/>
      <c r="E51" s="135"/>
      <c r="F51" s="136" t="e">
        <f t="shared" si="0"/>
        <v>#DIV/0!</v>
      </c>
      <c r="G51" s="136"/>
      <c r="H51" s="136"/>
      <c r="I51" s="136"/>
      <c r="J51" s="136"/>
      <c r="K51" s="136" t="e">
        <f t="shared" si="1"/>
        <v>#DIV/0!</v>
      </c>
      <c r="L51" s="136"/>
      <c r="M51" s="136"/>
      <c r="N51" s="136"/>
      <c r="O51" s="136"/>
      <c r="P51" s="137" t="e">
        <f t="shared" si="2"/>
        <v>#DIV/0!</v>
      </c>
      <c r="Q51" s="138"/>
      <c r="R51" s="138"/>
      <c r="S51" s="139"/>
      <c r="T51" s="136">
        <v>0</v>
      </c>
      <c r="U51" s="136"/>
      <c r="V51" s="136"/>
      <c r="W51" s="136"/>
      <c r="X51" s="136"/>
      <c r="Y51" s="136">
        <v>0</v>
      </c>
      <c r="Z51" s="136"/>
      <c r="AA51" s="136"/>
      <c r="AB51" s="136"/>
      <c r="AC51" s="136"/>
      <c r="AD51" s="136">
        <v>0</v>
      </c>
      <c r="AE51" s="136"/>
      <c r="AF51" s="136"/>
      <c r="AG51" s="136"/>
      <c r="AH51" s="143" t="s">
        <v>370</v>
      </c>
      <c r="AI51" s="143"/>
      <c r="AJ51" s="143"/>
      <c r="AK51" s="143"/>
      <c r="AL51" s="143"/>
      <c r="AM51" s="130">
        <v>2</v>
      </c>
      <c r="AN51" s="130"/>
      <c r="AO51" s="130"/>
      <c r="AP51" s="130"/>
      <c r="AQ51" s="130"/>
      <c r="AR51" s="136"/>
      <c r="AS51" s="136"/>
      <c r="AT51" s="136"/>
      <c r="AU51" s="136"/>
    </row>
    <row r="52" spans="2:48" ht="18" customHeight="1">
      <c r="B52" s="135" t="s">
        <v>29</v>
      </c>
      <c r="C52" s="135"/>
      <c r="D52" s="135"/>
      <c r="E52" s="135"/>
      <c r="F52" s="136" t="e">
        <f t="shared" si="0"/>
        <v>#DIV/0!</v>
      </c>
      <c r="G52" s="136"/>
      <c r="H52" s="136"/>
      <c r="I52" s="136"/>
      <c r="J52" s="136"/>
      <c r="K52" s="136" t="e">
        <f t="shared" si="1"/>
        <v>#DIV/0!</v>
      </c>
      <c r="L52" s="136"/>
      <c r="M52" s="136"/>
      <c r="N52" s="136"/>
      <c r="O52" s="136"/>
      <c r="P52" s="137" t="e">
        <f t="shared" si="2"/>
        <v>#DIV/0!</v>
      </c>
      <c r="Q52" s="138"/>
      <c r="R52" s="138"/>
      <c r="S52" s="139"/>
      <c r="T52" s="136">
        <v>0</v>
      </c>
      <c r="U52" s="136"/>
      <c r="V52" s="136"/>
      <c r="W52" s="136"/>
      <c r="X52" s="136"/>
      <c r="Y52" s="136">
        <v>0</v>
      </c>
      <c r="Z52" s="136"/>
      <c r="AA52" s="136"/>
      <c r="AB52" s="136"/>
      <c r="AC52" s="136"/>
      <c r="AD52" s="136">
        <v>0</v>
      </c>
      <c r="AE52" s="136"/>
      <c r="AF52" s="136"/>
      <c r="AG52" s="136"/>
      <c r="AH52" s="143"/>
      <c r="AI52" s="143"/>
      <c r="AJ52" s="143"/>
      <c r="AK52" s="143"/>
      <c r="AL52" s="143"/>
      <c r="AM52" s="130"/>
      <c r="AN52" s="130"/>
      <c r="AO52" s="130"/>
      <c r="AP52" s="130"/>
      <c r="AQ52" s="130"/>
      <c r="AR52" s="136"/>
      <c r="AS52" s="136"/>
      <c r="AT52" s="136"/>
      <c r="AU52" s="136"/>
    </row>
    <row r="53" spans="2:48" ht="18" customHeight="1">
      <c r="B53" s="135" t="s">
        <v>30</v>
      </c>
      <c r="C53" s="135"/>
      <c r="D53" s="135"/>
      <c r="E53" s="135"/>
      <c r="F53" s="136">
        <f t="shared" si="0"/>
        <v>50</v>
      </c>
      <c r="G53" s="136"/>
      <c r="H53" s="136"/>
      <c r="I53" s="136"/>
      <c r="J53" s="136"/>
      <c r="K53" s="136">
        <v>50</v>
      </c>
      <c r="L53" s="136"/>
      <c r="M53" s="136"/>
      <c r="N53" s="136"/>
      <c r="O53" s="136"/>
      <c r="P53" s="137">
        <v>100</v>
      </c>
      <c r="Q53" s="138"/>
      <c r="R53" s="138"/>
      <c r="S53" s="139"/>
      <c r="T53" s="136">
        <v>0</v>
      </c>
      <c r="U53" s="136"/>
      <c r="V53" s="136"/>
      <c r="W53" s="136"/>
      <c r="X53" s="136"/>
      <c r="Y53" s="136">
        <v>0</v>
      </c>
      <c r="Z53" s="136"/>
      <c r="AA53" s="136"/>
      <c r="AB53" s="136"/>
      <c r="AC53" s="136"/>
      <c r="AD53" s="136">
        <v>0</v>
      </c>
      <c r="AE53" s="136"/>
      <c r="AF53" s="136"/>
      <c r="AG53" s="136"/>
      <c r="AH53" s="130" t="s">
        <v>50</v>
      </c>
      <c r="AI53" s="130"/>
      <c r="AJ53" s="130"/>
      <c r="AK53" s="130"/>
      <c r="AL53" s="130"/>
      <c r="AM53" s="130">
        <v>2</v>
      </c>
      <c r="AN53" s="130"/>
      <c r="AO53" s="130"/>
      <c r="AP53" s="130"/>
      <c r="AQ53" s="130"/>
      <c r="AR53" s="141">
        <v>1</v>
      </c>
      <c r="AS53" s="141"/>
      <c r="AT53" s="141"/>
      <c r="AU53" s="141"/>
    </row>
    <row r="54" spans="2:48">
      <c r="B54" s="1" t="s">
        <v>46</v>
      </c>
    </row>
    <row r="55" spans="2:48"/>
    <row r="56" spans="2:48"/>
    <row r="57" spans="2:48">
      <c r="B57" s="2" t="s">
        <v>47</v>
      </c>
    </row>
    <row r="58" spans="2:48">
      <c r="B58" s="142" t="s">
        <v>48</v>
      </c>
      <c r="C58" s="142"/>
      <c r="D58" s="142"/>
      <c r="E58" s="142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142"/>
      <c r="V58" s="142"/>
      <c r="W58" s="142"/>
      <c r="X58" s="142"/>
      <c r="Y58" s="142"/>
      <c r="Z58" s="142"/>
      <c r="AA58" s="142"/>
      <c r="AB58" s="142"/>
      <c r="AC58" s="142"/>
      <c r="AD58" s="142"/>
      <c r="AE58" s="142"/>
      <c r="AF58" s="142"/>
      <c r="AG58" s="142"/>
      <c r="AH58" s="142"/>
      <c r="AI58" s="142"/>
      <c r="AJ58" s="142"/>
      <c r="AK58" s="142"/>
      <c r="AL58" s="142"/>
      <c r="AM58" s="142"/>
      <c r="AN58" s="142"/>
      <c r="AO58" s="142"/>
      <c r="AP58" s="142"/>
      <c r="AQ58" s="142"/>
      <c r="AR58" s="142"/>
      <c r="AS58" s="142"/>
      <c r="AT58" s="142"/>
      <c r="AU58" s="142"/>
      <c r="AV58" s="142"/>
    </row>
    <row r="59" spans="2:48">
      <c r="B59" s="142"/>
      <c r="C59" s="142"/>
      <c r="D59" s="142"/>
      <c r="E59" s="142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</row>
    <row r="60" spans="2:48"/>
    <row r="61" spans="2:48"/>
    <row r="62" spans="2:48"/>
    <row r="63" spans="2:48"/>
    <row r="64" spans="2:48"/>
    <row r="65" spans="2:48"/>
    <row r="66" spans="2:48"/>
    <row r="67" spans="2:48"/>
    <row r="68" spans="2:48"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</row>
    <row r="69" spans="2:48"/>
    <row r="70" spans="2:48"/>
    <row r="71" spans="2:48"/>
    <row r="72" spans="2:48"/>
    <row r="73" spans="2:48"/>
    <row r="74" spans="2:48"/>
    <row r="75" spans="2:48"/>
    <row r="76" spans="2:48"/>
    <row r="77" spans="2:48"/>
    <row r="78" spans="2:48"/>
    <row r="79" spans="2:48" ht="10.15" customHeight="1">
      <c r="B79" s="142" t="s">
        <v>49</v>
      </c>
      <c r="C79" s="142"/>
      <c r="D79" s="142"/>
      <c r="E79" s="142"/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142"/>
      <c r="S79" s="142"/>
      <c r="T79" s="142"/>
      <c r="U79" s="142"/>
      <c r="V79" s="142"/>
      <c r="W79" s="142"/>
      <c r="X79" s="142"/>
      <c r="Y79" s="142"/>
      <c r="Z79" s="142"/>
      <c r="AA79" s="142"/>
      <c r="AB79" s="142"/>
      <c r="AC79" s="142"/>
      <c r="AD79" s="142"/>
      <c r="AE79" s="142"/>
      <c r="AF79" s="142"/>
      <c r="AG79" s="142"/>
      <c r="AH79" s="142"/>
      <c r="AI79" s="142"/>
      <c r="AJ79" s="142"/>
      <c r="AK79" s="142"/>
      <c r="AL79" s="142"/>
      <c r="AM79" s="142"/>
      <c r="AN79" s="142"/>
      <c r="AO79" s="142"/>
      <c r="AP79" s="142"/>
      <c r="AQ79" s="142"/>
      <c r="AR79" s="142"/>
      <c r="AS79" s="142"/>
      <c r="AT79" s="142"/>
      <c r="AU79" s="142"/>
      <c r="AV79" s="142"/>
    </row>
    <row r="80" spans="2:48">
      <c r="B80" s="142"/>
      <c r="C80" s="142"/>
      <c r="D80" s="142"/>
      <c r="E80" s="142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42"/>
      <c r="R80" s="142"/>
      <c r="S80" s="142"/>
      <c r="T80" s="142"/>
      <c r="U80" s="142"/>
      <c r="V80" s="142"/>
      <c r="W80" s="142"/>
      <c r="X80" s="142"/>
      <c r="Y80" s="142"/>
      <c r="Z80" s="142"/>
      <c r="AA80" s="142"/>
      <c r="AB80" s="142"/>
      <c r="AC80" s="142"/>
      <c r="AD80" s="142"/>
      <c r="AE80" s="142"/>
      <c r="AF80" s="142"/>
      <c r="AG80" s="142"/>
      <c r="AH80" s="142"/>
      <c r="AI80" s="142"/>
      <c r="AJ80" s="142"/>
      <c r="AK80" s="142"/>
      <c r="AL80" s="142"/>
      <c r="AM80" s="142"/>
      <c r="AN80" s="142"/>
      <c r="AO80" s="142"/>
      <c r="AP80" s="142"/>
      <c r="AQ80" s="142"/>
      <c r="AR80" s="142"/>
      <c r="AS80" s="142"/>
      <c r="AT80" s="142"/>
      <c r="AU80" s="142"/>
      <c r="AV80" s="142"/>
    </row>
    <row r="81" spans="2:47"/>
    <row r="82" spans="2:47" ht="14.85" customHeight="1">
      <c r="B82" s="131" t="s">
        <v>72</v>
      </c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 t="s">
        <v>44</v>
      </c>
      <c r="AC82" s="131"/>
      <c r="AD82" s="131"/>
      <c r="AE82" s="131"/>
      <c r="AF82" s="131"/>
      <c r="AG82" s="131"/>
      <c r="AH82" s="131"/>
      <c r="AI82" s="131"/>
      <c r="AJ82" s="131"/>
      <c r="AK82" s="131"/>
      <c r="AL82" s="140" t="s">
        <v>17</v>
      </c>
      <c r="AM82" s="140"/>
      <c r="AN82" s="140"/>
      <c r="AO82" s="140"/>
      <c r="AP82" s="140"/>
      <c r="AQ82" s="140"/>
      <c r="AR82" s="140"/>
      <c r="AS82" s="140"/>
      <c r="AT82" s="140"/>
      <c r="AU82" s="140"/>
    </row>
    <row r="83" spans="2:47"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 t="s">
        <v>42</v>
      </c>
      <c r="AC83" s="131"/>
      <c r="AD83" s="131"/>
      <c r="AE83" s="131"/>
      <c r="AF83" s="131"/>
      <c r="AG83" s="131" t="s">
        <v>43</v>
      </c>
      <c r="AH83" s="131"/>
      <c r="AI83" s="131"/>
      <c r="AJ83" s="131"/>
      <c r="AK83" s="131"/>
      <c r="AL83" s="131" t="s">
        <v>42</v>
      </c>
      <c r="AM83" s="131"/>
      <c r="AN83" s="131"/>
      <c r="AO83" s="131"/>
      <c r="AP83" s="131"/>
      <c r="AQ83" s="131"/>
      <c r="AR83" s="131"/>
      <c r="AS83" s="131"/>
      <c r="AT83" s="131"/>
      <c r="AU83" s="131"/>
    </row>
    <row r="84" spans="2:47" ht="16.899999999999999" customHeight="1">
      <c r="B84" s="127"/>
      <c r="C84" s="128"/>
      <c r="D84" s="128"/>
      <c r="E84" s="128"/>
      <c r="F84" s="128"/>
      <c r="G84" s="129"/>
      <c r="H84" s="127"/>
      <c r="I84" s="128"/>
      <c r="J84" s="128"/>
      <c r="K84" s="128"/>
      <c r="L84" s="128"/>
      <c r="M84" s="128"/>
      <c r="N84" s="128"/>
      <c r="O84" s="128"/>
      <c r="P84" s="128"/>
      <c r="Q84" s="128"/>
      <c r="R84" s="128"/>
      <c r="S84" s="128"/>
      <c r="T84" s="128"/>
      <c r="U84" s="128"/>
      <c r="V84" s="128"/>
      <c r="W84" s="128"/>
      <c r="X84" s="128"/>
      <c r="Y84" s="128"/>
      <c r="Z84" s="128"/>
      <c r="AA84" s="129"/>
      <c r="AB84" s="131"/>
      <c r="AC84" s="131"/>
      <c r="AD84" s="131"/>
      <c r="AE84" s="131"/>
      <c r="AF84" s="131"/>
      <c r="AG84" s="130">
        <v>0</v>
      </c>
      <c r="AH84" s="130"/>
      <c r="AI84" s="130"/>
      <c r="AJ84" s="130"/>
      <c r="AK84" s="130"/>
      <c r="AL84" s="131"/>
      <c r="AM84" s="131"/>
      <c r="AN84" s="131"/>
      <c r="AO84" s="131"/>
      <c r="AP84" s="131"/>
      <c r="AQ84" s="130">
        <v>0</v>
      </c>
      <c r="AR84" s="130"/>
      <c r="AS84" s="130"/>
      <c r="AT84" s="130"/>
      <c r="AU84" s="130"/>
    </row>
    <row r="85" spans="2:47" ht="17.25" customHeight="1">
      <c r="B85" s="127"/>
      <c r="C85" s="128"/>
      <c r="D85" s="128"/>
      <c r="E85" s="128"/>
      <c r="F85" s="128"/>
      <c r="G85" s="129"/>
      <c r="H85" s="132" t="s">
        <v>361</v>
      </c>
      <c r="I85" s="133"/>
      <c r="J85" s="133"/>
      <c r="K85" s="133"/>
      <c r="L85" s="133"/>
      <c r="M85" s="133"/>
      <c r="N85" s="133"/>
      <c r="O85" s="133"/>
      <c r="P85" s="133"/>
      <c r="Q85" s="133"/>
      <c r="R85" s="133"/>
      <c r="S85" s="133"/>
      <c r="T85" s="133"/>
      <c r="U85" s="133"/>
      <c r="V85" s="133"/>
      <c r="W85" s="133"/>
      <c r="X85" s="133"/>
      <c r="Y85" s="133"/>
      <c r="Z85" s="133"/>
      <c r="AA85" s="134"/>
      <c r="AB85" s="131">
        <v>2</v>
      </c>
      <c r="AC85" s="131"/>
      <c r="AD85" s="131"/>
      <c r="AE85" s="131"/>
      <c r="AF85" s="131"/>
      <c r="AG85" s="130">
        <v>100</v>
      </c>
      <c r="AH85" s="130"/>
      <c r="AI85" s="130"/>
      <c r="AJ85" s="130"/>
      <c r="AK85" s="130"/>
      <c r="AL85" s="131"/>
      <c r="AM85" s="131"/>
      <c r="AN85" s="131"/>
      <c r="AO85" s="131"/>
      <c r="AP85" s="131"/>
      <c r="AQ85" s="130">
        <v>0</v>
      </c>
      <c r="AR85" s="130"/>
      <c r="AS85" s="130"/>
      <c r="AT85" s="130"/>
      <c r="AU85" s="130"/>
    </row>
    <row r="86" spans="2:47" ht="16.899999999999999" customHeight="1">
      <c r="B86" s="127"/>
      <c r="C86" s="128"/>
      <c r="D86" s="128"/>
      <c r="E86" s="128"/>
      <c r="F86" s="128"/>
      <c r="G86" s="129"/>
      <c r="H86" s="127"/>
      <c r="I86" s="128"/>
      <c r="J86" s="128"/>
      <c r="K86" s="128"/>
      <c r="L86" s="128"/>
      <c r="M86" s="128"/>
      <c r="N86" s="128"/>
      <c r="O86" s="128"/>
      <c r="P86" s="128"/>
      <c r="Q86" s="128"/>
      <c r="R86" s="128"/>
      <c r="S86" s="128"/>
      <c r="T86" s="128"/>
      <c r="U86" s="128"/>
      <c r="V86" s="128"/>
      <c r="W86" s="128"/>
      <c r="X86" s="128"/>
      <c r="Y86" s="128"/>
      <c r="Z86" s="128"/>
      <c r="AA86" s="129"/>
      <c r="AB86" s="131"/>
      <c r="AC86" s="131"/>
      <c r="AD86" s="131"/>
      <c r="AE86" s="131"/>
      <c r="AF86" s="131"/>
      <c r="AG86" s="130">
        <v>0</v>
      </c>
      <c r="AH86" s="130"/>
      <c r="AI86" s="130"/>
      <c r="AJ86" s="130"/>
      <c r="AK86" s="130"/>
      <c r="AL86" s="131"/>
      <c r="AM86" s="131"/>
      <c r="AN86" s="131"/>
      <c r="AO86" s="131"/>
      <c r="AP86" s="131"/>
      <c r="AQ86" s="130">
        <v>0</v>
      </c>
      <c r="AR86" s="130"/>
      <c r="AS86" s="130"/>
      <c r="AT86" s="130"/>
      <c r="AU86" s="130"/>
    </row>
    <row r="87" spans="2:47" ht="16.899999999999999" customHeight="1">
      <c r="B87" s="127"/>
      <c r="C87" s="128"/>
      <c r="D87" s="128"/>
      <c r="E87" s="128"/>
      <c r="F87" s="128"/>
      <c r="G87" s="129"/>
      <c r="H87" s="127"/>
      <c r="I87" s="128"/>
      <c r="J87" s="128"/>
      <c r="K87" s="128"/>
      <c r="L87" s="128"/>
      <c r="M87" s="128"/>
      <c r="N87" s="128"/>
      <c r="O87" s="128"/>
      <c r="P87" s="128"/>
      <c r="Q87" s="128"/>
      <c r="R87" s="128"/>
      <c r="S87" s="128"/>
      <c r="T87" s="128"/>
      <c r="U87" s="128"/>
      <c r="V87" s="128"/>
      <c r="W87" s="128"/>
      <c r="X87" s="128"/>
      <c r="Y87" s="128"/>
      <c r="Z87" s="128"/>
      <c r="AA87" s="129"/>
      <c r="AB87" s="131"/>
      <c r="AC87" s="131"/>
      <c r="AD87" s="131"/>
      <c r="AE87" s="131"/>
      <c r="AF87" s="131"/>
      <c r="AG87" s="130">
        <v>0</v>
      </c>
      <c r="AH87" s="130"/>
      <c r="AI87" s="130"/>
      <c r="AJ87" s="130"/>
      <c r="AK87" s="130"/>
      <c r="AL87" s="131"/>
      <c r="AM87" s="131"/>
      <c r="AN87" s="131"/>
      <c r="AO87" s="131"/>
      <c r="AP87" s="131"/>
      <c r="AQ87" s="130">
        <v>0</v>
      </c>
      <c r="AR87" s="130"/>
      <c r="AS87" s="130"/>
      <c r="AT87" s="130"/>
      <c r="AU87" s="130"/>
    </row>
    <row r="88" spans="2:47" ht="16.899999999999999" customHeight="1">
      <c r="B88" s="127"/>
      <c r="C88" s="128"/>
      <c r="D88" s="128"/>
      <c r="E88" s="128"/>
      <c r="F88" s="128"/>
      <c r="G88" s="128"/>
      <c r="H88" s="128"/>
      <c r="I88" s="128"/>
      <c r="J88" s="128"/>
      <c r="K88" s="128"/>
      <c r="L88" s="128"/>
      <c r="M88" s="128"/>
      <c r="N88" s="128"/>
      <c r="O88" s="128"/>
      <c r="P88" s="128"/>
      <c r="Q88" s="128"/>
      <c r="R88" s="128"/>
      <c r="S88" s="128"/>
      <c r="T88" s="128"/>
      <c r="U88" s="128"/>
      <c r="V88" s="128"/>
      <c r="W88" s="128"/>
      <c r="X88" s="128"/>
      <c r="Y88" s="128"/>
      <c r="Z88" s="128"/>
      <c r="AA88" s="129"/>
      <c r="AB88" s="130">
        <v>2</v>
      </c>
      <c r="AC88" s="130"/>
      <c r="AD88" s="130"/>
      <c r="AE88" s="130"/>
      <c r="AF88" s="130"/>
      <c r="AG88" s="130">
        <v>100</v>
      </c>
      <c r="AH88" s="130"/>
      <c r="AI88" s="130"/>
      <c r="AJ88" s="130"/>
      <c r="AK88" s="130"/>
      <c r="AL88" s="130">
        <v>0</v>
      </c>
      <c r="AM88" s="130"/>
      <c r="AN88" s="130"/>
      <c r="AO88" s="130"/>
      <c r="AP88" s="130"/>
      <c r="AQ88" s="130">
        <v>0</v>
      </c>
      <c r="AR88" s="130"/>
      <c r="AS88" s="130"/>
      <c r="AT88" s="130"/>
      <c r="AU88" s="130"/>
    </row>
    <row r="89" spans="2:47" ht="5.85" customHeight="1"/>
    <row r="90" spans="2:47">
      <c r="B90" s="2" t="s">
        <v>51</v>
      </c>
    </row>
    <row r="91" spans="2:47" ht="5.85" customHeight="1"/>
    <row r="92" spans="2:47">
      <c r="B92" s="1" t="s">
        <v>56</v>
      </c>
      <c r="O92" s="4"/>
      <c r="P92" s="123" t="s">
        <v>334</v>
      </c>
      <c r="Q92" s="123"/>
      <c r="R92" s="123"/>
      <c r="S92" s="123"/>
      <c r="T92" s="123"/>
      <c r="U92" s="123"/>
      <c r="V92" s="123"/>
      <c r="W92" s="123"/>
      <c r="X92" s="123"/>
      <c r="Y92" s="123"/>
      <c r="Z92" s="123"/>
      <c r="AA92" s="123"/>
      <c r="AB92" s="123"/>
      <c r="AC92" s="123"/>
      <c r="AD92" s="123"/>
      <c r="AE92" s="123"/>
      <c r="AF92" s="123"/>
      <c r="AG92" s="123"/>
      <c r="AH92" s="123"/>
      <c r="AI92" s="123"/>
      <c r="AJ92" s="123"/>
      <c r="AK92" s="123"/>
      <c r="AL92" s="123"/>
      <c r="AM92" s="123"/>
      <c r="AN92" s="123"/>
      <c r="AO92" s="123"/>
      <c r="AP92" s="123"/>
      <c r="AQ92" s="123"/>
      <c r="AR92" s="123"/>
      <c r="AS92" s="123"/>
      <c r="AT92" s="123"/>
      <c r="AU92" s="123"/>
    </row>
    <row r="93" spans="2:47" ht="16.899999999999999" customHeight="1">
      <c r="B93" s="123"/>
      <c r="C93" s="123"/>
      <c r="D93" s="123"/>
      <c r="E93" s="123"/>
      <c r="F93" s="123"/>
      <c r="G93" s="123"/>
      <c r="H93" s="123"/>
      <c r="I93" s="123"/>
      <c r="J93" s="123"/>
      <c r="K93" s="123"/>
      <c r="L93" s="123"/>
      <c r="M93" s="123"/>
      <c r="N93" s="123"/>
      <c r="O93" s="123"/>
      <c r="P93" s="123"/>
      <c r="Q93" s="123"/>
      <c r="R93" s="123"/>
      <c r="S93" s="123"/>
      <c r="T93" s="123"/>
      <c r="U93" s="123"/>
      <c r="V93" s="123"/>
      <c r="W93" s="123"/>
      <c r="X93" s="123"/>
      <c r="Y93" s="123"/>
      <c r="Z93" s="123"/>
      <c r="AA93" s="123"/>
      <c r="AB93" s="123"/>
      <c r="AC93" s="123"/>
      <c r="AD93" s="123"/>
      <c r="AE93" s="123"/>
      <c r="AF93" s="123"/>
      <c r="AG93" s="123"/>
      <c r="AH93" s="123"/>
      <c r="AI93" s="123"/>
      <c r="AJ93" s="123"/>
      <c r="AK93" s="123"/>
      <c r="AL93" s="123"/>
      <c r="AM93" s="123"/>
      <c r="AN93" s="123"/>
      <c r="AO93" s="123"/>
      <c r="AP93" s="123"/>
      <c r="AQ93" s="123"/>
      <c r="AR93" s="123"/>
      <c r="AS93" s="123"/>
      <c r="AT93" s="123"/>
      <c r="AU93" s="123"/>
    </row>
    <row r="94" spans="2:47" ht="16.899999999999999" customHeight="1">
      <c r="B94" s="123"/>
      <c r="C94" s="123"/>
      <c r="D94" s="123"/>
      <c r="E94" s="123"/>
      <c r="F94" s="123"/>
      <c r="G94" s="123"/>
      <c r="H94" s="123"/>
      <c r="I94" s="123"/>
      <c r="J94" s="123"/>
      <c r="K94" s="123"/>
      <c r="L94" s="123"/>
      <c r="M94" s="123"/>
      <c r="N94" s="123"/>
      <c r="O94" s="123"/>
      <c r="P94" s="123"/>
      <c r="Q94" s="123"/>
      <c r="R94" s="123"/>
      <c r="S94" s="123"/>
      <c r="T94" s="123"/>
      <c r="U94" s="123"/>
      <c r="V94" s="123"/>
      <c r="W94" s="123"/>
      <c r="X94" s="123"/>
      <c r="Y94" s="123"/>
      <c r="Z94" s="123"/>
      <c r="AA94" s="123"/>
      <c r="AB94" s="123"/>
      <c r="AC94" s="123"/>
      <c r="AD94" s="123"/>
      <c r="AE94" s="123"/>
      <c r="AF94" s="123"/>
      <c r="AG94" s="123"/>
      <c r="AH94" s="123"/>
      <c r="AI94" s="123"/>
      <c r="AJ94" s="123"/>
      <c r="AK94" s="123"/>
      <c r="AL94" s="123"/>
      <c r="AM94" s="123"/>
      <c r="AN94" s="123"/>
      <c r="AO94" s="123"/>
      <c r="AP94" s="123"/>
      <c r="AQ94" s="123"/>
      <c r="AR94" s="123"/>
      <c r="AS94" s="123"/>
      <c r="AT94" s="123"/>
      <c r="AU94" s="123"/>
    </row>
    <row r="95" spans="2:47" ht="5.85" customHeight="1"/>
    <row r="96" spans="2:47">
      <c r="B96" s="1" t="s">
        <v>57</v>
      </c>
      <c r="K96" s="4"/>
      <c r="L96" s="123" t="s">
        <v>335</v>
      </c>
      <c r="M96" s="123"/>
      <c r="N96" s="123"/>
      <c r="O96" s="123"/>
      <c r="P96" s="123"/>
      <c r="Q96" s="123"/>
      <c r="R96" s="123"/>
      <c r="S96" s="123"/>
      <c r="T96" s="123"/>
      <c r="U96" s="123"/>
      <c r="V96" s="123"/>
      <c r="W96" s="123"/>
      <c r="X96" s="123"/>
      <c r="Y96" s="123"/>
      <c r="Z96" s="123"/>
      <c r="AA96" s="123"/>
      <c r="AB96" s="123"/>
      <c r="AC96" s="123"/>
      <c r="AD96" s="123"/>
      <c r="AE96" s="123"/>
      <c r="AF96" s="123"/>
      <c r="AG96" s="123"/>
      <c r="AH96" s="123"/>
      <c r="AI96" s="123"/>
      <c r="AJ96" s="123"/>
      <c r="AK96" s="123"/>
      <c r="AL96" s="123"/>
      <c r="AM96" s="123"/>
      <c r="AN96" s="123"/>
      <c r="AO96" s="123"/>
      <c r="AP96" s="123"/>
      <c r="AQ96" s="123"/>
      <c r="AR96" s="123"/>
      <c r="AS96" s="123"/>
      <c r="AT96" s="123"/>
      <c r="AU96" s="123"/>
    </row>
    <row r="97" spans="2:47" ht="16.899999999999999" customHeight="1">
      <c r="B97" s="123"/>
      <c r="C97" s="123"/>
      <c r="D97" s="123"/>
      <c r="E97" s="123"/>
      <c r="F97" s="123"/>
      <c r="G97" s="123"/>
      <c r="H97" s="123"/>
      <c r="I97" s="123"/>
      <c r="J97" s="123"/>
      <c r="K97" s="123"/>
      <c r="L97" s="123"/>
      <c r="M97" s="123"/>
      <c r="N97" s="123"/>
      <c r="O97" s="123"/>
      <c r="P97" s="123"/>
      <c r="Q97" s="123"/>
      <c r="R97" s="123"/>
      <c r="S97" s="123"/>
      <c r="T97" s="123"/>
      <c r="U97" s="123"/>
      <c r="V97" s="123"/>
      <c r="W97" s="123"/>
      <c r="X97" s="123"/>
      <c r="Y97" s="123"/>
      <c r="Z97" s="123"/>
      <c r="AA97" s="123"/>
      <c r="AB97" s="123"/>
      <c r="AC97" s="123"/>
      <c r="AD97" s="123"/>
      <c r="AE97" s="123"/>
      <c r="AF97" s="123"/>
      <c r="AG97" s="123"/>
      <c r="AH97" s="123"/>
      <c r="AI97" s="123"/>
      <c r="AJ97" s="123"/>
      <c r="AK97" s="123"/>
      <c r="AL97" s="123"/>
      <c r="AM97" s="123"/>
      <c r="AN97" s="123"/>
      <c r="AO97" s="123"/>
      <c r="AP97" s="123"/>
      <c r="AQ97" s="123"/>
      <c r="AR97" s="123"/>
      <c r="AS97" s="123"/>
      <c r="AT97" s="123"/>
      <c r="AU97" s="123"/>
    </row>
    <row r="98" spans="2:47" ht="16.899999999999999" customHeight="1">
      <c r="B98" s="123"/>
      <c r="C98" s="123"/>
      <c r="D98" s="123"/>
      <c r="E98" s="123"/>
      <c r="F98" s="123"/>
      <c r="G98" s="123"/>
      <c r="H98" s="123"/>
      <c r="I98" s="123"/>
      <c r="J98" s="123"/>
      <c r="K98" s="123"/>
      <c r="L98" s="123"/>
      <c r="M98" s="123"/>
      <c r="N98" s="123"/>
      <c r="O98" s="123"/>
      <c r="P98" s="123"/>
      <c r="Q98" s="123"/>
      <c r="R98" s="123"/>
      <c r="S98" s="123"/>
      <c r="T98" s="123"/>
      <c r="U98" s="123"/>
      <c r="V98" s="123"/>
      <c r="W98" s="123"/>
      <c r="X98" s="123"/>
      <c r="Y98" s="123"/>
      <c r="Z98" s="123"/>
      <c r="AA98" s="123"/>
      <c r="AB98" s="123"/>
      <c r="AC98" s="123"/>
      <c r="AD98" s="123"/>
      <c r="AE98" s="123"/>
      <c r="AF98" s="123"/>
      <c r="AG98" s="123"/>
      <c r="AH98" s="123"/>
      <c r="AI98" s="123"/>
      <c r="AJ98" s="123"/>
      <c r="AK98" s="123"/>
      <c r="AL98" s="123"/>
      <c r="AM98" s="123"/>
      <c r="AN98" s="123"/>
      <c r="AO98" s="123"/>
      <c r="AP98" s="123"/>
      <c r="AQ98" s="123"/>
      <c r="AR98" s="123"/>
      <c r="AS98" s="123"/>
      <c r="AT98" s="123"/>
      <c r="AU98" s="123"/>
    </row>
    <row r="99" spans="2:47" ht="5.85" customHeight="1"/>
    <row r="100" spans="2:47">
      <c r="B100" s="126" t="s">
        <v>58</v>
      </c>
      <c r="C100" s="126"/>
      <c r="D100" s="126"/>
      <c r="E100" s="126"/>
      <c r="F100" s="126"/>
      <c r="G100" s="126"/>
      <c r="H100" s="126"/>
      <c r="I100" s="126"/>
      <c r="J100" s="126"/>
      <c r="K100" s="126"/>
      <c r="L100" s="126"/>
      <c r="M100" s="126"/>
      <c r="N100" s="126"/>
      <c r="O100" s="123" t="s">
        <v>366</v>
      </c>
      <c r="P100" s="123"/>
      <c r="Q100" s="123"/>
      <c r="R100" s="123"/>
      <c r="S100" s="123"/>
      <c r="T100" s="123"/>
      <c r="U100" s="123"/>
      <c r="V100" s="123"/>
      <c r="W100" s="123"/>
      <c r="X100" s="123"/>
      <c r="Y100" s="123"/>
      <c r="Z100" s="123"/>
      <c r="AA100" s="123"/>
      <c r="AB100" s="123"/>
      <c r="AC100" s="123"/>
      <c r="AD100" s="123"/>
      <c r="AE100" s="123"/>
      <c r="AF100" s="123"/>
      <c r="AG100" s="123"/>
      <c r="AH100" s="123"/>
      <c r="AI100" s="123"/>
      <c r="AJ100" s="123"/>
      <c r="AK100" s="123"/>
      <c r="AL100" s="123"/>
      <c r="AM100" s="123"/>
      <c r="AN100" s="123"/>
      <c r="AO100" s="123"/>
      <c r="AP100" s="123"/>
      <c r="AQ100" s="123"/>
      <c r="AR100" s="123"/>
      <c r="AS100" s="123"/>
      <c r="AT100" s="123"/>
      <c r="AU100" s="123"/>
    </row>
    <row r="101" spans="2:47" ht="16.899999999999999" customHeight="1">
      <c r="B101" s="123"/>
      <c r="C101" s="123"/>
      <c r="D101" s="123"/>
      <c r="E101" s="123"/>
      <c r="F101" s="123"/>
      <c r="G101" s="123"/>
      <c r="H101" s="123"/>
      <c r="I101" s="123"/>
      <c r="J101" s="123"/>
      <c r="K101" s="123"/>
      <c r="L101" s="123"/>
      <c r="M101" s="123"/>
      <c r="N101" s="123"/>
      <c r="O101" s="123"/>
      <c r="P101" s="123"/>
      <c r="Q101" s="123"/>
      <c r="R101" s="123"/>
      <c r="S101" s="123"/>
      <c r="T101" s="123"/>
      <c r="U101" s="123"/>
      <c r="V101" s="123"/>
      <c r="W101" s="123"/>
      <c r="X101" s="123"/>
      <c r="Y101" s="123"/>
      <c r="Z101" s="123"/>
      <c r="AA101" s="123"/>
      <c r="AB101" s="123"/>
      <c r="AC101" s="123"/>
      <c r="AD101" s="123"/>
      <c r="AE101" s="123"/>
      <c r="AF101" s="123"/>
      <c r="AG101" s="123"/>
      <c r="AH101" s="123"/>
      <c r="AI101" s="123"/>
      <c r="AJ101" s="123"/>
      <c r="AK101" s="123"/>
      <c r="AL101" s="123"/>
      <c r="AM101" s="123"/>
      <c r="AN101" s="123"/>
      <c r="AO101" s="123"/>
      <c r="AP101" s="123"/>
      <c r="AQ101" s="123"/>
      <c r="AR101" s="123"/>
      <c r="AS101" s="123"/>
      <c r="AT101" s="123"/>
      <c r="AU101" s="123"/>
    </row>
    <row r="102" spans="2:47" ht="16.899999999999999" customHeight="1">
      <c r="B102" s="123"/>
      <c r="C102" s="123"/>
      <c r="D102" s="123"/>
      <c r="E102" s="123"/>
      <c r="F102" s="123"/>
      <c r="G102" s="123"/>
      <c r="H102" s="123"/>
      <c r="I102" s="123"/>
      <c r="J102" s="123"/>
      <c r="K102" s="123"/>
      <c r="L102" s="123"/>
      <c r="M102" s="123"/>
      <c r="N102" s="123"/>
      <c r="O102" s="123"/>
      <c r="P102" s="123"/>
      <c r="Q102" s="123"/>
      <c r="R102" s="123"/>
      <c r="S102" s="123"/>
      <c r="T102" s="123"/>
      <c r="U102" s="123"/>
      <c r="V102" s="123"/>
      <c r="W102" s="123"/>
      <c r="X102" s="123"/>
      <c r="Y102" s="123"/>
      <c r="Z102" s="123"/>
      <c r="AA102" s="123"/>
      <c r="AB102" s="123"/>
      <c r="AC102" s="123"/>
      <c r="AD102" s="123"/>
      <c r="AE102" s="123"/>
      <c r="AF102" s="123"/>
      <c r="AG102" s="123"/>
      <c r="AH102" s="123"/>
      <c r="AI102" s="123"/>
      <c r="AJ102" s="123"/>
      <c r="AK102" s="123"/>
      <c r="AL102" s="123"/>
      <c r="AM102" s="123"/>
      <c r="AN102" s="123"/>
      <c r="AO102" s="123"/>
      <c r="AP102" s="123"/>
      <c r="AQ102" s="123"/>
      <c r="AR102" s="123"/>
      <c r="AS102" s="123"/>
      <c r="AT102" s="123"/>
      <c r="AU102" s="123"/>
    </row>
    <row r="103" spans="2:47" ht="5.85" customHeight="1"/>
    <row r="104" spans="2:47">
      <c r="B104" s="2" t="s">
        <v>52</v>
      </c>
    </row>
    <row r="105" spans="2:47" ht="16.899999999999999" customHeight="1">
      <c r="B105" s="123" t="s">
        <v>343</v>
      </c>
      <c r="C105" s="123"/>
      <c r="D105" s="123"/>
      <c r="E105" s="123"/>
      <c r="F105" s="123"/>
      <c r="G105" s="123"/>
      <c r="H105" s="123"/>
      <c r="I105" s="123"/>
      <c r="J105" s="123"/>
      <c r="K105" s="123"/>
      <c r="L105" s="123"/>
      <c r="M105" s="123"/>
      <c r="N105" s="123"/>
      <c r="O105" s="123"/>
      <c r="P105" s="123"/>
      <c r="Q105" s="123"/>
      <c r="R105" s="123"/>
      <c r="S105" s="123"/>
      <c r="T105" s="123"/>
      <c r="U105" s="123"/>
      <c r="V105" s="123"/>
      <c r="W105" s="123"/>
      <c r="X105" s="123"/>
      <c r="Y105" s="123"/>
      <c r="Z105" s="123"/>
      <c r="AA105" s="123"/>
      <c r="AB105" s="123"/>
      <c r="AC105" s="123"/>
      <c r="AD105" s="123"/>
      <c r="AE105" s="123"/>
      <c r="AF105" s="123"/>
      <c r="AG105" s="123"/>
      <c r="AH105" s="123"/>
      <c r="AI105" s="123"/>
      <c r="AJ105" s="123"/>
      <c r="AK105" s="123"/>
      <c r="AL105" s="123"/>
      <c r="AM105" s="123"/>
      <c r="AN105" s="123"/>
      <c r="AO105" s="123"/>
      <c r="AP105" s="123"/>
      <c r="AQ105" s="123"/>
      <c r="AR105" s="123"/>
      <c r="AS105" s="123"/>
      <c r="AT105" s="123"/>
      <c r="AU105" s="123"/>
    </row>
    <row r="106" spans="2:47" ht="16.899999999999999" customHeight="1">
      <c r="B106" s="123" t="s">
        <v>333</v>
      </c>
      <c r="C106" s="123"/>
      <c r="D106" s="123"/>
      <c r="E106" s="123"/>
      <c r="F106" s="123"/>
      <c r="G106" s="123"/>
      <c r="H106" s="123"/>
      <c r="I106" s="123"/>
      <c r="J106" s="123"/>
      <c r="K106" s="123"/>
      <c r="L106" s="123"/>
      <c r="M106" s="123"/>
      <c r="N106" s="123"/>
      <c r="O106" s="123"/>
      <c r="P106" s="123"/>
      <c r="Q106" s="123"/>
      <c r="R106" s="123"/>
      <c r="S106" s="123"/>
      <c r="T106" s="123"/>
      <c r="U106" s="123"/>
      <c r="V106" s="123"/>
      <c r="W106" s="123"/>
      <c r="X106" s="123"/>
      <c r="Y106" s="123"/>
      <c r="Z106" s="123"/>
      <c r="AA106" s="123"/>
      <c r="AB106" s="123"/>
      <c r="AC106" s="123"/>
      <c r="AD106" s="123"/>
      <c r="AE106" s="123"/>
      <c r="AF106" s="123"/>
      <c r="AG106" s="123"/>
      <c r="AH106" s="123"/>
      <c r="AI106" s="123"/>
      <c r="AJ106" s="123"/>
      <c r="AK106" s="123"/>
      <c r="AL106" s="123"/>
      <c r="AM106" s="123"/>
      <c r="AN106" s="123"/>
      <c r="AO106" s="123"/>
      <c r="AP106" s="123"/>
      <c r="AQ106" s="123"/>
      <c r="AR106" s="123"/>
      <c r="AS106" s="123"/>
      <c r="AT106" s="123"/>
      <c r="AU106" s="123"/>
    </row>
    <row r="107" spans="2:47" ht="16.899999999999999" customHeight="1">
      <c r="B107" s="123" t="s">
        <v>362</v>
      </c>
      <c r="C107" s="123"/>
      <c r="D107" s="123"/>
      <c r="E107" s="123"/>
      <c r="F107" s="123"/>
      <c r="G107" s="123"/>
      <c r="H107" s="123"/>
      <c r="I107" s="123"/>
      <c r="J107" s="123"/>
      <c r="K107" s="123"/>
      <c r="L107" s="123"/>
      <c r="M107" s="123"/>
      <c r="N107" s="123"/>
      <c r="O107" s="123"/>
      <c r="P107" s="123"/>
      <c r="Q107" s="123"/>
      <c r="R107" s="123"/>
      <c r="S107" s="123"/>
      <c r="T107" s="123"/>
      <c r="U107" s="123"/>
      <c r="V107" s="123"/>
      <c r="W107" s="123"/>
      <c r="X107" s="123"/>
      <c r="Y107" s="123"/>
      <c r="Z107" s="123"/>
      <c r="AA107" s="123"/>
      <c r="AB107" s="123"/>
      <c r="AC107" s="123"/>
      <c r="AD107" s="123"/>
      <c r="AE107" s="123"/>
      <c r="AF107" s="123"/>
      <c r="AG107" s="123"/>
      <c r="AH107" s="123"/>
      <c r="AI107" s="123"/>
      <c r="AJ107" s="123"/>
      <c r="AK107" s="123"/>
      <c r="AL107" s="123"/>
      <c r="AM107" s="123"/>
      <c r="AN107" s="123"/>
      <c r="AO107" s="123"/>
      <c r="AP107" s="123"/>
      <c r="AQ107" s="123"/>
      <c r="AR107" s="123"/>
      <c r="AS107" s="123"/>
      <c r="AT107" s="123"/>
      <c r="AU107" s="123"/>
    </row>
    <row r="108" spans="2:47" ht="16.899999999999999" customHeight="1">
      <c r="B108" s="123" t="s">
        <v>368</v>
      </c>
      <c r="C108" s="123"/>
      <c r="D108" s="123"/>
      <c r="E108" s="123"/>
      <c r="F108" s="123"/>
      <c r="G108" s="123"/>
      <c r="H108" s="123"/>
      <c r="I108" s="123"/>
      <c r="J108" s="123"/>
      <c r="K108" s="123"/>
      <c r="L108" s="123"/>
      <c r="M108" s="123"/>
      <c r="N108" s="123"/>
      <c r="O108" s="123"/>
      <c r="P108" s="123"/>
      <c r="Q108" s="123"/>
      <c r="R108" s="123"/>
      <c r="S108" s="123"/>
      <c r="T108" s="123"/>
      <c r="U108" s="123"/>
      <c r="V108" s="123"/>
      <c r="W108" s="123"/>
      <c r="X108" s="123"/>
      <c r="Y108" s="123"/>
      <c r="Z108" s="123"/>
      <c r="AA108" s="123"/>
      <c r="AB108" s="123"/>
      <c r="AC108" s="123"/>
      <c r="AD108" s="123"/>
      <c r="AE108" s="123"/>
      <c r="AF108" s="123"/>
      <c r="AG108" s="123"/>
      <c r="AH108" s="123"/>
      <c r="AI108" s="123"/>
      <c r="AJ108" s="123"/>
      <c r="AK108" s="123"/>
      <c r="AL108" s="123"/>
      <c r="AM108" s="123"/>
      <c r="AN108" s="123"/>
      <c r="AO108" s="123"/>
      <c r="AP108" s="123"/>
      <c r="AQ108" s="123"/>
      <c r="AR108" s="123"/>
      <c r="AS108" s="123"/>
      <c r="AT108" s="123"/>
      <c r="AU108" s="123"/>
    </row>
    <row r="109" spans="2:47" ht="16.899999999999999" customHeight="1">
      <c r="B109" s="123" t="s">
        <v>327</v>
      </c>
      <c r="C109" s="123"/>
      <c r="D109" s="123"/>
      <c r="E109" s="123"/>
      <c r="F109" s="123"/>
      <c r="G109" s="123"/>
      <c r="H109" s="123"/>
      <c r="I109" s="123"/>
      <c r="J109" s="123"/>
      <c r="K109" s="123"/>
      <c r="L109" s="123"/>
      <c r="M109" s="123"/>
      <c r="N109" s="123"/>
      <c r="O109" s="123"/>
      <c r="P109" s="123"/>
      <c r="Q109" s="123"/>
      <c r="R109" s="123"/>
      <c r="S109" s="123"/>
      <c r="T109" s="123"/>
      <c r="U109" s="123"/>
      <c r="V109" s="123"/>
      <c r="W109" s="123"/>
      <c r="X109" s="123"/>
      <c r="Y109" s="123"/>
      <c r="Z109" s="123"/>
      <c r="AA109" s="123"/>
      <c r="AB109" s="123"/>
      <c r="AC109" s="123"/>
      <c r="AD109" s="123"/>
      <c r="AE109" s="123"/>
      <c r="AF109" s="123"/>
      <c r="AG109" s="123"/>
      <c r="AH109" s="123"/>
      <c r="AI109" s="123"/>
      <c r="AJ109" s="123"/>
      <c r="AK109" s="123"/>
      <c r="AL109" s="123"/>
      <c r="AM109" s="123"/>
      <c r="AN109" s="123"/>
      <c r="AO109" s="123"/>
      <c r="AP109" s="123"/>
      <c r="AQ109" s="123"/>
      <c r="AR109" s="123"/>
      <c r="AS109" s="123"/>
      <c r="AT109" s="123"/>
      <c r="AU109" s="123"/>
    </row>
    <row r="110" spans="2:47"/>
    <row r="111" spans="2:47"/>
    <row r="112" spans="2:47" ht="15" customHeight="1">
      <c r="B112" s="124" t="s">
        <v>346</v>
      </c>
      <c r="C112" s="124"/>
      <c r="D112" s="124"/>
      <c r="E112" s="124"/>
      <c r="F112" s="124"/>
      <c r="G112" s="124"/>
      <c r="H112" s="124"/>
      <c r="I112" s="124"/>
      <c r="J112" s="124"/>
      <c r="K112" s="124"/>
      <c r="L112" s="124"/>
      <c r="M112" s="124"/>
      <c r="N112" s="124"/>
      <c r="O112" s="124"/>
      <c r="Q112" s="4"/>
      <c r="R112" s="124" t="s">
        <v>346</v>
      </c>
      <c r="S112" s="124"/>
      <c r="T112" s="124"/>
      <c r="U112" s="124"/>
      <c r="V112" s="124"/>
      <c r="W112" s="124"/>
      <c r="X112" s="124"/>
      <c r="Y112" s="124"/>
      <c r="Z112" s="124"/>
      <c r="AA112" s="124"/>
      <c r="AB112" s="124"/>
      <c r="AC112" s="124"/>
      <c r="AD112" s="124"/>
      <c r="AE112" s="124"/>
      <c r="AH112" s="124" t="s">
        <v>363</v>
      </c>
      <c r="AI112" s="124"/>
      <c r="AJ112" s="124"/>
      <c r="AK112" s="124"/>
      <c r="AL112" s="124"/>
      <c r="AM112" s="124"/>
      <c r="AN112" s="124"/>
      <c r="AO112" s="124"/>
      <c r="AP112" s="124"/>
      <c r="AQ112" s="124"/>
      <c r="AR112" s="124"/>
      <c r="AS112" s="124"/>
      <c r="AT112" s="124"/>
      <c r="AU112" s="124"/>
    </row>
    <row r="113" spans="2:47">
      <c r="B113" s="125" t="s">
        <v>53</v>
      </c>
      <c r="C113" s="125"/>
      <c r="D113" s="125"/>
      <c r="E113" s="125"/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R113" s="125" t="s">
        <v>54</v>
      </c>
      <c r="S113" s="125"/>
      <c r="T113" s="125"/>
      <c r="U113" s="125"/>
      <c r="V113" s="125"/>
      <c r="W113" s="125"/>
      <c r="X113" s="125"/>
      <c r="Y113" s="125"/>
      <c r="Z113" s="125"/>
      <c r="AA113" s="125"/>
      <c r="AB113" s="125"/>
      <c r="AC113" s="125"/>
      <c r="AD113" s="125"/>
      <c r="AE113" s="125"/>
      <c r="AH113" s="125" t="s">
        <v>55</v>
      </c>
      <c r="AI113" s="125"/>
      <c r="AJ113" s="125"/>
      <c r="AK113" s="125"/>
      <c r="AL113" s="125"/>
      <c r="AM113" s="125"/>
      <c r="AN113" s="125"/>
      <c r="AO113" s="125"/>
      <c r="AP113" s="125"/>
      <c r="AQ113" s="125"/>
      <c r="AR113" s="125"/>
      <c r="AS113" s="125"/>
      <c r="AT113" s="125"/>
      <c r="AU113" s="125"/>
    </row>
    <row r="114" spans="2:47"/>
    <row r="115" spans="2:47">
      <c r="B115" s="20" t="s">
        <v>59</v>
      </c>
    </row>
    <row r="116" spans="2:47">
      <c r="B116" s="20" t="s">
        <v>60</v>
      </c>
    </row>
  </sheetData>
  <mergeCells count="306">
    <mergeCell ref="A2:AV2"/>
    <mergeCell ref="A3:AV3"/>
    <mergeCell ref="I9:S9"/>
    <mergeCell ref="T9:Y9"/>
    <mergeCell ref="AM9:AU9"/>
    <mergeCell ref="AE16:AI16"/>
    <mergeCell ref="AN16:AO16"/>
    <mergeCell ref="AP16:AQ16"/>
    <mergeCell ref="AR16:AU16"/>
    <mergeCell ref="Z9:AG9"/>
    <mergeCell ref="BE16:BG16"/>
    <mergeCell ref="AN17:AO17"/>
    <mergeCell ref="AP17:AQ17"/>
    <mergeCell ref="AR17:AU17"/>
    <mergeCell ref="B11:E11"/>
    <mergeCell ref="F11:M11"/>
    <mergeCell ref="X11:AG11"/>
    <mergeCell ref="AP11:AU11"/>
    <mergeCell ref="BA11:BI13"/>
    <mergeCell ref="F13:L13"/>
    <mergeCell ref="L21:M21"/>
    <mergeCell ref="N21:O21"/>
    <mergeCell ref="P21:S21"/>
    <mergeCell ref="AH21:AI21"/>
    <mergeCell ref="AJ21:AK21"/>
    <mergeCell ref="AL21:AO21"/>
    <mergeCell ref="G18:Y18"/>
    <mergeCell ref="AE18:AU18"/>
    <mergeCell ref="L20:M20"/>
    <mergeCell ref="N20:O20"/>
    <mergeCell ref="P20:S20"/>
    <mergeCell ref="AH20:AI20"/>
    <mergeCell ref="AJ20:AK20"/>
    <mergeCell ref="AL20:AO20"/>
    <mergeCell ref="AS20:AU20"/>
    <mergeCell ref="H23:J23"/>
    <mergeCell ref="S23:U23"/>
    <mergeCell ref="AB23:AD23"/>
    <mergeCell ref="AL23:AN23"/>
    <mergeCell ref="B29:E30"/>
    <mergeCell ref="F29:S29"/>
    <mergeCell ref="T29:AG29"/>
    <mergeCell ref="AH29:AU29"/>
    <mergeCell ref="F30:J30"/>
    <mergeCell ref="K30:O30"/>
    <mergeCell ref="AR30:AU30"/>
    <mergeCell ref="P30:S30"/>
    <mergeCell ref="T30:X30"/>
    <mergeCell ref="Y30:AC30"/>
    <mergeCell ref="AD30:AG30"/>
    <mergeCell ref="AH30:AL30"/>
    <mergeCell ref="AM30:AQ30"/>
    <mergeCell ref="AR31:AU31"/>
    <mergeCell ref="B32:E32"/>
    <mergeCell ref="F32:J32"/>
    <mergeCell ref="K32:O32"/>
    <mergeCell ref="P32:S32"/>
    <mergeCell ref="T32:X32"/>
    <mergeCell ref="Y32:AC32"/>
    <mergeCell ref="AD32:AG32"/>
    <mergeCell ref="AH32:AL32"/>
    <mergeCell ref="AM32:AQ32"/>
    <mergeCell ref="AR32:AU32"/>
    <mergeCell ref="B31:E31"/>
    <mergeCell ref="F31:J31"/>
    <mergeCell ref="K31:O31"/>
    <mergeCell ref="P31:S31"/>
    <mergeCell ref="T31:X31"/>
    <mergeCell ref="Y31:AC31"/>
    <mergeCell ref="AD31:AG31"/>
    <mergeCell ref="AH31:AL31"/>
    <mergeCell ref="AM31:AQ31"/>
    <mergeCell ref="AR33:AU33"/>
    <mergeCell ref="B34:E34"/>
    <mergeCell ref="F34:J34"/>
    <mergeCell ref="K34:O34"/>
    <mergeCell ref="P34:S34"/>
    <mergeCell ref="T34:X34"/>
    <mergeCell ref="Y34:AC34"/>
    <mergeCell ref="AD34:AG34"/>
    <mergeCell ref="AH34:AL34"/>
    <mergeCell ref="AM34:AQ34"/>
    <mergeCell ref="AR34:AU34"/>
    <mergeCell ref="B33:E33"/>
    <mergeCell ref="F33:J33"/>
    <mergeCell ref="K33:O33"/>
    <mergeCell ref="P33:S33"/>
    <mergeCell ref="T33:X33"/>
    <mergeCell ref="Y33:AC33"/>
    <mergeCell ref="AD33:AG33"/>
    <mergeCell ref="AH33:AL33"/>
    <mergeCell ref="AM33:AQ33"/>
    <mergeCell ref="AR35:AU35"/>
    <mergeCell ref="B36:E36"/>
    <mergeCell ref="F36:J36"/>
    <mergeCell ref="K36:O36"/>
    <mergeCell ref="P36:S36"/>
    <mergeCell ref="T36:X36"/>
    <mergeCell ref="Y36:AC36"/>
    <mergeCell ref="AD36:AG36"/>
    <mergeCell ref="AH36:AL36"/>
    <mergeCell ref="AM36:AQ36"/>
    <mergeCell ref="AR36:AU36"/>
    <mergeCell ref="B35:E35"/>
    <mergeCell ref="F35:J35"/>
    <mergeCell ref="K35:O35"/>
    <mergeCell ref="P35:S35"/>
    <mergeCell ref="T35:X35"/>
    <mergeCell ref="Y35:AC35"/>
    <mergeCell ref="AD35:AG35"/>
    <mergeCell ref="AH35:AL35"/>
    <mergeCell ref="AM35:AQ35"/>
    <mergeCell ref="AM39:AQ39"/>
    <mergeCell ref="AR37:AU37"/>
    <mergeCell ref="B38:E38"/>
    <mergeCell ref="F38:J38"/>
    <mergeCell ref="K38:O38"/>
    <mergeCell ref="P38:S38"/>
    <mergeCell ref="T38:X38"/>
    <mergeCell ref="Y38:AC38"/>
    <mergeCell ref="AD38:AG38"/>
    <mergeCell ref="AH38:AL38"/>
    <mergeCell ref="AM38:AQ38"/>
    <mergeCell ref="AR38:AU38"/>
    <mergeCell ref="B37:E37"/>
    <mergeCell ref="F37:J37"/>
    <mergeCell ref="K37:O37"/>
    <mergeCell ref="P37:S37"/>
    <mergeCell ref="T37:X37"/>
    <mergeCell ref="Y37:AC37"/>
    <mergeCell ref="AD37:AG37"/>
    <mergeCell ref="AH37:AL37"/>
    <mergeCell ref="AM37:AQ37"/>
    <mergeCell ref="P44:S44"/>
    <mergeCell ref="T44:X44"/>
    <mergeCell ref="Y44:AC44"/>
    <mergeCell ref="AD44:AG44"/>
    <mergeCell ref="AM44:AQ44"/>
    <mergeCell ref="AR44:AU44"/>
    <mergeCell ref="AR39:AU39"/>
    <mergeCell ref="B41:AG42"/>
    <mergeCell ref="AH41:AU42"/>
    <mergeCell ref="B43:E44"/>
    <mergeCell ref="F43:S43"/>
    <mergeCell ref="T43:AG43"/>
    <mergeCell ref="AH43:AL44"/>
    <mergeCell ref="AM43:AU43"/>
    <mergeCell ref="F44:J44"/>
    <mergeCell ref="K44:O44"/>
    <mergeCell ref="B39:E39"/>
    <mergeCell ref="F39:J39"/>
    <mergeCell ref="K39:O39"/>
    <mergeCell ref="P39:S39"/>
    <mergeCell ref="T39:X39"/>
    <mergeCell ref="Y39:AC39"/>
    <mergeCell ref="AD39:AG39"/>
    <mergeCell ref="AH39:AL39"/>
    <mergeCell ref="AD45:AG45"/>
    <mergeCell ref="AH45:AL45"/>
    <mergeCell ref="AM45:AQ45"/>
    <mergeCell ref="AR45:AU45"/>
    <mergeCell ref="B46:E46"/>
    <mergeCell ref="F46:J46"/>
    <mergeCell ref="K46:O46"/>
    <mergeCell ref="P46:S46"/>
    <mergeCell ref="T46:X46"/>
    <mergeCell ref="Y46:AC46"/>
    <mergeCell ref="B45:E45"/>
    <mergeCell ref="F45:J45"/>
    <mergeCell ref="K45:O45"/>
    <mergeCell ref="P45:S45"/>
    <mergeCell ref="T45:X45"/>
    <mergeCell ref="Y45:AC45"/>
    <mergeCell ref="AD46:AG46"/>
    <mergeCell ref="AH46:AL46"/>
    <mergeCell ref="AM46:AQ46"/>
    <mergeCell ref="AR46:AU46"/>
    <mergeCell ref="AR47:AU47"/>
    <mergeCell ref="B48:E48"/>
    <mergeCell ref="F48:J48"/>
    <mergeCell ref="K48:O48"/>
    <mergeCell ref="P48:S48"/>
    <mergeCell ref="T48:X48"/>
    <mergeCell ref="Y48:AC48"/>
    <mergeCell ref="AD48:AG48"/>
    <mergeCell ref="AH48:AL48"/>
    <mergeCell ref="AM48:AQ48"/>
    <mergeCell ref="AR48:AU48"/>
    <mergeCell ref="B47:E47"/>
    <mergeCell ref="F47:J47"/>
    <mergeCell ref="K47:O47"/>
    <mergeCell ref="P47:S47"/>
    <mergeCell ref="T47:X47"/>
    <mergeCell ref="Y47:AC47"/>
    <mergeCell ref="AD47:AG47"/>
    <mergeCell ref="AH47:AL47"/>
    <mergeCell ref="AM47:AQ47"/>
    <mergeCell ref="AR49:AU49"/>
    <mergeCell ref="B50:E50"/>
    <mergeCell ref="F50:J50"/>
    <mergeCell ref="K50:O50"/>
    <mergeCell ref="P50:S50"/>
    <mergeCell ref="T50:X50"/>
    <mergeCell ref="Y50:AC50"/>
    <mergeCell ref="AD50:AG50"/>
    <mergeCell ref="AH50:AL50"/>
    <mergeCell ref="AM50:AQ50"/>
    <mergeCell ref="AR50:AU50"/>
    <mergeCell ref="B49:E49"/>
    <mergeCell ref="F49:J49"/>
    <mergeCell ref="K49:O49"/>
    <mergeCell ref="P49:S49"/>
    <mergeCell ref="T49:X49"/>
    <mergeCell ref="Y49:AC49"/>
    <mergeCell ref="AD49:AG49"/>
    <mergeCell ref="AH49:AL49"/>
    <mergeCell ref="AM49:AQ49"/>
    <mergeCell ref="AR51:AU51"/>
    <mergeCell ref="B52:E52"/>
    <mergeCell ref="F52:J52"/>
    <mergeCell ref="K52:O52"/>
    <mergeCell ref="P52:S52"/>
    <mergeCell ref="T52:X52"/>
    <mergeCell ref="Y52:AC52"/>
    <mergeCell ref="AD52:AG52"/>
    <mergeCell ref="AH52:AL52"/>
    <mergeCell ref="AM52:AQ52"/>
    <mergeCell ref="AR52:AU52"/>
    <mergeCell ref="B51:E51"/>
    <mergeCell ref="F51:J51"/>
    <mergeCell ref="K51:O51"/>
    <mergeCell ref="P51:S51"/>
    <mergeCell ref="T51:X51"/>
    <mergeCell ref="Y51:AC51"/>
    <mergeCell ref="AD51:AG51"/>
    <mergeCell ref="AH51:AL51"/>
    <mergeCell ref="AM51:AQ51"/>
    <mergeCell ref="B53:E53"/>
    <mergeCell ref="F53:J53"/>
    <mergeCell ref="K53:O53"/>
    <mergeCell ref="P53:S53"/>
    <mergeCell ref="T53:X53"/>
    <mergeCell ref="Y53:AC53"/>
    <mergeCell ref="B82:AA83"/>
    <mergeCell ref="AB82:AK82"/>
    <mergeCell ref="AL82:AU82"/>
    <mergeCell ref="AB83:AF83"/>
    <mergeCell ref="AG83:AK83"/>
    <mergeCell ref="AL83:AP83"/>
    <mergeCell ref="AQ83:AU83"/>
    <mergeCell ref="AD53:AG53"/>
    <mergeCell ref="AH53:AL53"/>
    <mergeCell ref="AM53:AQ53"/>
    <mergeCell ref="AR53:AU53"/>
    <mergeCell ref="B58:AV59"/>
    <mergeCell ref="B79:AV80"/>
    <mergeCell ref="B85:G85"/>
    <mergeCell ref="H85:AA85"/>
    <mergeCell ref="AB85:AF85"/>
    <mergeCell ref="AG85:AK85"/>
    <mergeCell ref="AL85:AP85"/>
    <mergeCell ref="AQ85:AU85"/>
    <mergeCell ref="B84:G84"/>
    <mergeCell ref="H84:AA84"/>
    <mergeCell ref="AB84:AF84"/>
    <mergeCell ref="AG84:AK84"/>
    <mergeCell ref="AL84:AP84"/>
    <mergeCell ref="AQ84:AU84"/>
    <mergeCell ref="B87:G87"/>
    <mergeCell ref="H87:AA87"/>
    <mergeCell ref="AB87:AF87"/>
    <mergeCell ref="AG87:AK87"/>
    <mergeCell ref="AL87:AP87"/>
    <mergeCell ref="AQ87:AU87"/>
    <mergeCell ref="B86:G86"/>
    <mergeCell ref="H86:AA86"/>
    <mergeCell ref="AB86:AF86"/>
    <mergeCell ref="AG86:AK86"/>
    <mergeCell ref="AL86:AP86"/>
    <mergeCell ref="AQ86:AU86"/>
    <mergeCell ref="B93:AU93"/>
    <mergeCell ref="B94:AU94"/>
    <mergeCell ref="L96:AU96"/>
    <mergeCell ref="B97:AU97"/>
    <mergeCell ref="B98:AU98"/>
    <mergeCell ref="B100:N100"/>
    <mergeCell ref="O100:AU100"/>
    <mergeCell ref="B88:AA88"/>
    <mergeCell ref="AB88:AF88"/>
    <mergeCell ref="AG88:AK88"/>
    <mergeCell ref="AL88:AP88"/>
    <mergeCell ref="AQ88:AU88"/>
    <mergeCell ref="P92:AU92"/>
    <mergeCell ref="B109:AU109"/>
    <mergeCell ref="B112:O112"/>
    <mergeCell ref="R112:AE112"/>
    <mergeCell ref="AH112:AU112"/>
    <mergeCell ref="B113:O113"/>
    <mergeCell ref="R113:AE113"/>
    <mergeCell ref="AH113:AU113"/>
    <mergeCell ref="B101:AU101"/>
    <mergeCell ref="B102:AU102"/>
    <mergeCell ref="B105:AU105"/>
    <mergeCell ref="B106:AU106"/>
    <mergeCell ref="B107:AU107"/>
    <mergeCell ref="B108:AU108"/>
  </mergeCells>
  <conditionalFormatting sqref="AD16">
    <cfRule type="containsText" dxfId="48" priority="3" operator="containsText" text="INACTIVO">
      <formula>NOT(ISERROR(SEARCH("INACTIVO",AD16)))</formula>
    </cfRule>
    <cfRule type="containsText" dxfId="47" priority="4" operator="containsText" text="ACTIVO">
      <formula>NOT(ISERROR(SEARCH("ACTIVO",AD16)))</formula>
    </cfRule>
  </conditionalFormatting>
  <conditionalFormatting sqref="AE16:AI16">
    <cfRule type="containsText" dxfId="46" priority="1" operator="containsText" text="SEGUIMIENTO">
      <formula>NOT(ISERROR(SEARCH("SEGUIMIENTO",AE16)))</formula>
    </cfRule>
    <cfRule type="containsText" dxfId="45" priority="2" operator="containsText" text="INF_INICIAL">
      <formula>NOT(ISERROR(SEARCH("INF_INICIAL",AE16)))</formula>
    </cfRule>
  </conditionalFormatting>
  <dataValidations count="7">
    <dataValidation type="list" allowBlank="1" showInputMessage="1" showErrorMessage="1" sqref="AE16:AI16" xr:uid="{00000000-0002-0000-0000-000000000000}">
      <formula1>"INF_INICIAL, SEGUIMIENTO, ALTA"</formula1>
    </dataValidation>
    <dataValidation type="list" allowBlank="1" showInputMessage="1" showErrorMessage="1" sqref="AK16" xr:uid="{00000000-0002-0000-0000-000001000000}">
      <formula1>seguimient</formula1>
    </dataValidation>
    <dataValidation type="list" allowBlank="1" showInputMessage="1" showErrorMessage="1" sqref="AR16:AU16 P20:S20" xr:uid="{00000000-0002-0000-0000-000002000000}">
      <formula1>AÑO</formula1>
    </dataValidation>
    <dataValidation type="list" allowBlank="1" showInputMessage="1" showErrorMessage="1" sqref="AP16 N20" xr:uid="{00000000-0002-0000-0000-000003000000}">
      <formula1>MES</formula1>
    </dataValidation>
    <dataValidation type="list" allowBlank="1" showInputMessage="1" showErrorMessage="1" sqref="AN16:AO16 L20:M20" xr:uid="{00000000-0002-0000-0000-000004000000}">
      <formula1>DIA</formula1>
    </dataValidation>
    <dataValidation type="list" allowBlank="1" showInputMessage="1" showErrorMessage="1" errorTitle="Error en los datos" prompt="Elige una opción" sqref="F13" xr:uid="{00000000-0002-0000-0000-000005000000}">
      <formula1>"SSA,IMSS,ISSSTE,OTRAS,IMSS PROSPERA,DIF,PEMEX,SEDENA"</formula1>
    </dataValidation>
    <dataValidation type="list" allowBlank="1" showInputMessage="1" showErrorMessage="1" sqref="B84:G87" xr:uid="{00000000-0002-0000-0000-000006000000}">
      <formula1>LUGAR</formula1>
    </dataValidation>
  </dataValidations>
  <printOptions horizontalCentered="1"/>
  <pageMargins left="0.31496062992125984" right="0.31496062992125984" top="0.74803149606299213" bottom="0.74803149606299213" header="0.31496062992125984" footer="0.31496062992125984"/>
  <pageSetup scale="92" orientation="portrait" r:id="rId1"/>
  <rowBreaks count="1" manualBreakCount="1">
    <brk id="56" max="47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NuevoSeguimiento">
                <anchor moveWithCells="1" sizeWithCells="1">
                  <from>
                    <xdr:col>51</xdr:col>
                    <xdr:colOff>133350</xdr:colOff>
                    <xdr:row>2</xdr:row>
                    <xdr:rowOff>200025</xdr:rowOff>
                  </from>
                  <to>
                    <xdr:col>61</xdr:col>
                    <xdr:colOff>47625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Hoja14.ACTUALIZAR">
                <anchor moveWithCells="1" sizeWithCells="1">
                  <from>
                    <xdr:col>52</xdr:col>
                    <xdr:colOff>0</xdr:colOff>
                    <xdr:row>8</xdr:row>
                    <xdr:rowOff>123825</xdr:rowOff>
                  </from>
                  <to>
                    <xdr:col>61</xdr:col>
                    <xdr:colOff>66675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00B050"/>
    <pageSetUpPr fitToPage="1"/>
  </sheetPr>
  <dimension ref="A1:AX3190"/>
  <sheetViews>
    <sheetView showGridLines="0" tabSelected="1" view="pageBreakPreview" topLeftCell="D5" zoomScale="70" zoomScaleSheetLayoutView="70" workbookViewId="0">
      <selection activeCell="AG15" sqref="AG15"/>
    </sheetView>
  </sheetViews>
  <sheetFormatPr baseColWidth="10" defaultRowHeight="12.75"/>
  <cols>
    <col min="1" max="1" width="7.140625" style="21" customWidth="1"/>
    <col min="2" max="2" width="14.85546875" style="94" customWidth="1"/>
    <col min="3" max="3" width="8.140625" style="94" customWidth="1"/>
    <col min="4" max="4" width="6.85546875" style="94" customWidth="1"/>
    <col min="5" max="5" width="7.85546875" style="21" customWidth="1"/>
    <col min="6" max="6" width="4.85546875" style="21" customWidth="1"/>
    <col min="7" max="7" width="12.5703125" style="21" customWidth="1"/>
    <col min="8" max="8" width="2.5703125" style="21" customWidth="1"/>
    <col min="9" max="9" width="15.140625" style="21" customWidth="1"/>
    <col min="10" max="10" width="10.140625" style="21" customWidth="1"/>
    <col min="11" max="11" width="7" style="67" customWidth="1"/>
    <col min="12" max="13" width="6" style="67" customWidth="1"/>
    <col min="14" max="14" width="19.85546875" style="21" customWidth="1"/>
    <col min="15" max="20" width="6" style="21" customWidth="1"/>
    <col min="21" max="21" width="8.85546875" style="21" customWidth="1"/>
    <col min="22" max="22" width="20.5703125" style="21" customWidth="1"/>
    <col min="23" max="24" width="6" style="21" customWidth="1"/>
    <col min="25" max="25" width="4.5703125" style="21" customWidth="1"/>
    <col min="26" max="26" width="16.140625" style="21" customWidth="1"/>
    <col min="27" max="27" width="8.140625" style="21" customWidth="1"/>
    <col min="28" max="34" width="10.85546875" style="21" customWidth="1"/>
    <col min="35" max="35" width="15.140625" style="21" customWidth="1"/>
    <col min="36" max="36" width="17.140625" style="21" customWidth="1"/>
    <col min="37" max="39" width="6" style="21" customWidth="1"/>
    <col min="40" max="40" width="23.5703125" style="21" customWidth="1"/>
    <col min="41" max="41" width="11.42578125" style="26" hidden="1" customWidth="1"/>
    <col min="42" max="263" width="11.5703125" style="21"/>
    <col min="264" max="264" width="7.140625" style="21" customWidth="1"/>
    <col min="265" max="265" width="14.85546875" style="21" customWidth="1"/>
    <col min="266" max="266" width="13.5703125" style="21" customWidth="1"/>
    <col min="267" max="267" width="3.140625" style="21" customWidth="1"/>
    <col min="268" max="269" width="4.85546875" style="21" customWidth="1"/>
    <col min="270" max="270" width="12.5703125" style="21" customWidth="1"/>
    <col min="271" max="271" width="1.140625" style="21" customWidth="1"/>
    <col min="272" max="272" width="17.140625" style="21" customWidth="1"/>
    <col min="273" max="273" width="11.85546875" style="21" customWidth="1"/>
    <col min="274" max="274" width="19.85546875" style="21" customWidth="1"/>
    <col min="275" max="275" width="12.5703125" style="21" customWidth="1"/>
    <col min="276" max="276" width="11.5703125" style="21"/>
    <col min="277" max="277" width="8.85546875" style="21" customWidth="1"/>
    <col min="278" max="278" width="10.140625" style="21" customWidth="1"/>
    <col min="279" max="279" width="10" style="21" customWidth="1"/>
    <col min="280" max="280" width="8.140625" style="21" customWidth="1"/>
    <col min="281" max="288" width="10.85546875" style="21" customWidth="1"/>
    <col min="289" max="289" width="8.42578125" style="21" customWidth="1"/>
    <col min="290" max="290" width="10" style="21" customWidth="1"/>
    <col min="291" max="291" width="7.140625" style="21" customWidth="1"/>
    <col min="292" max="292" width="9.42578125" style="21" customWidth="1"/>
    <col min="293" max="293" width="8.85546875" style="21" customWidth="1"/>
    <col min="294" max="294" width="17.140625" style="21" customWidth="1"/>
    <col min="295" max="295" width="26.140625" style="21" customWidth="1"/>
    <col min="296" max="519" width="11.5703125" style="21"/>
    <col min="520" max="520" width="7.140625" style="21" customWidth="1"/>
    <col min="521" max="521" width="14.85546875" style="21" customWidth="1"/>
    <col min="522" max="522" width="13.5703125" style="21" customWidth="1"/>
    <col min="523" max="523" width="3.140625" style="21" customWidth="1"/>
    <col min="524" max="525" width="4.85546875" style="21" customWidth="1"/>
    <col min="526" max="526" width="12.5703125" style="21" customWidth="1"/>
    <col min="527" max="527" width="1.140625" style="21" customWidth="1"/>
    <col min="528" max="528" width="17.140625" style="21" customWidth="1"/>
    <col min="529" max="529" width="11.85546875" style="21" customWidth="1"/>
    <col min="530" max="530" width="19.85546875" style="21" customWidth="1"/>
    <col min="531" max="531" width="12.5703125" style="21" customWidth="1"/>
    <col min="532" max="532" width="11.5703125" style="21"/>
    <col min="533" max="533" width="8.85546875" style="21" customWidth="1"/>
    <col min="534" max="534" width="10.140625" style="21" customWidth="1"/>
    <col min="535" max="535" width="10" style="21" customWidth="1"/>
    <col min="536" max="536" width="8.140625" style="21" customWidth="1"/>
    <col min="537" max="544" width="10.85546875" style="21" customWidth="1"/>
    <col min="545" max="545" width="8.42578125" style="21" customWidth="1"/>
    <col min="546" max="546" width="10" style="21" customWidth="1"/>
    <col min="547" max="547" width="7.140625" style="21" customWidth="1"/>
    <col min="548" max="548" width="9.42578125" style="21" customWidth="1"/>
    <col min="549" max="549" width="8.85546875" style="21" customWidth="1"/>
    <col min="550" max="550" width="17.140625" style="21" customWidth="1"/>
    <col min="551" max="551" width="26.140625" style="21" customWidth="1"/>
    <col min="552" max="775" width="11.5703125" style="21"/>
    <col min="776" max="776" width="7.140625" style="21" customWidth="1"/>
    <col min="777" max="777" width="14.85546875" style="21" customWidth="1"/>
    <col min="778" max="778" width="13.5703125" style="21" customWidth="1"/>
    <col min="779" max="779" width="3.140625" style="21" customWidth="1"/>
    <col min="780" max="781" width="4.85546875" style="21" customWidth="1"/>
    <col min="782" max="782" width="12.5703125" style="21" customWidth="1"/>
    <col min="783" max="783" width="1.140625" style="21" customWidth="1"/>
    <col min="784" max="784" width="17.140625" style="21" customWidth="1"/>
    <col min="785" max="785" width="11.85546875" style="21" customWidth="1"/>
    <col min="786" max="786" width="19.85546875" style="21" customWidth="1"/>
    <col min="787" max="787" width="12.5703125" style="21" customWidth="1"/>
    <col min="788" max="788" width="11.5703125" style="21"/>
    <col min="789" max="789" width="8.85546875" style="21" customWidth="1"/>
    <col min="790" max="790" width="10.140625" style="21" customWidth="1"/>
    <col min="791" max="791" width="10" style="21" customWidth="1"/>
    <col min="792" max="792" width="8.140625" style="21" customWidth="1"/>
    <col min="793" max="800" width="10.85546875" style="21" customWidth="1"/>
    <col min="801" max="801" width="8.42578125" style="21" customWidth="1"/>
    <col min="802" max="802" width="10" style="21" customWidth="1"/>
    <col min="803" max="803" width="7.140625" style="21" customWidth="1"/>
    <col min="804" max="804" width="9.42578125" style="21" customWidth="1"/>
    <col min="805" max="805" width="8.85546875" style="21" customWidth="1"/>
    <col min="806" max="806" width="17.140625" style="21" customWidth="1"/>
    <col min="807" max="807" width="26.140625" style="21" customWidth="1"/>
    <col min="808" max="1031" width="11.5703125" style="21"/>
    <col min="1032" max="1032" width="7.140625" style="21" customWidth="1"/>
    <col min="1033" max="1033" width="14.85546875" style="21" customWidth="1"/>
    <col min="1034" max="1034" width="13.5703125" style="21" customWidth="1"/>
    <col min="1035" max="1035" width="3.140625" style="21" customWidth="1"/>
    <col min="1036" max="1037" width="4.85546875" style="21" customWidth="1"/>
    <col min="1038" max="1038" width="12.5703125" style="21" customWidth="1"/>
    <col min="1039" max="1039" width="1.140625" style="21" customWidth="1"/>
    <col min="1040" max="1040" width="17.140625" style="21" customWidth="1"/>
    <col min="1041" max="1041" width="11.85546875" style="21" customWidth="1"/>
    <col min="1042" max="1042" width="19.85546875" style="21" customWidth="1"/>
    <col min="1043" max="1043" width="12.5703125" style="21" customWidth="1"/>
    <col min="1044" max="1044" width="11.5703125" style="21"/>
    <col min="1045" max="1045" width="8.85546875" style="21" customWidth="1"/>
    <col min="1046" max="1046" width="10.140625" style="21" customWidth="1"/>
    <col min="1047" max="1047" width="10" style="21" customWidth="1"/>
    <col min="1048" max="1048" width="8.140625" style="21" customWidth="1"/>
    <col min="1049" max="1056" width="10.85546875" style="21" customWidth="1"/>
    <col min="1057" max="1057" width="8.42578125" style="21" customWidth="1"/>
    <col min="1058" max="1058" width="10" style="21" customWidth="1"/>
    <col min="1059" max="1059" width="7.140625" style="21" customWidth="1"/>
    <col min="1060" max="1060" width="9.42578125" style="21" customWidth="1"/>
    <col min="1061" max="1061" width="8.85546875" style="21" customWidth="1"/>
    <col min="1062" max="1062" width="17.140625" style="21" customWidth="1"/>
    <col min="1063" max="1063" width="26.140625" style="21" customWidth="1"/>
    <col min="1064" max="1287" width="11.5703125" style="21"/>
    <col min="1288" max="1288" width="7.140625" style="21" customWidth="1"/>
    <col min="1289" max="1289" width="14.85546875" style="21" customWidth="1"/>
    <col min="1290" max="1290" width="13.5703125" style="21" customWidth="1"/>
    <col min="1291" max="1291" width="3.140625" style="21" customWidth="1"/>
    <col min="1292" max="1293" width="4.85546875" style="21" customWidth="1"/>
    <col min="1294" max="1294" width="12.5703125" style="21" customWidth="1"/>
    <col min="1295" max="1295" width="1.140625" style="21" customWidth="1"/>
    <col min="1296" max="1296" width="17.140625" style="21" customWidth="1"/>
    <col min="1297" max="1297" width="11.85546875" style="21" customWidth="1"/>
    <col min="1298" max="1298" width="19.85546875" style="21" customWidth="1"/>
    <col min="1299" max="1299" width="12.5703125" style="21" customWidth="1"/>
    <col min="1300" max="1300" width="11.5703125" style="21"/>
    <col min="1301" max="1301" width="8.85546875" style="21" customWidth="1"/>
    <col min="1302" max="1302" width="10.140625" style="21" customWidth="1"/>
    <col min="1303" max="1303" width="10" style="21" customWidth="1"/>
    <col min="1304" max="1304" width="8.140625" style="21" customWidth="1"/>
    <col min="1305" max="1312" width="10.85546875" style="21" customWidth="1"/>
    <col min="1313" max="1313" width="8.42578125" style="21" customWidth="1"/>
    <col min="1314" max="1314" width="10" style="21" customWidth="1"/>
    <col min="1315" max="1315" width="7.140625" style="21" customWidth="1"/>
    <col min="1316" max="1316" width="9.42578125" style="21" customWidth="1"/>
    <col min="1317" max="1317" width="8.85546875" style="21" customWidth="1"/>
    <col min="1318" max="1318" width="17.140625" style="21" customWidth="1"/>
    <col min="1319" max="1319" width="26.140625" style="21" customWidth="1"/>
    <col min="1320" max="1543" width="11.5703125" style="21"/>
    <col min="1544" max="1544" width="7.140625" style="21" customWidth="1"/>
    <col min="1545" max="1545" width="14.85546875" style="21" customWidth="1"/>
    <col min="1546" max="1546" width="13.5703125" style="21" customWidth="1"/>
    <col min="1547" max="1547" width="3.140625" style="21" customWidth="1"/>
    <col min="1548" max="1549" width="4.85546875" style="21" customWidth="1"/>
    <col min="1550" max="1550" width="12.5703125" style="21" customWidth="1"/>
    <col min="1551" max="1551" width="1.140625" style="21" customWidth="1"/>
    <col min="1552" max="1552" width="17.140625" style="21" customWidth="1"/>
    <col min="1553" max="1553" width="11.85546875" style="21" customWidth="1"/>
    <col min="1554" max="1554" width="19.85546875" style="21" customWidth="1"/>
    <col min="1555" max="1555" width="12.5703125" style="21" customWidth="1"/>
    <col min="1556" max="1556" width="11.5703125" style="21"/>
    <col min="1557" max="1557" width="8.85546875" style="21" customWidth="1"/>
    <col min="1558" max="1558" width="10.140625" style="21" customWidth="1"/>
    <col min="1559" max="1559" width="10" style="21" customWidth="1"/>
    <col min="1560" max="1560" width="8.140625" style="21" customWidth="1"/>
    <col min="1561" max="1568" width="10.85546875" style="21" customWidth="1"/>
    <col min="1569" max="1569" width="8.42578125" style="21" customWidth="1"/>
    <col min="1570" max="1570" width="10" style="21" customWidth="1"/>
    <col min="1571" max="1571" width="7.140625" style="21" customWidth="1"/>
    <col min="1572" max="1572" width="9.42578125" style="21" customWidth="1"/>
    <col min="1573" max="1573" width="8.85546875" style="21" customWidth="1"/>
    <col min="1574" max="1574" width="17.140625" style="21" customWidth="1"/>
    <col min="1575" max="1575" width="26.140625" style="21" customWidth="1"/>
    <col min="1576" max="1799" width="11.5703125" style="21"/>
    <col min="1800" max="1800" width="7.140625" style="21" customWidth="1"/>
    <col min="1801" max="1801" width="14.85546875" style="21" customWidth="1"/>
    <col min="1802" max="1802" width="13.5703125" style="21" customWidth="1"/>
    <col min="1803" max="1803" width="3.140625" style="21" customWidth="1"/>
    <col min="1804" max="1805" width="4.85546875" style="21" customWidth="1"/>
    <col min="1806" max="1806" width="12.5703125" style="21" customWidth="1"/>
    <col min="1807" max="1807" width="1.140625" style="21" customWidth="1"/>
    <col min="1808" max="1808" width="17.140625" style="21" customWidth="1"/>
    <col min="1809" max="1809" width="11.85546875" style="21" customWidth="1"/>
    <col min="1810" max="1810" width="19.85546875" style="21" customWidth="1"/>
    <col min="1811" max="1811" width="12.5703125" style="21" customWidth="1"/>
    <col min="1812" max="1812" width="11.5703125" style="21"/>
    <col min="1813" max="1813" width="8.85546875" style="21" customWidth="1"/>
    <col min="1814" max="1814" width="10.140625" style="21" customWidth="1"/>
    <col min="1815" max="1815" width="10" style="21" customWidth="1"/>
    <col min="1816" max="1816" width="8.140625" style="21" customWidth="1"/>
    <col min="1817" max="1824" width="10.85546875" style="21" customWidth="1"/>
    <col min="1825" max="1825" width="8.42578125" style="21" customWidth="1"/>
    <col min="1826" max="1826" width="10" style="21" customWidth="1"/>
    <col min="1827" max="1827" width="7.140625" style="21" customWidth="1"/>
    <col min="1828" max="1828" width="9.42578125" style="21" customWidth="1"/>
    <col min="1829" max="1829" width="8.85546875" style="21" customWidth="1"/>
    <col min="1830" max="1830" width="17.140625" style="21" customWidth="1"/>
    <col min="1831" max="1831" width="26.140625" style="21" customWidth="1"/>
    <col min="1832" max="2055" width="11.5703125" style="21"/>
    <col min="2056" max="2056" width="7.140625" style="21" customWidth="1"/>
    <col min="2057" max="2057" width="14.85546875" style="21" customWidth="1"/>
    <col min="2058" max="2058" width="13.5703125" style="21" customWidth="1"/>
    <col min="2059" max="2059" width="3.140625" style="21" customWidth="1"/>
    <col min="2060" max="2061" width="4.85546875" style="21" customWidth="1"/>
    <col min="2062" max="2062" width="12.5703125" style="21" customWidth="1"/>
    <col min="2063" max="2063" width="1.140625" style="21" customWidth="1"/>
    <col min="2064" max="2064" width="17.140625" style="21" customWidth="1"/>
    <col min="2065" max="2065" width="11.85546875" style="21" customWidth="1"/>
    <col min="2066" max="2066" width="19.85546875" style="21" customWidth="1"/>
    <col min="2067" max="2067" width="12.5703125" style="21" customWidth="1"/>
    <col min="2068" max="2068" width="11.5703125" style="21"/>
    <col min="2069" max="2069" width="8.85546875" style="21" customWidth="1"/>
    <col min="2070" max="2070" width="10.140625" style="21" customWidth="1"/>
    <col min="2071" max="2071" width="10" style="21" customWidth="1"/>
    <col min="2072" max="2072" width="8.140625" style="21" customWidth="1"/>
    <col min="2073" max="2080" width="10.85546875" style="21" customWidth="1"/>
    <col min="2081" max="2081" width="8.42578125" style="21" customWidth="1"/>
    <col min="2082" max="2082" width="10" style="21" customWidth="1"/>
    <col min="2083" max="2083" width="7.140625" style="21" customWidth="1"/>
    <col min="2084" max="2084" width="9.42578125" style="21" customWidth="1"/>
    <col min="2085" max="2085" width="8.85546875" style="21" customWidth="1"/>
    <col min="2086" max="2086" width="17.140625" style="21" customWidth="1"/>
    <col min="2087" max="2087" width="26.140625" style="21" customWidth="1"/>
    <col min="2088" max="2311" width="11.5703125" style="21"/>
    <col min="2312" max="2312" width="7.140625" style="21" customWidth="1"/>
    <col min="2313" max="2313" width="14.85546875" style="21" customWidth="1"/>
    <col min="2314" max="2314" width="13.5703125" style="21" customWidth="1"/>
    <col min="2315" max="2315" width="3.140625" style="21" customWidth="1"/>
    <col min="2316" max="2317" width="4.85546875" style="21" customWidth="1"/>
    <col min="2318" max="2318" width="12.5703125" style="21" customWidth="1"/>
    <col min="2319" max="2319" width="1.140625" style="21" customWidth="1"/>
    <col min="2320" max="2320" width="17.140625" style="21" customWidth="1"/>
    <col min="2321" max="2321" width="11.85546875" style="21" customWidth="1"/>
    <col min="2322" max="2322" width="19.85546875" style="21" customWidth="1"/>
    <col min="2323" max="2323" width="12.5703125" style="21" customWidth="1"/>
    <col min="2324" max="2324" width="11.5703125" style="21"/>
    <col min="2325" max="2325" width="8.85546875" style="21" customWidth="1"/>
    <col min="2326" max="2326" width="10.140625" style="21" customWidth="1"/>
    <col min="2327" max="2327" width="10" style="21" customWidth="1"/>
    <col min="2328" max="2328" width="8.140625" style="21" customWidth="1"/>
    <col min="2329" max="2336" width="10.85546875" style="21" customWidth="1"/>
    <col min="2337" max="2337" width="8.42578125" style="21" customWidth="1"/>
    <col min="2338" max="2338" width="10" style="21" customWidth="1"/>
    <col min="2339" max="2339" width="7.140625" style="21" customWidth="1"/>
    <col min="2340" max="2340" width="9.42578125" style="21" customWidth="1"/>
    <col min="2341" max="2341" width="8.85546875" style="21" customWidth="1"/>
    <col min="2342" max="2342" width="17.140625" style="21" customWidth="1"/>
    <col min="2343" max="2343" width="26.140625" style="21" customWidth="1"/>
    <col min="2344" max="2567" width="11.5703125" style="21"/>
    <col min="2568" max="2568" width="7.140625" style="21" customWidth="1"/>
    <col min="2569" max="2569" width="14.85546875" style="21" customWidth="1"/>
    <col min="2570" max="2570" width="13.5703125" style="21" customWidth="1"/>
    <col min="2571" max="2571" width="3.140625" style="21" customWidth="1"/>
    <col min="2572" max="2573" width="4.85546875" style="21" customWidth="1"/>
    <col min="2574" max="2574" width="12.5703125" style="21" customWidth="1"/>
    <col min="2575" max="2575" width="1.140625" style="21" customWidth="1"/>
    <col min="2576" max="2576" width="17.140625" style="21" customWidth="1"/>
    <col min="2577" max="2577" width="11.85546875" style="21" customWidth="1"/>
    <col min="2578" max="2578" width="19.85546875" style="21" customWidth="1"/>
    <col min="2579" max="2579" width="12.5703125" style="21" customWidth="1"/>
    <col min="2580" max="2580" width="11.5703125" style="21"/>
    <col min="2581" max="2581" width="8.85546875" style="21" customWidth="1"/>
    <col min="2582" max="2582" width="10.140625" style="21" customWidth="1"/>
    <col min="2583" max="2583" width="10" style="21" customWidth="1"/>
    <col min="2584" max="2584" width="8.140625" style="21" customWidth="1"/>
    <col min="2585" max="2592" width="10.85546875" style="21" customWidth="1"/>
    <col min="2593" max="2593" width="8.42578125" style="21" customWidth="1"/>
    <col min="2594" max="2594" width="10" style="21" customWidth="1"/>
    <col min="2595" max="2595" width="7.140625" style="21" customWidth="1"/>
    <col min="2596" max="2596" width="9.42578125" style="21" customWidth="1"/>
    <col min="2597" max="2597" width="8.85546875" style="21" customWidth="1"/>
    <col min="2598" max="2598" width="17.140625" style="21" customWidth="1"/>
    <col min="2599" max="2599" width="26.140625" style="21" customWidth="1"/>
    <col min="2600" max="2823" width="11.5703125" style="21"/>
    <col min="2824" max="2824" width="7.140625" style="21" customWidth="1"/>
    <col min="2825" max="2825" width="14.85546875" style="21" customWidth="1"/>
    <col min="2826" max="2826" width="13.5703125" style="21" customWidth="1"/>
    <col min="2827" max="2827" width="3.140625" style="21" customWidth="1"/>
    <col min="2828" max="2829" width="4.85546875" style="21" customWidth="1"/>
    <col min="2830" max="2830" width="12.5703125" style="21" customWidth="1"/>
    <col min="2831" max="2831" width="1.140625" style="21" customWidth="1"/>
    <col min="2832" max="2832" width="17.140625" style="21" customWidth="1"/>
    <col min="2833" max="2833" width="11.85546875" style="21" customWidth="1"/>
    <col min="2834" max="2834" width="19.85546875" style="21" customWidth="1"/>
    <col min="2835" max="2835" width="12.5703125" style="21" customWidth="1"/>
    <col min="2836" max="2836" width="11.5703125" style="21"/>
    <col min="2837" max="2837" width="8.85546875" style="21" customWidth="1"/>
    <col min="2838" max="2838" width="10.140625" style="21" customWidth="1"/>
    <col min="2839" max="2839" width="10" style="21" customWidth="1"/>
    <col min="2840" max="2840" width="8.140625" style="21" customWidth="1"/>
    <col min="2841" max="2848" width="10.85546875" style="21" customWidth="1"/>
    <col min="2849" max="2849" width="8.42578125" style="21" customWidth="1"/>
    <col min="2850" max="2850" width="10" style="21" customWidth="1"/>
    <col min="2851" max="2851" width="7.140625" style="21" customWidth="1"/>
    <col min="2852" max="2852" width="9.42578125" style="21" customWidth="1"/>
    <col min="2853" max="2853" width="8.85546875" style="21" customWidth="1"/>
    <col min="2854" max="2854" width="17.140625" style="21" customWidth="1"/>
    <col min="2855" max="2855" width="26.140625" style="21" customWidth="1"/>
    <col min="2856" max="3079" width="11.5703125" style="21"/>
    <col min="3080" max="3080" width="7.140625" style="21" customWidth="1"/>
    <col min="3081" max="3081" width="14.85546875" style="21" customWidth="1"/>
    <col min="3082" max="3082" width="13.5703125" style="21" customWidth="1"/>
    <col min="3083" max="3083" width="3.140625" style="21" customWidth="1"/>
    <col min="3084" max="3085" width="4.85546875" style="21" customWidth="1"/>
    <col min="3086" max="3086" width="12.5703125" style="21" customWidth="1"/>
    <col min="3087" max="3087" width="1.140625" style="21" customWidth="1"/>
    <col min="3088" max="3088" width="17.140625" style="21" customWidth="1"/>
    <col min="3089" max="3089" width="11.85546875" style="21" customWidth="1"/>
    <col min="3090" max="3090" width="19.85546875" style="21" customWidth="1"/>
    <col min="3091" max="3091" width="12.5703125" style="21" customWidth="1"/>
    <col min="3092" max="3092" width="11.5703125" style="21"/>
    <col min="3093" max="3093" width="8.85546875" style="21" customWidth="1"/>
    <col min="3094" max="3094" width="10.140625" style="21" customWidth="1"/>
    <col min="3095" max="3095" width="10" style="21" customWidth="1"/>
    <col min="3096" max="3096" width="8.140625" style="21" customWidth="1"/>
    <col min="3097" max="3104" width="10.85546875" style="21" customWidth="1"/>
    <col min="3105" max="3105" width="8.42578125" style="21" customWidth="1"/>
    <col min="3106" max="3106" width="10" style="21" customWidth="1"/>
    <col min="3107" max="3107" width="7.140625" style="21" customWidth="1"/>
    <col min="3108" max="3108" width="9.42578125" style="21" customWidth="1"/>
    <col min="3109" max="3109" width="8.85546875" style="21" customWidth="1"/>
    <col min="3110" max="3110" width="17.140625" style="21" customWidth="1"/>
    <col min="3111" max="3111" width="26.140625" style="21" customWidth="1"/>
    <col min="3112" max="3335" width="11.5703125" style="21"/>
    <col min="3336" max="3336" width="7.140625" style="21" customWidth="1"/>
    <col min="3337" max="3337" width="14.85546875" style="21" customWidth="1"/>
    <col min="3338" max="3338" width="13.5703125" style="21" customWidth="1"/>
    <col min="3339" max="3339" width="3.140625" style="21" customWidth="1"/>
    <col min="3340" max="3341" width="4.85546875" style="21" customWidth="1"/>
    <col min="3342" max="3342" width="12.5703125" style="21" customWidth="1"/>
    <col min="3343" max="3343" width="1.140625" style="21" customWidth="1"/>
    <col min="3344" max="3344" width="17.140625" style="21" customWidth="1"/>
    <col min="3345" max="3345" width="11.85546875" style="21" customWidth="1"/>
    <col min="3346" max="3346" width="19.85546875" style="21" customWidth="1"/>
    <col min="3347" max="3347" width="12.5703125" style="21" customWidth="1"/>
    <col min="3348" max="3348" width="11.5703125" style="21"/>
    <col min="3349" max="3349" width="8.85546875" style="21" customWidth="1"/>
    <col min="3350" max="3350" width="10.140625" style="21" customWidth="1"/>
    <col min="3351" max="3351" width="10" style="21" customWidth="1"/>
    <col min="3352" max="3352" width="8.140625" style="21" customWidth="1"/>
    <col min="3353" max="3360" width="10.85546875" style="21" customWidth="1"/>
    <col min="3361" max="3361" width="8.42578125" style="21" customWidth="1"/>
    <col min="3362" max="3362" width="10" style="21" customWidth="1"/>
    <col min="3363" max="3363" width="7.140625" style="21" customWidth="1"/>
    <col min="3364" max="3364" width="9.42578125" style="21" customWidth="1"/>
    <col min="3365" max="3365" width="8.85546875" style="21" customWidth="1"/>
    <col min="3366" max="3366" width="17.140625" style="21" customWidth="1"/>
    <col min="3367" max="3367" width="26.140625" style="21" customWidth="1"/>
    <col min="3368" max="3591" width="11.5703125" style="21"/>
    <col min="3592" max="3592" width="7.140625" style="21" customWidth="1"/>
    <col min="3593" max="3593" width="14.85546875" style="21" customWidth="1"/>
    <col min="3594" max="3594" width="13.5703125" style="21" customWidth="1"/>
    <col min="3595" max="3595" width="3.140625" style="21" customWidth="1"/>
    <col min="3596" max="3597" width="4.85546875" style="21" customWidth="1"/>
    <col min="3598" max="3598" width="12.5703125" style="21" customWidth="1"/>
    <col min="3599" max="3599" width="1.140625" style="21" customWidth="1"/>
    <col min="3600" max="3600" width="17.140625" style="21" customWidth="1"/>
    <col min="3601" max="3601" width="11.85546875" style="21" customWidth="1"/>
    <col min="3602" max="3602" width="19.85546875" style="21" customWidth="1"/>
    <col min="3603" max="3603" width="12.5703125" style="21" customWidth="1"/>
    <col min="3604" max="3604" width="11.5703125" style="21"/>
    <col min="3605" max="3605" width="8.85546875" style="21" customWidth="1"/>
    <col min="3606" max="3606" width="10.140625" style="21" customWidth="1"/>
    <col min="3607" max="3607" width="10" style="21" customWidth="1"/>
    <col min="3608" max="3608" width="8.140625" style="21" customWidth="1"/>
    <col min="3609" max="3616" width="10.85546875" style="21" customWidth="1"/>
    <col min="3617" max="3617" width="8.42578125" style="21" customWidth="1"/>
    <col min="3618" max="3618" width="10" style="21" customWidth="1"/>
    <col min="3619" max="3619" width="7.140625" style="21" customWidth="1"/>
    <col min="3620" max="3620" width="9.42578125" style="21" customWidth="1"/>
    <col min="3621" max="3621" width="8.85546875" style="21" customWidth="1"/>
    <col min="3622" max="3622" width="17.140625" style="21" customWidth="1"/>
    <col min="3623" max="3623" width="26.140625" style="21" customWidth="1"/>
    <col min="3624" max="3847" width="11.5703125" style="21"/>
    <col min="3848" max="3848" width="7.140625" style="21" customWidth="1"/>
    <col min="3849" max="3849" width="14.85546875" style="21" customWidth="1"/>
    <col min="3850" max="3850" width="13.5703125" style="21" customWidth="1"/>
    <col min="3851" max="3851" width="3.140625" style="21" customWidth="1"/>
    <col min="3852" max="3853" width="4.85546875" style="21" customWidth="1"/>
    <col min="3854" max="3854" width="12.5703125" style="21" customWidth="1"/>
    <col min="3855" max="3855" width="1.140625" style="21" customWidth="1"/>
    <col min="3856" max="3856" width="17.140625" style="21" customWidth="1"/>
    <col min="3857" max="3857" width="11.85546875" style="21" customWidth="1"/>
    <col min="3858" max="3858" width="19.85546875" style="21" customWidth="1"/>
    <col min="3859" max="3859" width="12.5703125" style="21" customWidth="1"/>
    <col min="3860" max="3860" width="11.5703125" style="21"/>
    <col min="3861" max="3861" width="8.85546875" style="21" customWidth="1"/>
    <col min="3862" max="3862" width="10.140625" style="21" customWidth="1"/>
    <col min="3863" max="3863" width="10" style="21" customWidth="1"/>
    <col min="3864" max="3864" width="8.140625" style="21" customWidth="1"/>
    <col min="3865" max="3872" width="10.85546875" style="21" customWidth="1"/>
    <col min="3873" max="3873" width="8.42578125" style="21" customWidth="1"/>
    <col min="3874" max="3874" width="10" style="21" customWidth="1"/>
    <col min="3875" max="3875" width="7.140625" style="21" customWidth="1"/>
    <col min="3876" max="3876" width="9.42578125" style="21" customWidth="1"/>
    <col min="3877" max="3877" width="8.85546875" style="21" customWidth="1"/>
    <col min="3878" max="3878" width="17.140625" style="21" customWidth="1"/>
    <col min="3879" max="3879" width="26.140625" style="21" customWidth="1"/>
    <col min="3880" max="4103" width="11.5703125" style="21"/>
    <col min="4104" max="4104" width="7.140625" style="21" customWidth="1"/>
    <col min="4105" max="4105" width="14.85546875" style="21" customWidth="1"/>
    <col min="4106" max="4106" width="13.5703125" style="21" customWidth="1"/>
    <col min="4107" max="4107" width="3.140625" style="21" customWidth="1"/>
    <col min="4108" max="4109" width="4.85546875" style="21" customWidth="1"/>
    <col min="4110" max="4110" width="12.5703125" style="21" customWidth="1"/>
    <col min="4111" max="4111" width="1.140625" style="21" customWidth="1"/>
    <col min="4112" max="4112" width="17.140625" style="21" customWidth="1"/>
    <col min="4113" max="4113" width="11.85546875" style="21" customWidth="1"/>
    <col min="4114" max="4114" width="19.85546875" style="21" customWidth="1"/>
    <col min="4115" max="4115" width="12.5703125" style="21" customWidth="1"/>
    <col min="4116" max="4116" width="11.5703125" style="21"/>
    <col min="4117" max="4117" width="8.85546875" style="21" customWidth="1"/>
    <col min="4118" max="4118" width="10.140625" style="21" customWidth="1"/>
    <col min="4119" max="4119" width="10" style="21" customWidth="1"/>
    <col min="4120" max="4120" width="8.140625" style="21" customWidth="1"/>
    <col min="4121" max="4128" width="10.85546875" style="21" customWidth="1"/>
    <col min="4129" max="4129" width="8.42578125" style="21" customWidth="1"/>
    <col min="4130" max="4130" width="10" style="21" customWidth="1"/>
    <col min="4131" max="4131" width="7.140625" style="21" customWidth="1"/>
    <col min="4132" max="4132" width="9.42578125" style="21" customWidth="1"/>
    <col min="4133" max="4133" width="8.85546875" style="21" customWidth="1"/>
    <col min="4134" max="4134" width="17.140625" style="21" customWidth="1"/>
    <col min="4135" max="4135" width="26.140625" style="21" customWidth="1"/>
    <col min="4136" max="4359" width="11.5703125" style="21"/>
    <col min="4360" max="4360" width="7.140625" style="21" customWidth="1"/>
    <col min="4361" max="4361" width="14.85546875" style="21" customWidth="1"/>
    <col min="4362" max="4362" width="13.5703125" style="21" customWidth="1"/>
    <col min="4363" max="4363" width="3.140625" style="21" customWidth="1"/>
    <col min="4364" max="4365" width="4.85546875" style="21" customWidth="1"/>
    <col min="4366" max="4366" width="12.5703125" style="21" customWidth="1"/>
    <col min="4367" max="4367" width="1.140625" style="21" customWidth="1"/>
    <col min="4368" max="4368" width="17.140625" style="21" customWidth="1"/>
    <col min="4369" max="4369" width="11.85546875" style="21" customWidth="1"/>
    <col min="4370" max="4370" width="19.85546875" style="21" customWidth="1"/>
    <col min="4371" max="4371" width="12.5703125" style="21" customWidth="1"/>
    <col min="4372" max="4372" width="11.5703125" style="21"/>
    <col min="4373" max="4373" width="8.85546875" style="21" customWidth="1"/>
    <col min="4374" max="4374" width="10.140625" style="21" customWidth="1"/>
    <col min="4375" max="4375" width="10" style="21" customWidth="1"/>
    <col min="4376" max="4376" width="8.140625" style="21" customWidth="1"/>
    <col min="4377" max="4384" width="10.85546875" style="21" customWidth="1"/>
    <col min="4385" max="4385" width="8.42578125" style="21" customWidth="1"/>
    <col min="4386" max="4386" width="10" style="21" customWidth="1"/>
    <col min="4387" max="4387" width="7.140625" style="21" customWidth="1"/>
    <col min="4388" max="4388" width="9.42578125" style="21" customWidth="1"/>
    <col min="4389" max="4389" width="8.85546875" style="21" customWidth="1"/>
    <col min="4390" max="4390" width="17.140625" style="21" customWidth="1"/>
    <col min="4391" max="4391" width="26.140625" style="21" customWidth="1"/>
    <col min="4392" max="4615" width="11.5703125" style="21"/>
    <col min="4616" max="4616" width="7.140625" style="21" customWidth="1"/>
    <col min="4617" max="4617" width="14.85546875" style="21" customWidth="1"/>
    <col min="4618" max="4618" width="13.5703125" style="21" customWidth="1"/>
    <col min="4619" max="4619" width="3.140625" style="21" customWidth="1"/>
    <col min="4620" max="4621" width="4.85546875" style="21" customWidth="1"/>
    <col min="4622" max="4622" width="12.5703125" style="21" customWidth="1"/>
    <col min="4623" max="4623" width="1.140625" style="21" customWidth="1"/>
    <col min="4624" max="4624" width="17.140625" style="21" customWidth="1"/>
    <col min="4625" max="4625" width="11.85546875" style="21" customWidth="1"/>
    <col min="4626" max="4626" width="19.85546875" style="21" customWidth="1"/>
    <col min="4627" max="4627" width="12.5703125" style="21" customWidth="1"/>
    <col min="4628" max="4628" width="11.5703125" style="21"/>
    <col min="4629" max="4629" width="8.85546875" style="21" customWidth="1"/>
    <col min="4630" max="4630" width="10.140625" style="21" customWidth="1"/>
    <col min="4631" max="4631" width="10" style="21" customWidth="1"/>
    <col min="4632" max="4632" width="8.140625" style="21" customWidth="1"/>
    <col min="4633" max="4640" width="10.85546875" style="21" customWidth="1"/>
    <col min="4641" max="4641" width="8.42578125" style="21" customWidth="1"/>
    <col min="4642" max="4642" width="10" style="21" customWidth="1"/>
    <col min="4643" max="4643" width="7.140625" style="21" customWidth="1"/>
    <col min="4644" max="4644" width="9.42578125" style="21" customWidth="1"/>
    <col min="4645" max="4645" width="8.85546875" style="21" customWidth="1"/>
    <col min="4646" max="4646" width="17.140625" style="21" customWidth="1"/>
    <col min="4647" max="4647" width="26.140625" style="21" customWidth="1"/>
    <col min="4648" max="4871" width="11.5703125" style="21"/>
    <col min="4872" max="4872" width="7.140625" style="21" customWidth="1"/>
    <col min="4873" max="4873" width="14.85546875" style="21" customWidth="1"/>
    <col min="4874" max="4874" width="13.5703125" style="21" customWidth="1"/>
    <col min="4875" max="4875" width="3.140625" style="21" customWidth="1"/>
    <col min="4876" max="4877" width="4.85546875" style="21" customWidth="1"/>
    <col min="4878" max="4878" width="12.5703125" style="21" customWidth="1"/>
    <col min="4879" max="4879" width="1.140625" style="21" customWidth="1"/>
    <col min="4880" max="4880" width="17.140625" style="21" customWidth="1"/>
    <col min="4881" max="4881" width="11.85546875" style="21" customWidth="1"/>
    <col min="4882" max="4882" width="19.85546875" style="21" customWidth="1"/>
    <col min="4883" max="4883" width="12.5703125" style="21" customWidth="1"/>
    <col min="4884" max="4884" width="11.5703125" style="21"/>
    <col min="4885" max="4885" width="8.85546875" style="21" customWidth="1"/>
    <col min="4886" max="4886" width="10.140625" style="21" customWidth="1"/>
    <col min="4887" max="4887" width="10" style="21" customWidth="1"/>
    <col min="4888" max="4888" width="8.140625" style="21" customWidth="1"/>
    <col min="4889" max="4896" width="10.85546875" style="21" customWidth="1"/>
    <col min="4897" max="4897" width="8.42578125" style="21" customWidth="1"/>
    <col min="4898" max="4898" width="10" style="21" customWidth="1"/>
    <col min="4899" max="4899" width="7.140625" style="21" customWidth="1"/>
    <col min="4900" max="4900" width="9.42578125" style="21" customWidth="1"/>
    <col min="4901" max="4901" width="8.85546875" style="21" customWidth="1"/>
    <col min="4902" max="4902" width="17.140625" style="21" customWidth="1"/>
    <col min="4903" max="4903" width="26.140625" style="21" customWidth="1"/>
    <col min="4904" max="5127" width="11.5703125" style="21"/>
    <col min="5128" max="5128" width="7.140625" style="21" customWidth="1"/>
    <col min="5129" max="5129" width="14.85546875" style="21" customWidth="1"/>
    <col min="5130" max="5130" width="13.5703125" style="21" customWidth="1"/>
    <col min="5131" max="5131" width="3.140625" style="21" customWidth="1"/>
    <col min="5132" max="5133" width="4.85546875" style="21" customWidth="1"/>
    <col min="5134" max="5134" width="12.5703125" style="21" customWidth="1"/>
    <col min="5135" max="5135" width="1.140625" style="21" customWidth="1"/>
    <col min="5136" max="5136" width="17.140625" style="21" customWidth="1"/>
    <col min="5137" max="5137" width="11.85546875" style="21" customWidth="1"/>
    <col min="5138" max="5138" width="19.85546875" style="21" customWidth="1"/>
    <col min="5139" max="5139" width="12.5703125" style="21" customWidth="1"/>
    <col min="5140" max="5140" width="11.5703125" style="21"/>
    <col min="5141" max="5141" width="8.85546875" style="21" customWidth="1"/>
    <col min="5142" max="5142" width="10.140625" style="21" customWidth="1"/>
    <col min="5143" max="5143" width="10" style="21" customWidth="1"/>
    <col min="5144" max="5144" width="8.140625" style="21" customWidth="1"/>
    <col min="5145" max="5152" width="10.85546875" style="21" customWidth="1"/>
    <col min="5153" max="5153" width="8.42578125" style="21" customWidth="1"/>
    <col min="5154" max="5154" width="10" style="21" customWidth="1"/>
    <col min="5155" max="5155" width="7.140625" style="21" customWidth="1"/>
    <col min="5156" max="5156" width="9.42578125" style="21" customWidth="1"/>
    <col min="5157" max="5157" width="8.85546875" style="21" customWidth="1"/>
    <col min="5158" max="5158" width="17.140625" style="21" customWidth="1"/>
    <col min="5159" max="5159" width="26.140625" style="21" customWidth="1"/>
    <col min="5160" max="5383" width="11.5703125" style="21"/>
    <col min="5384" max="5384" width="7.140625" style="21" customWidth="1"/>
    <col min="5385" max="5385" width="14.85546875" style="21" customWidth="1"/>
    <col min="5386" max="5386" width="13.5703125" style="21" customWidth="1"/>
    <col min="5387" max="5387" width="3.140625" style="21" customWidth="1"/>
    <col min="5388" max="5389" width="4.85546875" style="21" customWidth="1"/>
    <col min="5390" max="5390" width="12.5703125" style="21" customWidth="1"/>
    <col min="5391" max="5391" width="1.140625" style="21" customWidth="1"/>
    <col min="5392" max="5392" width="17.140625" style="21" customWidth="1"/>
    <col min="5393" max="5393" width="11.85546875" style="21" customWidth="1"/>
    <col min="5394" max="5394" width="19.85546875" style="21" customWidth="1"/>
    <col min="5395" max="5395" width="12.5703125" style="21" customWidth="1"/>
    <col min="5396" max="5396" width="11.5703125" style="21"/>
    <col min="5397" max="5397" width="8.85546875" style="21" customWidth="1"/>
    <col min="5398" max="5398" width="10.140625" style="21" customWidth="1"/>
    <col min="5399" max="5399" width="10" style="21" customWidth="1"/>
    <col min="5400" max="5400" width="8.140625" style="21" customWidth="1"/>
    <col min="5401" max="5408" width="10.85546875" style="21" customWidth="1"/>
    <col min="5409" max="5409" width="8.42578125" style="21" customWidth="1"/>
    <col min="5410" max="5410" width="10" style="21" customWidth="1"/>
    <col min="5411" max="5411" width="7.140625" style="21" customWidth="1"/>
    <col min="5412" max="5412" width="9.42578125" style="21" customWidth="1"/>
    <col min="5413" max="5413" width="8.85546875" style="21" customWidth="1"/>
    <col min="5414" max="5414" width="17.140625" style="21" customWidth="1"/>
    <col min="5415" max="5415" width="26.140625" style="21" customWidth="1"/>
    <col min="5416" max="5639" width="11.5703125" style="21"/>
    <col min="5640" max="5640" width="7.140625" style="21" customWidth="1"/>
    <col min="5641" max="5641" width="14.85546875" style="21" customWidth="1"/>
    <col min="5642" max="5642" width="13.5703125" style="21" customWidth="1"/>
    <col min="5643" max="5643" width="3.140625" style="21" customWidth="1"/>
    <col min="5644" max="5645" width="4.85546875" style="21" customWidth="1"/>
    <col min="5646" max="5646" width="12.5703125" style="21" customWidth="1"/>
    <col min="5647" max="5647" width="1.140625" style="21" customWidth="1"/>
    <col min="5648" max="5648" width="17.140625" style="21" customWidth="1"/>
    <col min="5649" max="5649" width="11.85546875" style="21" customWidth="1"/>
    <col min="5650" max="5650" width="19.85546875" style="21" customWidth="1"/>
    <col min="5651" max="5651" width="12.5703125" style="21" customWidth="1"/>
    <col min="5652" max="5652" width="11.5703125" style="21"/>
    <col min="5653" max="5653" width="8.85546875" style="21" customWidth="1"/>
    <col min="5654" max="5654" width="10.140625" style="21" customWidth="1"/>
    <col min="5655" max="5655" width="10" style="21" customWidth="1"/>
    <col min="5656" max="5656" width="8.140625" style="21" customWidth="1"/>
    <col min="5657" max="5664" width="10.85546875" style="21" customWidth="1"/>
    <col min="5665" max="5665" width="8.42578125" style="21" customWidth="1"/>
    <col min="5666" max="5666" width="10" style="21" customWidth="1"/>
    <col min="5667" max="5667" width="7.140625" style="21" customWidth="1"/>
    <col min="5668" max="5668" width="9.42578125" style="21" customWidth="1"/>
    <col min="5669" max="5669" width="8.85546875" style="21" customWidth="1"/>
    <col min="5670" max="5670" width="17.140625" style="21" customWidth="1"/>
    <col min="5671" max="5671" width="26.140625" style="21" customWidth="1"/>
    <col min="5672" max="5895" width="11.5703125" style="21"/>
    <col min="5896" max="5896" width="7.140625" style="21" customWidth="1"/>
    <col min="5897" max="5897" width="14.85546875" style="21" customWidth="1"/>
    <col min="5898" max="5898" width="13.5703125" style="21" customWidth="1"/>
    <col min="5899" max="5899" width="3.140625" style="21" customWidth="1"/>
    <col min="5900" max="5901" width="4.85546875" style="21" customWidth="1"/>
    <col min="5902" max="5902" width="12.5703125" style="21" customWidth="1"/>
    <col min="5903" max="5903" width="1.140625" style="21" customWidth="1"/>
    <col min="5904" max="5904" width="17.140625" style="21" customWidth="1"/>
    <col min="5905" max="5905" width="11.85546875" style="21" customWidth="1"/>
    <col min="5906" max="5906" width="19.85546875" style="21" customWidth="1"/>
    <col min="5907" max="5907" width="12.5703125" style="21" customWidth="1"/>
    <col min="5908" max="5908" width="11.5703125" style="21"/>
    <col min="5909" max="5909" width="8.85546875" style="21" customWidth="1"/>
    <col min="5910" max="5910" width="10.140625" style="21" customWidth="1"/>
    <col min="5911" max="5911" width="10" style="21" customWidth="1"/>
    <col min="5912" max="5912" width="8.140625" style="21" customWidth="1"/>
    <col min="5913" max="5920" width="10.85546875" style="21" customWidth="1"/>
    <col min="5921" max="5921" width="8.42578125" style="21" customWidth="1"/>
    <col min="5922" max="5922" width="10" style="21" customWidth="1"/>
    <col min="5923" max="5923" width="7.140625" style="21" customWidth="1"/>
    <col min="5924" max="5924" width="9.42578125" style="21" customWidth="1"/>
    <col min="5925" max="5925" width="8.85546875" style="21" customWidth="1"/>
    <col min="5926" max="5926" width="17.140625" style="21" customWidth="1"/>
    <col min="5927" max="5927" width="26.140625" style="21" customWidth="1"/>
    <col min="5928" max="6151" width="11.5703125" style="21"/>
    <col min="6152" max="6152" width="7.140625" style="21" customWidth="1"/>
    <col min="6153" max="6153" width="14.85546875" style="21" customWidth="1"/>
    <col min="6154" max="6154" width="13.5703125" style="21" customWidth="1"/>
    <col min="6155" max="6155" width="3.140625" style="21" customWidth="1"/>
    <col min="6156" max="6157" width="4.85546875" style="21" customWidth="1"/>
    <col min="6158" max="6158" width="12.5703125" style="21" customWidth="1"/>
    <col min="6159" max="6159" width="1.140625" style="21" customWidth="1"/>
    <col min="6160" max="6160" width="17.140625" style="21" customWidth="1"/>
    <col min="6161" max="6161" width="11.85546875" style="21" customWidth="1"/>
    <col min="6162" max="6162" width="19.85546875" style="21" customWidth="1"/>
    <col min="6163" max="6163" width="12.5703125" style="21" customWidth="1"/>
    <col min="6164" max="6164" width="11.5703125" style="21"/>
    <col min="6165" max="6165" width="8.85546875" style="21" customWidth="1"/>
    <col min="6166" max="6166" width="10.140625" style="21" customWidth="1"/>
    <col min="6167" max="6167" width="10" style="21" customWidth="1"/>
    <col min="6168" max="6168" width="8.140625" style="21" customWidth="1"/>
    <col min="6169" max="6176" width="10.85546875" style="21" customWidth="1"/>
    <col min="6177" max="6177" width="8.42578125" style="21" customWidth="1"/>
    <col min="6178" max="6178" width="10" style="21" customWidth="1"/>
    <col min="6179" max="6179" width="7.140625" style="21" customWidth="1"/>
    <col min="6180" max="6180" width="9.42578125" style="21" customWidth="1"/>
    <col min="6181" max="6181" width="8.85546875" style="21" customWidth="1"/>
    <col min="6182" max="6182" width="17.140625" style="21" customWidth="1"/>
    <col min="6183" max="6183" width="26.140625" style="21" customWidth="1"/>
    <col min="6184" max="6407" width="11.5703125" style="21"/>
    <col min="6408" max="6408" width="7.140625" style="21" customWidth="1"/>
    <col min="6409" max="6409" width="14.85546875" style="21" customWidth="1"/>
    <col min="6410" max="6410" width="13.5703125" style="21" customWidth="1"/>
    <col min="6411" max="6411" width="3.140625" style="21" customWidth="1"/>
    <col min="6412" max="6413" width="4.85546875" style="21" customWidth="1"/>
    <col min="6414" max="6414" width="12.5703125" style="21" customWidth="1"/>
    <col min="6415" max="6415" width="1.140625" style="21" customWidth="1"/>
    <col min="6416" max="6416" width="17.140625" style="21" customWidth="1"/>
    <col min="6417" max="6417" width="11.85546875" style="21" customWidth="1"/>
    <col min="6418" max="6418" width="19.85546875" style="21" customWidth="1"/>
    <col min="6419" max="6419" width="12.5703125" style="21" customWidth="1"/>
    <col min="6420" max="6420" width="11.5703125" style="21"/>
    <col min="6421" max="6421" width="8.85546875" style="21" customWidth="1"/>
    <col min="6422" max="6422" width="10.140625" style="21" customWidth="1"/>
    <col min="6423" max="6423" width="10" style="21" customWidth="1"/>
    <col min="6424" max="6424" width="8.140625" style="21" customWidth="1"/>
    <col min="6425" max="6432" width="10.85546875" style="21" customWidth="1"/>
    <col min="6433" max="6433" width="8.42578125" style="21" customWidth="1"/>
    <col min="6434" max="6434" width="10" style="21" customWidth="1"/>
    <col min="6435" max="6435" width="7.140625" style="21" customWidth="1"/>
    <col min="6436" max="6436" width="9.42578125" style="21" customWidth="1"/>
    <col min="6437" max="6437" width="8.85546875" style="21" customWidth="1"/>
    <col min="6438" max="6438" width="17.140625" style="21" customWidth="1"/>
    <col min="6439" max="6439" width="26.140625" style="21" customWidth="1"/>
    <col min="6440" max="6663" width="11.5703125" style="21"/>
    <col min="6664" max="6664" width="7.140625" style="21" customWidth="1"/>
    <col min="6665" max="6665" width="14.85546875" style="21" customWidth="1"/>
    <col min="6666" max="6666" width="13.5703125" style="21" customWidth="1"/>
    <col min="6667" max="6667" width="3.140625" style="21" customWidth="1"/>
    <col min="6668" max="6669" width="4.85546875" style="21" customWidth="1"/>
    <col min="6670" max="6670" width="12.5703125" style="21" customWidth="1"/>
    <col min="6671" max="6671" width="1.140625" style="21" customWidth="1"/>
    <col min="6672" max="6672" width="17.140625" style="21" customWidth="1"/>
    <col min="6673" max="6673" width="11.85546875" style="21" customWidth="1"/>
    <col min="6674" max="6674" width="19.85546875" style="21" customWidth="1"/>
    <col min="6675" max="6675" width="12.5703125" style="21" customWidth="1"/>
    <col min="6676" max="6676" width="11.5703125" style="21"/>
    <col min="6677" max="6677" width="8.85546875" style="21" customWidth="1"/>
    <col min="6678" max="6678" width="10.140625" style="21" customWidth="1"/>
    <col min="6679" max="6679" width="10" style="21" customWidth="1"/>
    <col min="6680" max="6680" width="8.140625" style="21" customWidth="1"/>
    <col min="6681" max="6688" width="10.85546875" style="21" customWidth="1"/>
    <col min="6689" max="6689" width="8.42578125" style="21" customWidth="1"/>
    <col min="6690" max="6690" width="10" style="21" customWidth="1"/>
    <col min="6691" max="6691" width="7.140625" style="21" customWidth="1"/>
    <col min="6692" max="6692" width="9.42578125" style="21" customWidth="1"/>
    <col min="6693" max="6693" width="8.85546875" style="21" customWidth="1"/>
    <col min="6694" max="6694" width="17.140625" style="21" customWidth="1"/>
    <col min="6695" max="6695" width="26.140625" style="21" customWidth="1"/>
    <col min="6696" max="6919" width="11.5703125" style="21"/>
    <col min="6920" max="6920" width="7.140625" style="21" customWidth="1"/>
    <col min="6921" max="6921" width="14.85546875" style="21" customWidth="1"/>
    <col min="6922" max="6922" width="13.5703125" style="21" customWidth="1"/>
    <col min="6923" max="6923" width="3.140625" style="21" customWidth="1"/>
    <col min="6924" max="6925" width="4.85546875" style="21" customWidth="1"/>
    <col min="6926" max="6926" width="12.5703125" style="21" customWidth="1"/>
    <col min="6927" max="6927" width="1.140625" style="21" customWidth="1"/>
    <col min="6928" max="6928" width="17.140625" style="21" customWidth="1"/>
    <col min="6929" max="6929" width="11.85546875" style="21" customWidth="1"/>
    <col min="6930" max="6930" width="19.85546875" style="21" customWidth="1"/>
    <col min="6931" max="6931" width="12.5703125" style="21" customWidth="1"/>
    <col min="6932" max="6932" width="11.5703125" style="21"/>
    <col min="6933" max="6933" width="8.85546875" style="21" customWidth="1"/>
    <col min="6934" max="6934" width="10.140625" style="21" customWidth="1"/>
    <col min="6935" max="6935" width="10" style="21" customWidth="1"/>
    <col min="6936" max="6936" width="8.140625" style="21" customWidth="1"/>
    <col min="6937" max="6944" width="10.85546875" style="21" customWidth="1"/>
    <col min="6945" max="6945" width="8.42578125" style="21" customWidth="1"/>
    <col min="6946" max="6946" width="10" style="21" customWidth="1"/>
    <col min="6947" max="6947" width="7.140625" style="21" customWidth="1"/>
    <col min="6948" max="6948" width="9.42578125" style="21" customWidth="1"/>
    <col min="6949" max="6949" width="8.85546875" style="21" customWidth="1"/>
    <col min="6950" max="6950" width="17.140625" style="21" customWidth="1"/>
    <col min="6951" max="6951" width="26.140625" style="21" customWidth="1"/>
    <col min="6952" max="7175" width="11.5703125" style="21"/>
    <col min="7176" max="7176" width="7.140625" style="21" customWidth="1"/>
    <col min="7177" max="7177" width="14.85546875" style="21" customWidth="1"/>
    <col min="7178" max="7178" width="13.5703125" style="21" customWidth="1"/>
    <col min="7179" max="7179" width="3.140625" style="21" customWidth="1"/>
    <col min="7180" max="7181" width="4.85546875" style="21" customWidth="1"/>
    <col min="7182" max="7182" width="12.5703125" style="21" customWidth="1"/>
    <col min="7183" max="7183" width="1.140625" style="21" customWidth="1"/>
    <col min="7184" max="7184" width="17.140625" style="21" customWidth="1"/>
    <col min="7185" max="7185" width="11.85546875" style="21" customWidth="1"/>
    <col min="7186" max="7186" width="19.85546875" style="21" customWidth="1"/>
    <col min="7187" max="7187" width="12.5703125" style="21" customWidth="1"/>
    <col min="7188" max="7188" width="11.5703125" style="21"/>
    <col min="7189" max="7189" width="8.85546875" style="21" customWidth="1"/>
    <col min="7190" max="7190" width="10.140625" style="21" customWidth="1"/>
    <col min="7191" max="7191" width="10" style="21" customWidth="1"/>
    <col min="7192" max="7192" width="8.140625" style="21" customWidth="1"/>
    <col min="7193" max="7200" width="10.85546875" style="21" customWidth="1"/>
    <col min="7201" max="7201" width="8.42578125" style="21" customWidth="1"/>
    <col min="7202" max="7202" width="10" style="21" customWidth="1"/>
    <col min="7203" max="7203" width="7.140625" style="21" customWidth="1"/>
    <col min="7204" max="7204" width="9.42578125" style="21" customWidth="1"/>
    <col min="7205" max="7205" width="8.85546875" style="21" customWidth="1"/>
    <col min="7206" max="7206" width="17.140625" style="21" customWidth="1"/>
    <col min="7207" max="7207" width="26.140625" style="21" customWidth="1"/>
    <col min="7208" max="7431" width="11.5703125" style="21"/>
    <col min="7432" max="7432" width="7.140625" style="21" customWidth="1"/>
    <col min="7433" max="7433" width="14.85546875" style="21" customWidth="1"/>
    <col min="7434" max="7434" width="13.5703125" style="21" customWidth="1"/>
    <col min="7435" max="7435" width="3.140625" style="21" customWidth="1"/>
    <col min="7436" max="7437" width="4.85546875" style="21" customWidth="1"/>
    <col min="7438" max="7438" width="12.5703125" style="21" customWidth="1"/>
    <col min="7439" max="7439" width="1.140625" style="21" customWidth="1"/>
    <col min="7440" max="7440" width="17.140625" style="21" customWidth="1"/>
    <col min="7441" max="7441" width="11.85546875" style="21" customWidth="1"/>
    <col min="7442" max="7442" width="19.85546875" style="21" customWidth="1"/>
    <col min="7443" max="7443" width="12.5703125" style="21" customWidth="1"/>
    <col min="7444" max="7444" width="11.5703125" style="21"/>
    <col min="7445" max="7445" width="8.85546875" style="21" customWidth="1"/>
    <col min="7446" max="7446" width="10.140625" style="21" customWidth="1"/>
    <col min="7447" max="7447" width="10" style="21" customWidth="1"/>
    <col min="7448" max="7448" width="8.140625" style="21" customWidth="1"/>
    <col min="7449" max="7456" width="10.85546875" style="21" customWidth="1"/>
    <col min="7457" max="7457" width="8.42578125" style="21" customWidth="1"/>
    <col min="7458" max="7458" width="10" style="21" customWidth="1"/>
    <col min="7459" max="7459" width="7.140625" style="21" customWidth="1"/>
    <col min="7460" max="7460" width="9.42578125" style="21" customWidth="1"/>
    <col min="7461" max="7461" width="8.85546875" style="21" customWidth="1"/>
    <col min="7462" max="7462" width="17.140625" style="21" customWidth="1"/>
    <col min="7463" max="7463" width="26.140625" style="21" customWidth="1"/>
    <col min="7464" max="7687" width="11.5703125" style="21"/>
    <col min="7688" max="7688" width="7.140625" style="21" customWidth="1"/>
    <col min="7689" max="7689" width="14.85546875" style="21" customWidth="1"/>
    <col min="7690" max="7690" width="13.5703125" style="21" customWidth="1"/>
    <col min="7691" max="7691" width="3.140625" style="21" customWidth="1"/>
    <col min="7692" max="7693" width="4.85546875" style="21" customWidth="1"/>
    <col min="7694" max="7694" width="12.5703125" style="21" customWidth="1"/>
    <col min="7695" max="7695" width="1.140625" style="21" customWidth="1"/>
    <col min="7696" max="7696" width="17.140625" style="21" customWidth="1"/>
    <col min="7697" max="7697" width="11.85546875" style="21" customWidth="1"/>
    <col min="7698" max="7698" width="19.85546875" style="21" customWidth="1"/>
    <col min="7699" max="7699" width="12.5703125" style="21" customWidth="1"/>
    <col min="7700" max="7700" width="11.5703125" style="21"/>
    <col min="7701" max="7701" width="8.85546875" style="21" customWidth="1"/>
    <col min="7702" max="7702" width="10.140625" style="21" customWidth="1"/>
    <col min="7703" max="7703" width="10" style="21" customWidth="1"/>
    <col min="7704" max="7704" width="8.140625" style="21" customWidth="1"/>
    <col min="7705" max="7712" width="10.85546875" style="21" customWidth="1"/>
    <col min="7713" max="7713" width="8.42578125" style="21" customWidth="1"/>
    <col min="7714" max="7714" width="10" style="21" customWidth="1"/>
    <col min="7715" max="7715" width="7.140625" style="21" customWidth="1"/>
    <col min="7716" max="7716" width="9.42578125" style="21" customWidth="1"/>
    <col min="7717" max="7717" width="8.85546875" style="21" customWidth="1"/>
    <col min="7718" max="7718" width="17.140625" style="21" customWidth="1"/>
    <col min="7719" max="7719" width="26.140625" style="21" customWidth="1"/>
    <col min="7720" max="7943" width="11.5703125" style="21"/>
    <col min="7944" max="7944" width="7.140625" style="21" customWidth="1"/>
    <col min="7945" max="7945" width="14.85546875" style="21" customWidth="1"/>
    <col min="7946" max="7946" width="13.5703125" style="21" customWidth="1"/>
    <col min="7947" max="7947" width="3.140625" style="21" customWidth="1"/>
    <col min="7948" max="7949" width="4.85546875" style="21" customWidth="1"/>
    <col min="7950" max="7950" width="12.5703125" style="21" customWidth="1"/>
    <col min="7951" max="7951" width="1.140625" style="21" customWidth="1"/>
    <col min="7952" max="7952" width="17.140625" style="21" customWidth="1"/>
    <col min="7953" max="7953" width="11.85546875" style="21" customWidth="1"/>
    <col min="7954" max="7954" width="19.85546875" style="21" customWidth="1"/>
    <col min="7955" max="7955" width="12.5703125" style="21" customWidth="1"/>
    <col min="7956" max="7956" width="11.5703125" style="21"/>
    <col min="7957" max="7957" width="8.85546875" style="21" customWidth="1"/>
    <col min="7958" max="7958" width="10.140625" style="21" customWidth="1"/>
    <col min="7959" max="7959" width="10" style="21" customWidth="1"/>
    <col min="7960" max="7960" width="8.140625" style="21" customWidth="1"/>
    <col min="7961" max="7968" width="10.85546875" style="21" customWidth="1"/>
    <col min="7969" max="7969" width="8.42578125" style="21" customWidth="1"/>
    <col min="7970" max="7970" width="10" style="21" customWidth="1"/>
    <col min="7971" max="7971" width="7.140625" style="21" customWidth="1"/>
    <col min="7972" max="7972" width="9.42578125" style="21" customWidth="1"/>
    <col min="7973" max="7973" width="8.85546875" style="21" customWidth="1"/>
    <col min="7974" max="7974" width="17.140625" style="21" customWidth="1"/>
    <col min="7975" max="7975" width="26.140625" style="21" customWidth="1"/>
    <col min="7976" max="8199" width="11.5703125" style="21"/>
    <col min="8200" max="8200" width="7.140625" style="21" customWidth="1"/>
    <col min="8201" max="8201" width="14.85546875" style="21" customWidth="1"/>
    <col min="8202" max="8202" width="13.5703125" style="21" customWidth="1"/>
    <col min="8203" max="8203" width="3.140625" style="21" customWidth="1"/>
    <col min="8204" max="8205" width="4.85546875" style="21" customWidth="1"/>
    <col min="8206" max="8206" width="12.5703125" style="21" customWidth="1"/>
    <col min="8207" max="8207" width="1.140625" style="21" customWidth="1"/>
    <col min="8208" max="8208" width="17.140625" style="21" customWidth="1"/>
    <col min="8209" max="8209" width="11.85546875" style="21" customWidth="1"/>
    <col min="8210" max="8210" width="19.85546875" style="21" customWidth="1"/>
    <col min="8211" max="8211" width="12.5703125" style="21" customWidth="1"/>
    <col min="8212" max="8212" width="11.5703125" style="21"/>
    <col min="8213" max="8213" width="8.85546875" style="21" customWidth="1"/>
    <col min="8214" max="8214" width="10.140625" style="21" customWidth="1"/>
    <col min="8215" max="8215" width="10" style="21" customWidth="1"/>
    <col min="8216" max="8216" width="8.140625" style="21" customWidth="1"/>
    <col min="8217" max="8224" width="10.85546875" style="21" customWidth="1"/>
    <col min="8225" max="8225" width="8.42578125" style="21" customWidth="1"/>
    <col min="8226" max="8226" width="10" style="21" customWidth="1"/>
    <col min="8227" max="8227" width="7.140625" style="21" customWidth="1"/>
    <col min="8228" max="8228" width="9.42578125" style="21" customWidth="1"/>
    <col min="8229" max="8229" width="8.85546875" style="21" customWidth="1"/>
    <col min="8230" max="8230" width="17.140625" style="21" customWidth="1"/>
    <col min="8231" max="8231" width="26.140625" style="21" customWidth="1"/>
    <col min="8232" max="8455" width="11.5703125" style="21"/>
    <col min="8456" max="8456" width="7.140625" style="21" customWidth="1"/>
    <col min="8457" max="8457" width="14.85546875" style="21" customWidth="1"/>
    <col min="8458" max="8458" width="13.5703125" style="21" customWidth="1"/>
    <col min="8459" max="8459" width="3.140625" style="21" customWidth="1"/>
    <col min="8460" max="8461" width="4.85546875" style="21" customWidth="1"/>
    <col min="8462" max="8462" width="12.5703125" style="21" customWidth="1"/>
    <col min="8463" max="8463" width="1.140625" style="21" customWidth="1"/>
    <col min="8464" max="8464" width="17.140625" style="21" customWidth="1"/>
    <col min="8465" max="8465" width="11.85546875" style="21" customWidth="1"/>
    <col min="8466" max="8466" width="19.85546875" style="21" customWidth="1"/>
    <col min="8467" max="8467" width="12.5703125" style="21" customWidth="1"/>
    <col min="8468" max="8468" width="11.5703125" style="21"/>
    <col min="8469" max="8469" width="8.85546875" style="21" customWidth="1"/>
    <col min="8470" max="8470" width="10.140625" style="21" customWidth="1"/>
    <col min="8471" max="8471" width="10" style="21" customWidth="1"/>
    <col min="8472" max="8472" width="8.140625" style="21" customWidth="1"/>
    <col min="8473" max="8480" width="10.85546875" style="21" customWidth="1"/>
    <col min="8481" max="8481" width="8.42578125" style="21" customWidth="1"/>
    <col min="8482" max="8482" width="10" style="21" customWidth="1"/>
    <col min="8483" max="8483" width="7.140625" style="21" customWidth="1"/>
    <col min="8484" max="8484" width="9.42578125" style="21" customWidth="1"/>
    <col min="8485" max="8485" width="8.85546875" style="21" customWidth="1"/>
    <col min="8486" max="8486" width="17.140625" style="21" customWidth="1"/>
    <col min="8487" max="8487" width="26.140625" style="21" customWidth="1"/>
    <col min="8488" max="8711" width="11.5703125" style="21"/>
    <col min="8712" max="8712" width="7.140625" style="21" customWidth="1"/>
    <col min="8713" max="8713" width="14.85546875" style="21" customWidth="1"/>
    <col min="8714" max="8714" width="13.5703125" style="21" customWidth="1"/>
    <col min="8715" max="8715" width="3.140625" style="21" customWidth="1"/>
    <col min="8716" max="8717" width="4.85546875" style="21" customWidth="1"/>
    <col min="8718" max="8718" width="12.5703125" style="21" customWidth="1"/>
    <col min="8719" max="8719" width="1.140625" style="21" customWidth="1"/>
    <col min="8720" max="8720" width="17.140625" style="21" customWidth="1"/>
    <col min="8721" max="8721" width="11.85546875" style="21" customWidth="1"/>
    <col min="8722" max="8722" width="19.85546875" style="21" customWidth="1"/>
    <col min="8723" max="8723" width="12.5703125" style="21" customWidth="1"/>
    <col min="8724" max="8724" width="11.5703125" style="21"/>
    <col min="8725" max="8725" width="8.85546875" style="21" customWidth="1"/>
    <col min="8726" max="8726" width="10.140625" style="21" customWidth="1"/>
    <col min="8727" max="8727" width="10" style="21" customWidth="1"/>
    <col min="8728" max="8728" width="8.140625" style="21" customWidth="1"/>
    <col min="8729" max="8736" width="10.85546875" style="21" customWidth="1"/>
    <col min="8737" max="8737" width="8.42578125" style="21" customWidth="1"/>
    <col min="8738" max="8738" width="10" style="21" customWidth="1"/>
    <col min="8739" max="8739" width="7.140625" style="21" customWidth="1"/>
    <col min="8740" max="8740" width="9.42578125" style="21" customWidth="1"/>
    <col min="8741" max="8741" width="8.85546875" style="21" customWidth="1"/>
    <col min="8742" max="8742" width="17.140625" style="21" customWidth="1"/>
    <col min="8743" max="8743" width="26.140625" style="21" customWidth="1"/>
    <col min="8744" max="8967" width="11.5703125" style="21"/>
    <col min="8968" max="8968" width="7.140625" style="21" customWidth="1"/>
    <col min="8969" max="8969" width="14.85546875" style="21" customWidth="1"/>
    <col min="8970" max="8970" width="13.5703125" style="21" customWidth="1"/>
    <col min="8971" max="8971" width="3.140625" style="21" customWidth="1"/>
    <col min="8972" max="8973" width="4.85546875" style="21" customWidth="1"/>
    <col min="8974" max="8974" width="12.5703125" style="21" customWidth="1"/>
    <col min="8975" max="8975" width="1.140625" style="21" customWidth="1"/>
    <col min="8976" max="8976" width="17.140625" style="21" customWidth="1"/>
    <col min="8977" max="8977" width="11.85546875" style="21" customWidth="1"/>
    <col min="8978" max="8978" width="19.85546875" style="21" customWidth="1"/>
    <col min="8979" max="8979" width="12.5703125" style="21" customWidth="1"/>
    <col min="8980" max="8980" width="11.5703125" style="21"/>
    <col min="8981" max="8981" width="8.85546875" style="21" customWidth="1"/>
    <col min="8982" max="8982" width="10.140625" style="21" customWidth="1"/>
    <col min="8983" max="8983" width="10" style="21" customWidth="1"/>
    <col min="8984" max="8984" width="8.140625" style="21" customWidth="1"/>
    <col min="8985" max="8992" width="10.85546875" style="21" customWidth="1"/>
    <col min="8993" max="8993" width="8.42578125" style="21" customWidth="1"/>
    <col min="8994" max="8994" width="10" style="21" customWidth="1"/>
    <col min="8995" max="8995" width="7.140625" style="21" customWidth="1"/>
    <col min="8996" max="8996" width="9.42578125" style="21" customWidth="1"/>
    <col min="8997" max="8997" width="8.85546875" style="21" customWidth="1"/>
    <col min="8998" max="8998" width="17.140625" style="21" customWidth="1"/>
    <col min="8999" max="8999" width="26.140625" style="21" customWidth="1"/>
    <col min="9000" max="9223" width="11.5703125" style="21"/>
    <col min="9224" max="9224" width="7.140625" style="21" customWidth="1"/>
    <col min="9225" max="9225" width="14.85546875" style="21" customWidth="1"/>
    <col min="9226" max="9226" width="13.5703125" style="21" customWidth="1"/>
    <col min="9227" max="9227" width="3.140625" style="21" customWidth="1"/>
    <col min="9228" max="9229" width="4.85546875" style="21" customWidth="1"/>
    <col min="9230" max="9230" width="12.5703125" style="21" customWidth="1"/>
    <col min="9231" max="9231" width="1.140625" style="21" customWidth="1"/>
    <col min="9232" max="9232" width="17.140625" style="21" customWidth="1"/>
    <col min="9233" max="9233" width="11.85546875" style="21" customWidth="1"/>
    <col min="9234" max="9234" width="19.85546875" style="21" customWidth="1"/>
    <col min="9235" max="9235" width="12.5703125" style="21" customWidth="1"/>
    <col min="9236" max="9236" width="11.5703125" style="21"/>
    <col min="9237" max="9237" width="8.85546875" style="21" customWidth="1"/>
    <col min="9238" max="9238" width="10.140625" style="21" customWidth="1"/>
    <col min="9239" max="9239" width="10" style="21" customWidth="1"/>
    <col min="9240" max="9240" width="8.140625" style="21" customWidth="1"/>
    <col min="9241" max="9248" width="10.85546875" style="21" customWidth="1"/>
    <col min="9249" max="9249" width="8.42578125" style="21" customWidth="1"/>
    <col min="9250" max="9250" width="10" style="21" customWidth="1"/>
    <col min="9251" max="9251" width="7.140625" style="21" customWidth="1"/>
    <col min="9252" max="9252" width="9.42578125" style="21" customWidth="1"/>
    <col min="9253" max="9253" width="8.85546875" style="21" customWidth="1"/>
    <col min="9254" max="9254" width="17.140625" style="21" customWidth="1"/>
    <col min="9255" max="9255" width="26.140625" style="21" customWidth="1"/>
    <col min="9256" max="9479" width="11.5703125" style="21"/>
    <col min="9480" max="9480" width="7.140625" style="21" customWidth="1"/>
    <col min="9481" max="9481" width="14.85546875" style="21" customWidth="1"/>
    <col min="9482" max="9482" width="13.5703125" style="21" customWidth="1"/>
    <col min="9483" max="9483" width="3.140625" style="21" customWidth="1"/>
    <col min="9484" max="9485" width="4.85546875" style="21" customWidth="1"/>
    <col min="9486" max="9486" width="12.5703125" style="21" customWidth="1"/>
    <col min="9487" max="9487" width="1.140625" style="21" customWidth="1"/>
    <col min="9488" max="9488" width="17.140625" style="21" customWidth="1"/>
    <col min="9489" max="9489" width="11.85546875" style="21" customWidth="1"/>
    <col min="9490" max="9490" width="19.85546875" style="21" customWidth="1"/>
    <col min="9491" max="9491" width="12.5703125" style="21" customWidth="1"/>
    <col min="9492" max="9492" width="11.5703125" style="21"/>
    <col min="9493" max="9493" width="8.85546875" style="21" customWidth="1"/>
    <col min="9494" max="9494" width="10.140625" style="21" customWidth="1"/>
    <col min="9495" max="9495" width="10" style="21" customWidth="1"/>
    <col min="9496" max="9496" width="8.140625" style="21" customWidth="1"/>
    <col min="9497" max="9504" width="10.85546875" style="21" customWidth="1"/>
    <col min="9505" max="9505" width="8.42578125" style="21" customWidth="1"/>
    <col min="9506" max="9506" width="10" style="21" customWidth="1"/>
    <col min="9507" max="9507" width="7.140625" style="21" customWidth="1"/>
    <col min="9508" max="9508" width="9.42578125" style="21" customWidth="1"/>
    <col min="9509" max="9509" width="8.85546875" style="21" customWidth="1"/>
    <col min="9510" max="9510" width="17.140625" style="21" customWidth="1"/>
    <col min="9511" max="9511" width="26.140625" style="21" customWidth="1"/>
    <col min="9512" max="9735" width="11.5703125" style="21"/>
    <col min="9736" max="9736" width="7.140625" style="21" customWidth="1"/>
    <col min="9737" max="9737" width="14.85546875" style="21" customWidth="1"/>
    <col min="9738" max="9738" width="13.5703125" style="21" customWidth="1"/>
    <col min="9739" max="9739" width="3.140625" style="21" customWidth="1"/>
    <col min="9740" max="9741" width="4.85546875" style="21" customWidth="1"/>
    <col min="9742" max="9742" width="12.5703125" style="21" customWidth="1"/>
    <col min="9743" max="9743" width="1.140625" style="21" customWidth="1"/>
    <col min="9744" max="9744" width="17.140625" style="21" customWidth="1"/>
    <col min="9745" max="9745" width="11.85546875" style="21" customWidth="1"/>
    <col min="9746" max="9746" width="19.85546875" style="21" customWidth="1"/>
    <col min="9747" max="9747" width="12.5703125" style="21" customWidth="1"/>
    <col min="9748" max="9748" width="11.5703125" style="21"/>
    <col min="9749" max="9749" width="8.85546875" style="21" customWidth="1"/>
    <col min="9750" max="9750" width="10.140625" style="21" customWidth="1"/>
    <col min="9751" max="9751" width="10" style="21" customWidth="1"/>
    <col min="9752" max="9752" width="8.140625" style="21" customWidth="1"/>
    <col min="9753" max="9760" width="10.85546875" style="21" customWidth="1"/>
    <col min="9761" max="9761" width="8.42578125" style="21" customWidth="1"/>
    <col min="9762" max="9762" width="10" style="21" customWidth="1"/>
    <col min="9763" max="9763" width="7.140625" style="21" customWidth="1"/>
    <col min="9764" max="9764" width="9.42578125" style="21" customWidth="1"/>
    <col min="9765" max="9765" width="8.85546875" style="21" customWidth="1"/>
    <col min="9766" max="9766" width="17.140625" style="21" customWidth="1"/>
    <col min="9767" max="9767" width="26.140625" style="21" customWidth="1"/>
    <col min="9768" max="9991" width="11.5703125" style="21"/>
    <col min="9992" max="9992" width="7.140625" style="21" customWidth="1"/>
    <col min="9993" max="9993" width="14.85546875" style="21" customWidth="1"/>
    <col min="9994" max="9994" width="13.5703125" style="21" customWidth="1"/>
    <col min="9995" max="9995" width="3.140625" style="21" customWidth="1"/>
    <col min="9996" max="9997" width="4.85546875" style="21" customWidth="1"/>
    <col min="9998" max="9998" width="12.5703125" style="21" customWidth="1"/>
    <col min="9999" max="9999" width="1.140625" style="21" customWidth="1"/>
    <col min="10000" max="10000" width="17.140625" style="21" customWidth="1"/>
    <col min="10001" max="10001" width="11.85546875" style="21" customWidth="1"/>
    <col min="10002" max="10002" width="19.85546875" style="21" customWidth="1"/>
    <col min="10003" max="10003" width="12.5703125" style="21" customWidth="1"/>
    <col min="10004" max="10004" width="11.5703125" style="21"/>
    <col min="10005" max="10005" width="8.85546875" style="21" customWidth="1"/>
    <col min="10006" max="10006" width="10.140625" style="21" customWidth="1"/>
    <col min="10007" max="10007" width="10" style="21" customWidth="1"/>
    <col min="10008" max="10008" width="8.140625" style="21" customWidth="1"/>
    <col min="10009" max="10016" width="10.85546875" style="21" customWidth="1"/>
    <col min="10017" max="10017" width="8.42578125" style="21" customWidth="1"/>
    <col min="10018" max="10018" width="10" style="21" customWidth="1"/>
    <col min="10019" max="10019" width="7.140625" style="21" customWidth="1"/>
    <col min="10020" max="10020" width="9.42578125" style="21" customWidth="1"/>
    <col min="10021" max="10021" width="8.85546875" style="21" customWidth="1"/>
    <col min="10022" max="10022" width="17.140625" style="21" customWidth="1"/>
    <col min="10023" max="10023" width="26.140625" style="21" customWidth="1"/>
    <col min="10024" max="10247" width="11.5703125" style="21"/>
    <col min="10248" max="10248" width="7.140625" style="21" customWidth="1"/>
    <col min="10249" max="10249" width="14.85546875" style="21" customWidth="1"/>
    <col min="10250" max="10250" width="13.5703125" style="21" customWidth="1"/>
    <col min="10251" max="10251" width="3.140625" style="21" customWidth="1"/>
    <col min="10252" max="10253" width="4.85546875" style="21" customWidth="1"/>
    <col min="10254" max="10254" width="12.5703125" style="21" customWidth="1"/>
    <col min="10255" max="10255" width="1.140625" style="21" customWidth="1"/>
    <col min="10256" max="10256" width="17.140625" style="21" customWidth="1"/>
    <col min="10257" max="10257" width="11.85546875" style="21" customWidth="1"/>
    <col min="10258" max="10258" width="19.85546875" style="21" customWidth="1"/>
    <col min="10259" max="10259" width="12.5703125" style="21" customWidth="1"/>
    <col min="10260" max="10260" width="11.5703125" style="21"/>
    <col min="10261" max="10261" width="8.85546875" style="21" customWidth="1"/>
    <col min="10262" max="10262" width="10.140625" style="21" customWidth="1"/>
    <col min="10263" max="10263" width="10" style="21" customWidth="1"/>
    <col min="10264" max="10264" width="8.140625" style="21" customWidth="1"/>
    <col min="10265" max="10272" width="10.85546875" style="21" customWidth="1"/>
    <col min="10273" max="10273" width="8.42578125" style="21" customWidth="1"/>
    <col min="10274" max="10274" width="10" style="21" customWidth="1"/>
    <col min="10275" max="10275" width="7.140625" style="21" customWidth="1"/>
    <col min="10276" max="10276" width="9.42578125" style="21" customWidth="1"/>
    <col min="10277" max="10277" width="8.85546875" style="21" customWidth="1"/>
    <col min="10278" max="10278" width="17.140625" style="21" customWidth="1"/>
    <col min="10279" max="10279" width="26.140625" style="21" customWidth="1"/>
    <col min="10280" max="10503" width="11.5703125" style="21"/>
    <col min="10504" max="10504" width="7.140625" style="21" customWidth="1"/>
    <col min="10505" max="10505" width="14.85546875" style="21" customWidth="1"/>
    <col min="10506" max="10506" width="13.5703125" style="21" customWidth="1"/>
    <col min="10507" max="10507" width="3.140625" style="21" customWidth="1"/>
    <col min="10508" max="10509" width="4.85546875" style="21" customWidth="1"/>
    <col min="10510" max="10510" width="12.5703125" style="21" customWidth="1"/>
    <col min="10511" max="10511" width="1.140625" style="21" customWidth="1"/>
    <col min="10512" max="10512" width="17.140625" style="21" customWidth="1"/>
    <col min="10513" max="10513" width="11.85546875" style="21" customWidth="1"/>
    <col min="10514" max="10514" width="19.85546875" style="21" customWidth="1"/>
    <col min="10515" max="10515" width="12.5703125" style="21" customWidth="1"/>
    <col min="10516" max="10516" width="11.5703125" style="21"/>
    <col min="10517" max="10517" width="8.85546875" style="21" customWidth="1"/>
    <col min="10518" max="10518" width="10.140625" style="21" customWidth="1"/>
    <col min="10519" max="10519" width="10" style="21" customWidth="1"/>
    <col min="10520" max="10520" width="8.140625" style="21" customWidth="1"/>
    <col min="10521" max="10528" width="10.85546875" style="21" customWidth="1"/>
    <col min="10529" max="10529" width="8.42578125" style="21" customWidth="1"/>
    <col min="10530" max="10530" width="10" style="21" customWidth="1"/>
    <col min="10531" max="10531" width="7.140625" style="21" customWidth="1"/>
    <col min="10532" max="10532" width="9.42578125" style="21" customWidth="1"/>
    <col min="10533" max="10533" width="8.85546875" style="21" customWidth="1"/>
    <col min="10534" max="10534" width="17.140625" style="21" customWidth="1"/>
    <col min="10535" max="10535" width="26.140625" style="21" customWidth="1"/>
    <col min="10536" max="10759" width="11.5703125" style="21"/>
    <col min="10760" max="10760" width="7.140625" style="21" customWidth="1"/>
    <col min="10761" max="10761" width="14.85546875" style="21" customWidth="1"/>
    <col min="10762" max="10762" width="13.5703125" style="21" customWidth="1"/>
    <col min="10763" max="10763" width="3.140625" style="21" customWidth="1"/>
    <col min="10764" max="10765" width="4.85546875" style="21" customWidth="1"/>
    <col min="10766" max="10766" width="12.5703125" style="21" customWidth="1"/>
    <col min="10767" max="10767" width="1.140625" style="21" customWidth="1"/>
    <col min="10768" max="10768" width="17.140625" style="21" customWidth="1"/>
    <col min="10769" max="10769" width="11.85546875" style="21" customWidth="1"/>
    <col min="10770" max="10770" width="19.85546875" style="21" customWidth="1"/>
    <col min="10771" max="10771" width="12.5703125" style="21" customWidth="1"/>
    <col min="10772" max="10772" width="11.5703125" style="21"/>
    <col min="10773" max="10773" width="8.85546875" style="21" customWidth="1"/>
    <col min="10774" max="10774" width="10.140625" style="21" customWidth="1"/>
    <col min="10775" max="10775" width="10" style="21" customWidth="1"/>
    <col min="10776" max="10776" width="8.140625" style="21" customWidth="1"/>
    <col min="10777" max="10784" width="10.85546875" style="21" customWidth="1"/>
    <col min="10785" max="10785" width="8.42578125" style="21" customWidth="1"/>
    <col min="10786" max="10786" width="10" style="21" customWidth="1"/>
    <col min="10787" max="10787" width="7.140625" style="21" customWidth="1"/>
    <col min="10788" max="10788" width="9.42578125" style="21" customWidth="1"/>
    <col min="10789" max="10789" width="8.85546875" style="21" customWidth="1"/>
    <col min="10790" max="10790" width="17.140625" style="21" customWidth="1"/>
    <col min="10791" max="10791" width="26.140625" style="21" customWidth="1"/>
    <col min="10792" max="11015" width="11.5703125" style="21"/>
    <col min="11016" max="11016" width="7.140625" style="21" customWidth="1"/>
    <col min="11017" max="11017" width="14.85546875" style="21" customWidth="1"/>
    <col min="11018" max="11018" width="13.5703125" style="21" customWidth="1"/>
    <col min="11019" max="11019" width="3.140625" style="21" customWidth="1"/>
    <col min="11020" max="11021" width="4.85546875" style="21" customWidth="1"/>
    <col min="11022" max="11022" width="12.5703125" style="21" customWidth="1"/>
    <col min="11023" max="11023" width="1.140625" style="21" customWidth="1"/>
    <col min="11024" max="11024" width="17.140625" style="21" customWidth="1"/>
    <col min="11025" max="11025" width="11.85546875" style="21" customWidth="1"/>
    <col min="11026" max="11026" width="19.85546875" style="21" customWidth="1"/>
    <col min="11027" max="11027" width="12.5703125" style="21" customWidth="1"/>
    <col min="11028" max="11028" width="11.5703125" style="21"/>
    <col min="11029" max="11029" width="8.85546875" style="21" customWidth="1"/>
    <col min="11030" max="11030" width="10.140625" style="21" customWidth="1"/>
    <col min="11031" max="11031" width="10" style="21" customWidth="1"/>
    <col min="11032" max="11032" width="8.140625" style="21" customWidth="1"/>
    <col min="11033" max="11040" width="10.85546875" style="21" customWidth="1"/>
    <col min="11041" max="11041" width="8.42578125" style="21" customWidth="1"/>
    <col min="11042" max="11042" width="10" style="21" customWidth="1"/>
    <col min="11043" max="11043" width="7.140625" style="21" customWidth="1"/>
    <col min="11044" max="11044" width="9.42578125" style="21" customWidth="1"/>
    <col min="11045" max="11045" width="8.85546875" style="21" customWidth="1"/>
    <col min="11046" max="11046" width="17.140625" style="21" customWidth="1"/>
    <col min="11047" max="11047" width="26.140625" style="21" customWidth="1"/>
    <col min="11048" max="11271" width="11.5703125" style="21"/>
    <col min="11272" max="11272" width="7.140625" style="21" customWidth="1"/>
    <col min="11273" max="11273" width="14.85546875" style="21" customWidth="1"/>
    <col min="11274" max="11274" width="13.5703125" style="21" customWidth="1"/>
    <col min="11275" max="11275" width="3.140625" style="21" customWidth="1"/>
    <col min="11276" max="11277" width="4.85546875" style="21" customWidth="1"/>
    <col min="11278" max="11278" width="12.5703125" style="21" customWidth="1"/>
    <col min="11279" max="11279" width="1.140625" style="21" customWidth="1"/>
    <col min="11280" max="11280" width="17.140625" style="21" customWidth="1"/>
    <col min="11281" max="11281" width="11.85546875" style="21" customWidth="1"/>
    <col min="11282" max="11282" width="19.85546875" style="21" customWidth="1"/>
    <col min="11283" max="11283" width="12.5703125" style="21" customWidth="1"/>
    <col min="11284" max="11284" width="11.5703125" style="21"/>
    <col min="11285" max="11285" width="8.85546875" style="21" customWidth="1"/>
    <col min="11286" max="11286" width="10.140625" style="21" customWidth="1"/>
    <col min="11287" max="11287" width="10" style="21" customWidth="1"/>
    <col min="11288" max="11288" width="8.140625" style="21" customWidth="1"/>
    <col min="11289" max="11296" width="10.85546875" style="21" customWidth="1"/>
    <col min="11297" max="11297" width="8.42578125" style="21" customWidth="1"/>
    <col min="11298" max="11298" width="10" style="21" customWidth="1"/>
    <col min="11299" max="11299" width="7.140625" style="21" customWidth="1"/>
    <col min="11300" max="11300" width="9.42578125" style="21" customWidth="1"/>
    <col min="11301" max="11301" width="8.85546875" style="21" customWidth="1"/>
    <col min="11302" max="11302" width="17.140625" style="21" customWidth="1"/>
    <col min="11303" max="11303" width="26.140625" style="21" customWidth="1"/>
    <col min="11304" max="11527" width="11.5703125" style="21"/>
    <col min="11528" max="11528" width="7.140625" style="21" customWidth="1"/>
    <col min="11529" max="11529" width="14.85546875" style="21" customWidth="1"/>
    <col min="11530" max="11530" width="13.5703125" style="21" customWidth="1"/>
    <col min="11531" max="11531" width="3.140625" style="21" customWidth="1"/>
    <col min="11532" max="11533" width="4.85546875" style="21" customWidth="1"/>
    <col min="11534" max="11534" width="12.5703125" style="21" customWidth="1"/>
    <col min="11535" max="11535" width="1.140625" style="21" customWidth="1"/>
    <col min="11536" max="11536" width="17.140625" style="21" customWidth="1"/>
    <col min="11537" max="11537" width="11.85546875" style="21" customWidth="1"/>
    <col min="11538" max="11538" width="19.85546875" style="21" customWidth="1"/>
    <col min="11539" max="11539" width="12.5703125" style="21" customWidth="1"/>
    <col min="11540" max="11540" width="11.5703125" style="21"/>
    <col min="11541" max="11541" width="8.85546875" style="21" customWidth="1"/>
    <col min="11542" max="11542" width="10.140625" style="21" customWidth="1"/>
    <col min="11543" max="11543" width="10" style="21" customWidth="1"/>
    <col min="11544" max="11544" width="8.140625" style="21" customWidth="1"/>
    <col min="11545" max="11552" width="10.85546875" style="21" customWidth="1"/>
    <col min="11553" max="11553" width="8.42578125" style="21" customWidth="1"/>
    <col min="11554" max="11554" width="10" style="21" customWidth="1"/>
    <col min="11555" max="11555" width="7.140625" style="21" customWidth="1"/>
    <col min="11556" max="11556" width="9.42578125" style="21" customWidth="1"/>
    <col min="11557" max="11557" width="8.85546875" style="21" customWidth="1"/>
    <col min="11558" max="11558" width="17.140625" style="21" customWidth="1"/>
    <col min="11559" max="11559" width="26.140625" style="21" customWidth="1"/>
    <col min="11560" max="11783" width="11.5703125" style="21"/>
    <col min="11784" max="11784" width="7.140625" style="21" customWidth="1"/>
    <col min="11785" max="11785" width="14.85546875" style="21" customWidth="1"/>
    <col min="11786" max="11786" width="13.5703125" style="21" customWidth="1"/>
    <col min="11787" max="11787" width="3.140625" style="21" customWidth="1"/>
    <col min="11788" max="11789" width="4.85546875" style="21" customWidth="1"/>
    <col min="11790" max="11790" width="12.5703125" style="21" customWidth="1"/>
    <col min="11791" max="11791" width="1.140625" style="21" customWidth="1"/>
    <col min="11792" max="11792" width="17.140625" style="21" customWidth="1"/>
    <col min="11793" max="11793" width="11.85546875" style="21" customWidth="1"/>
    <col min="11794" max="11794" width="19.85546875" style="21" customWidth="1"/>
    <col min="11795" max="11795" width="12.5703125" style="21" customWidth="1"/>
    <col min="11796" max="11796" width="11.5703125" style="21"/>
    <col min="11797" max="11797" width="8.85546875" style="21" customWidth="1"/>
    <col min="11798" max="11798" width="10.140625" style="21" customWidth="1"/>
    <col min="11799" max="11799" width="10" style="21" customWidth="1"/>
    <col min="11800" max="11800" width="8.140625" style="21" customWidth="1"/>
    <col min="11801" max="11808" width="10.85546875" style="21" customWidth="1"/>
    <col min="11809" max="11809" width="8.42578125" style="21" customWidth="1"/>
    <col min="11810" max="11810" width="10" style="21" customWidth="1"/>
    <col min="11811" max="11811" width="7.140625" style="21" customWidth="1"/>
    <col min="11812" max="11812" width="9.42578125" style="21" customWidth="1"/>
    <col min="11813" max="11813" width="8.85546875" style="21" customWidth="1"/>
    <col min="11814" max="11814" width="17.140625" style="21" customWidth="1"/>
    <col min="11815" max="11815" width="26.140625" style="21" customWidth="1"/>
    <col min="11816" max="12039" width="11.5703125" style="21"/>
    <col min="12040" max="12040" width="7.140625" style="21" customWidth="1"/>
    <col min="12041" max="12041" width="14.85546875" style="21" customWidth="1"/>
    <col min="12042" max="12042" width="13.5703125" style="21" customWidth="1"/>
    <col min="12043" max="12043" width="3.140625" style="21" customWidth="1"/>
    <col min="12044" max="12045" width="4.85546875" style="21" customWidth="1"/>
    <col min="12046" max="12046" width="12.5703125" style="21" customWidth="1"/>
    <col min="12047" max="12047" width="1.140625" style="21" customWidth="1"/>
    <col min="12048" max="12048" width="17.140625" style="21" customWidth="1"/>
    <col min="12049" max="12049" width="11.85546875" style="21" customWidth="1"/>
    <col min="12050" max="12050" width="19.85546875" style="21" customWidth="1"/>
    <col min="12051" max="12051" width="12.5703125" style="21" customWidth="1"/>
    <col min="12052" max="12052" width="11.5703125" style="21"/>
    <col min="12053" max="12053" width="8.85546875" style="21" customWidth="1"/>
    <col min="12054" max="12054" width="10.140625" style="21" customWidth="1"/>
    <col min="12055" max="12055" width="10" style="21" customWidth="1"/>
    <col min="12056" max="12056" width="8.140625" style="21" customWidth="1"/>
    <col min="12057" max="12064" width="10.85546875" style="21" customWidth="1"/>
    <col min="12065" max="12065" width="8.42578125" style="21" customWidth="1"/>
    <col min="12066" max="12066" width="10" style="21" customWidth="1"/>
    <col min="12067" max="12067" width="7.140625" style="21" customWidth="1"/>
    <col min="12068" max="12068" width="9.42578125" style="21" customWidth="1"/>
    <col min="12069" max="12069" width="8.85546875" style="21" customWidth="1"/>
    <col min="12070" max="12070" width="17.140625" style="21" customWidth="1"/>
    <col min="12071" max="12071" width="26.140625" style="21" customWidth="1"/>
    <col min="12072" max="12295" width="11.5703125" style="21"/>
    <col min="12296" max="12296" width="7.140625" style="21" customWidth="1"/>
    <col min="12297" max="12297" width="14.85546875" style="21" customWidth="1"/>
    <col min="12298" max="12298" width="13.5703125" style="21" customWidth="1"/>
    <col min="12299" max="12299" width="3.140625" style="21" customWidth="1"/>
    <col min="12300" max="12301" width="4.85546875" style="21" customWidth="1"/>
    <col min="12302" max="12302" width="12.5703125" style="21" customWidth="1"/>
    <col min="12303" max="12303" width="1.140625" style="21" customWidth="1"/>
    <col min="12304" max="12304" width="17.140625" style="21" customWidth="1"/>
    <col min="12305" max="12305" width="11.85546875" style="21" customWidth="1"/>
    <col min="12306" max="12306" width="19.85546875" style="21" customWidth="1"/>
    <col min="12307" max="12307" width="12.5703125" style="21" customWidth="1"/>
    <col min="12308" max="12308" width="11.5703125" style="21"/>
    <col min="12309" max="12309" width="8.85546875" style="21" customWidth="1"/>
    <col min="12310" max="12310" width="10.140625" style="21" customWidth="1"/>
    <col min="12311" max="12311" width="10" style="21" customWidth="1"/>
    <col min="12312" max="12312" width="8.140625" style="21" customWidth="1"/>
    <col min="12313" max="12320" width="10.85546875" style="21" customWidth="1"/>
    <col min="12321" max="12321" width="8.42578125" style="21" customWidth="1"/>
    <col min="12322" max="12322" width="10" style="21" customWidth="1"/>
    <col min="12323" max="12323" width="7.140625" style="21" customWidth="1"/>
    <col min="12324" max="12324" width="9.42578125" style="21" customWidth="1"/>
    <col min="12325" max="12325" width="8.85546875" style="21" customWidth="1"/>
    <col min="12326" max="12326" width="17.140625" style="21" customWidth="1"/>
    <col min="12327" max="12327" width="26.140625" style="21" customWidth="1"/>
    <col min="12328" max="12551" width="11.5703125" style="21"/>
    <col min="12552" max="12552" width="7.140625" style="21" customWidth="1"/>
    <col min="12553" max="12553" width="14.85546875" style="21" customWidth="1"/>
    <col min="12554" max="12554" width="13.5703125" style="21" customWidth="1"/>
    <col min="12555" max="12555" width="3.140625" style="21" customWidth="1"/>
    <col min="12556" max="12557" width="4.85546875" style="21" customWidth="1"/>
    <col min="12558" max="12558" width="12.5703125" style="21" customWidth="1"/>
    <col min="12559" max="12559" width="1.140625" style="21" customWidth="1"/>
    <col min="12560" max="12560" width="17.140625" style="21" customWidth="1"/>
    <col min="12561" max="12561" width="11.85546875" style="21" customWidth="1"/>
    <col min="12562" max="12562" width="19.85546875" style="21" customWidth="1"/>
    <col min="12563" max="12563" width="12.5703125" style="21" customWidth="1"/>
    <col min="12564" max="12564" width="11.5703125" style="21"/>
    <col min="12565" max="12565" width="8.85546875" style="21" customWidth="1"/>
    <col min="12566" max="12566" width="10.140625" style="21" customWidth="1"/>
    <col min="12567" max="12567" width="10" style="21" customWidth="1"/>
    <col min="12568" max="12568" width="8.140625" style="21" customWidth="1"/>
    <col min="12569" max="12576" width="10.85546875" style="21" customWidth="1"/>
    <col min="12577" max="12577" width="8.42578125" style="21" customWidth="1"/>
    <col min="12578" max="12578" width="10" style="21" customWidth="1"/>
    <col min="12579" max="12579" width="7.140625" style="21" customWidth="1"/>
    <col min="12580" max="12580" width="9.42578125" style="21" customWidth="1"/>
    <col min="12581" max="12581" width="8.85546875" style="21" customWidth="1"/>
    <col min="12582" max="12582" width="17.140625" style="21" customWidth="1"/>
    <col min="12583" max="12583" width="26.140625" style="21" customWidth="1"/>
    <col min="12584" max="12807" width="11.5703125" style="21"/>
    <col min="12808" max="12808" width="7.140625" style="21" customWidth="1"/>
    <col min="12809" max="12809" width="14.85546875" style="21" customWidth="1"/>
    <col min="12810" max="12810" width="13.5703125" style="21" customWidth="1"/>
    <col min="12811" max="12811" width="3.140625" style="21" customWidth="1"/>
    <col min="12812" max="12813" width="4.85546875" style="21" customWidth="1"/>
    <col min="12814" max="12814" width="12.5703125" style="21" customWidth="1"/>
    <col min="12815" max="12815" width="1.140625" style="21" customWidth="1"/>
    <col min="12816" max="12816" width="17.140625" style="21" customWidth="1"/>
    <col min="12817" max="12817" width="11.85546875" style="21" customWidth="1"/>
    <col min="12818" max="12818" width="19.85546875" style="21" customWidth="1"/>
    <col min="12819" max="12819" width="12.5703125" style="21" customWidth="1"/>
    <col min="12820" max="12820" width="11.5703125" style="21"/>
    <col min="12821" max="12821" width="8.85546875" style="21" customWidth="1"/>
    <col min="12822" max="12822" width="10.140625" style="21" customWidth="1"/>
    <col min="12823" max="12823" width="10" style="21" customWidth="1"/>
    <col min="12824" max="12824" width="8.140625" style="21" customWidth="1"/>
    <col min="12825" max="12832" width="10.85546875" style="21" customWidth="1"/>
    <col min="12833" max="12833" width="8.42578125" style="21" customWidth="1"/>
    <col min="12834" max="12834" width="10" style="21" customWidth="1"/>
    <col min="12835" max="12835" width="7.140625" style="21" customWidth="1"/>
    <col min="12836" max="12836" width="9.42578125" style="21" customWidth="1"/>
    <col min="12837" max="12837" width="8.85546875" style="21" customWidth="1"/>
    <col min="12838" max="12838" width="17.140625" style="21" customWidth="1"/>
    <col min="12839" max="12839" width="26.140625" style="21" customWidth="1"/>
    <col min="12840" max="13063" width="11.5703125" style="21"/>
    <col min="13064" max="13064" width="7.140625" style="21" customWidth="1"/>
    <col min="13065" max="13065" width="14.85546875" style="21" customWidth="1"/>
    <col min="13066" max="13066" width="13.5703125" style="21" customWidth="1"/>
    <col min="13067" max="13067" width="3.140625" style="21" customWidth="1"/>
    <col min="13068" max="13069" width="4.85546875" style="21" customWidth="1"/>
    <col min="13070" max="13070" width="12.5703125" style="21" customWidth="1"/>
    <col min="13071" max="13071" width="1.140625" style="21" customWidth="1"/>
    <col min="13072" max="13072" width="17.140625" style="21" customWidth="1"/>
    <col min="13073" max="13073" width="11.85546875" style="21" customWidth="1"/>
    <col min="13074" max="13074" width="19.85546875" style="21" customWidth="1"/>
    <col min="13075" max="13075" width="12.5703125" style="21" customWidth="1"/>
    <col min="13076" max="13076" width="11.5703125" style="21"/>
    <col min="13077" max="13077" width="8.85546875" style="21" customWidth="1"/>
    <col min="13078" max="13078" width="10.140625" style="21" customWidth="1"/>
    <col min="13079" max="13079" width="10" style="21" customWidth="1"/>
    <col min="13080" max="13080" width="8.140625" style="21" customWidth="1"/>
    <col min="13081" max="13088" width="10.85546875" style="21" customWidth="1"/>
    <col min="13089" max="13089" width="8.42578125" style="21" customWidth="1"/>
    <col min="13090" max="13090" width="10" style="21" customWidth="1"/>
    <col min="13091" max="13091" width="7.140625" style="21" customWidth="1"/>
    <col min="13092" max="13092" width="9.42578125" style="21" customWidth="1"/>
    <col min="13093" max="13093" width="8.85546875" style="21" customWidth="1"/>
    <col min="13094" max="13094" width="17.140625" style="21" customWidth="1"/>
    <col min="13095" max="13095" width="26.140625" style="21" customWidth="1"/>
    <col min="13096" max="13319" width="11.5703125" style="21"/>
    <col min="13320" max="13320" width="7.140625" style="21" customWidth="1"/>
    <col min="13321" max="13321" width="14.85546875" style="21" customWidth="1"/>
    <col min="13322" max="13322" width="13.5703125" style="21" customWidth="1"/>
    <col min="13323" max="13323" width="3.140625" style="21" customWidth="1"/>
    <col min="13324" max="13325" width="4.85546875" style="21" customWidth="1"/>
    <col min="13326" max="13326" width="12.5703125" style="21" customWidth="1"/>
    <col min="13327" max="13327" width="1.140625" style="21" customWidth="1"/>
    <col min="13328" max="13328" width="17.140625" style="21" customWidth="1"/>
    <col min="13329" max="13329" width="11.85546875" style="21" customWidth="1"/>
    <col min="13330" max="13330" width="19.85546875" style="21" customWidth="1"/>
    <col min="13331" max="13331" width="12.5703125" style="21" customWidth="1"/>
    <col min="13332" max="13332" width="11.5703125" style="21"/>
    <col min="13333" max="13333" width="8.85546875" style="21" customWidth="1"/>
    <col min="13334" max="13334" width="10.140625" style="21" customWidth="1"/>
    <col min="13335" max="13335" width="10" style="21" customWidth="1"/>
    <col min="13336" max="13336" width="8.140625" style="21" customWidth="1"/>
    <col min="13337" max="13344" width="10.85546875" style="21" customWidth="1"/>
    <col min="13345" max="13345" width="8.42578125" style="21" customWidth="1"/>
    <col min="13346" max="13346" width="10" style="21" customWidth="1"/>
    <col min="13347" max="13347" width="7.140625" style="21" customWidth="1"/>
    <col min="13348" max="13348" width="9.42578125" style="21" customWidth="1"/>
    <col min="13349" max="13349" width="8.85546875" style="21" customWidth="1"/>
    <col min="13350" max="13350" width="17.140625" style="21" customWidth="1"/>
    <col min="13351" max="13351" width="26.140625" style="21" customWidth="1"/>
    <col min="13352" max="13575" width="11.5703125" style="21"/>
    <col min="13576" max="13576" width="7.140625" style="21" customWidth="1"/>
    <col min="13577" max="13577" width="14.85546875" style="21" customWidth="1"/>
    <col min="13578" max="13578" width="13.5703125" style="21" customWidth="1"/>
    <col min="13579" max="13579" width="3.140625" style="21" customWidth="1"/>
    <col min="13580" max="13581" width="4.85546875" style="21" customWidth="1"/>
    <col min="13582" max="13582" width="12.5703125" style="21" customWidth="1"/>
    <col min="13583" max="13583" width="1.140625" style="21" customWidth="1"/>
    <col min="13584" max="13584" width="17.140625" style="21" customWidth="1"/>
    <col min="13585" max="13585" width="11.85546875" style="21" customWidth="1"/>
    <col min="13586" max="13586" width="19.85546875" style="21" customWidth="1"/>
    <col min="13587" max="13587" width="12.5703125" style="21" customWidth="1"/>
    <col min="13588" max="13588" width="11.5703125" style="21"/>
    <col min="13589" max="13589" width="8.85546875" style="21" customWidth="1"/>
    <col min="13590" max="13590" width="10.140625" style="21" customWidth="1"/>
    <col min="13591" max="13591" width="10" style="21" customWidth="1"/>
    <col min="13592" max="13592" width="8.140625" style="21" customWidth="1"/>
    <col min="13593" max="13600" width="10.85546875" style="21" customWidth="1"/>
    <col min="13601" max="13601" width="8.42578125" style="21" customWidth="1"/>
    <col min="13602" max="13602" width="10" style="21" customWidth="1"/>
    <col min="13603" max="13603" width="7.140625" style="21" customWidth="1"/>
    <col min="13604" max="13604" width="9.42578125" style="21" customWidth="1"/>
    <col min="13605" max="13605" width="8.85546875" style="21" customWidth="1"/>
    <col min="13606" max="13606" width="17.140625" style="21" customWidth="1"/>
    <col min="13607" max="13607" width="26.140625" style="21" customWidth="1"/>
    <col min="13608" max="13831" width="11.5703125" style="21"/>
    <col min="13832" max="13832" width="7.140625" style="21" customWidth="1"/>
    <col min="13833" max="13833" width="14.85546875" style="21" customWidth="1"/>
    <col min="13834" max="13834" width="13.5703125" style="21" customWidth="1"/>
    <col min="13835" max="13835" width="3.140625" style="21" customWidth="1"/>
    <col min="13836" max="13837" width="4.85546875" style="21" customWidth="1"/>
    <col min="13838" max="13838" width="12.5703125" style="21" customWidth="1"/>
    <col min="13839" max="13839" width="1.140625" style="21" customWidth="1"/>
    <col min="13840" max="13840" width="17.140625" style="21" customWidth="1"/>
    <col min="13841" max="13841" width="11.85546875" style="21" customWidth="1"/>
    <col min="13842" max="13842" width="19.85546875" style="21" customWidth="1"/>
    <col min="13843" max="13843" width="12.5703125" style="21" customWidth="1"/>
    <col min="13844" max="13844" width="11.5703125" style="21"/>
    <col min="13845" max="13845" width="8.85546875" style="21" customWidth="1"/>
    <col min="13846" max="13846" width="10.140625" style="21" customWidth="1"/>
    <col min="13847" max="13847" width="10" style="21" customWidth="1"/>
    <col min="13848" max="13848" width="8.140625" style="21" customWidth="1"/>
    <col min="13849" max="13856" width="10.85546875" style="21" customWidth="1"/>
    <col min="13857" max="13857" width="8.42578125" style="21" customWidth="1"/>
    <col min="13858" max="13858" width="10" style="21" customWidth="1"/>
    <col min="13859" max="13859" width="7.140625" style="21" customWidth="1"/>
    <col min="13860" max="13860" width="9.42578125" style="21" customWidth="1"/>
    <col min="13861" max="13861" width="8.85546875" style="21" customWidth="1"/>
    <col min="13862" max="13862" width="17.140625" style="21" customWidth="1"/>
    <col min="13863" max="13863" width="26.140625" style="21" customWidth="1"/>
    <col min="13864" max="14087" width="11.5703125" style="21"/>
    <col min="14088" max="14088" width="7.140625" style="21" customWidth="1"/>
    <col min="14089" max="14089" width="14.85546875" style="21" customWidth="1"/>
    <col min="14090" max="14090" width="13.5703125" style="21" customWidth="1"/>
    <col min="14091" max="14091" width="3.140625" style="21" customWidth="1"/>
    <col min="14092" max="14093" width="4.85546875" style="21" customWidth="1"/>
    <col min="14094" max="14094" width="12.5703125" style="21" customWidth="1"/>
    <col min="14095" max="14095" width="1.140625" style="21" customWidth="1"/>
    <col min="14096" max="14096" width="17.140625" style="21" customWidth="1"/>
    <col min="14097" max="14097" width="11.85546875" style="21" customWidth="1"/>
    <col min="14098" max="14098" width="19.85546875" style="21" customWidth="1"/>
    <col min="14099" max="14099" width="12.5703125" style="21" customWidth="1"/>
    <col min="14100" max="14100" width="11.5703125" style="21"/>
    <col min="14101" max="14101" width="8.85546875" style="21" customWidth="1"/>
    <col min="14102" max="14102" width="10.140625" style="21" customWidth="1"/>
    <col min="14103" max="14103" width="10" style="21" customWidth="1"/>
    <col min="14104" max="14104" width="8.140625" style="21" customWidth="1"/>
    <col min="14105" max="14112" width="10.85546875" style="21" customWidth="1"/>
    <col min="14113" max="14113" width="8.42578125" style="21" customWidth="1"/>
    <col min="14114" max="14114" width="10" style="21" customWidth="1"/>
    <col min="14115" max="14115" width="7.140625" style="21" customWidth="1"/>
    <col min="14116" max="14116" width="9.42578125" style="21" customWidth="1"/>
    <col min="14117" max="14117" width="8.85546875" style="21" customWidth="1"/>
    <col min="14118" max="14118" width="17.140625" style="21" customWidth="1"/>
    <col min="14119" max="14119" width="26.140625" style="21" customWidth="1"/>
    <col min="14120" max="14343" width="11.5703125" style="21"/>
    <col min="14344" max="14344" width="7.140625" style="21" customWidth="1"/>
    <col min="14345" max="14345" width="14.85546875" style="21" customWidth="1"/>
    <col min="14346" max="14346" width="13.5703125" style="21" customWidth="1"/>
    <col min="14347" max="14347" width="3.140625" style="21" customWidth="1"/>
    <col min="14348" max="14349" width="4.85546875" style="21" customWidth="1"/>
    <col min="14350" max="14350" width="12.5703125" style="21" customWidth="1"/>
    <col min="14351" max="14351" width="1.140625" style="21" customWidth="1"/>
    <col min="14352" max="14352" width="17.140625" style="21" customWidth="1"/>
    <col min="14353" max="14353" width="11.85546875" style="21" customWidth="1"/>
    <col min="14354" max="14354" width="19.85546875" style="21" customWidth="1"/>
    <col min="14355" max="14355" width="12.5703125" style="21" customWidth="1"/>
    <col min="14356" max="14356" width="11.5703125" style="21"/>
    <col min="14357" max="14357" width="8.85546875" style="21" customWidth="1"/>
    <col min="14358" max="14358" width="10.140625" style="21" customWidth="1"/>
    <col min="14359" max="14359" width="10" style="21" customWidth="1"/>
    <col min="14360" max="14360" width="8.140625" style="21" customWidth="1"/>
    <col min="14361" max="14368" width="10.85546875" style="21" customWidth="1"/>
    <col min="14369" max="14369" width="8.42578125" style="21" customWidth="1"/>
    <col min="14370" max="14370" width="10" style="21" customWidth="1"/>
    <col min="14371" max="14371" width="7.140625" style="21" customWidth="1"/>
    <col min="14372" max="14372" width="9.42578125" style="21" customWidth="1"/>
    <col min="14373" max="14373" width="8.85546875" style="21" customWidth="1"/>
    <col min="14374" max="14374" width="17.140625" style="21" customWidth="1"/>
    <col min="14375" max="14375" width="26.140625" style="21" customWidth="1"/>
    <col min="14376" max="14599" width="11.5703125" style="21"/>
    <col min="14600" max="14600" width="7.140625" style="21" customWidth="1"/>
    <col min="14601" max="14601" width="14.85546875" style="21" customWidth="1"/>
    <col min="14602" max="14602" width="13.5703125" style="21" customWidth="1"/>
    <col min="14603" max="14603" width="3.140625" style="21" customWidth="1"/>
    <col min="14604" max="14605" width="4.85546875" style="21" customWidth="1"/>
    <col min="14606" max="14606" width="12.5703125" style="21" customWidth="1"/>
    <col min="14607" max="14607" width="1.140625" style="21" customWidth="1"/>
    <col min="14608" max="14608" width="17.140625" style="21" customWidth="1"/>
    <col min="14609" max="14609" width="11.85546875" style="21" customWidth="1"/>
    <col min="14610" max="14610" width="19.85546875" style="21" customWidth="1"/>
    <col min="14611" max="14611" width="12.5703125" style="21" customWidth="1"/>
    <col min="14612" max="14612" width="11.5703125" style="21"/>
    <col min="14613" max="14613" width="8.85546875" style="21" customWidth="1"/>
    <col min="14614" max="14614" width="10.140625" style="21" customWidth="1"/>
    <col min="14615" max="14615" width="10" style="21" customWidth="1"/>
    <col min="14616" max="14616" width="8.140625" style="21" customWidth="1"/>
    <col min="14617" max="14624" width="10.85546875" style="21" customWidth="1"/>
    <col min="14625" max="14625" width="8.42578125" style="21" customWidth="1"/>
    <col min="14626" max="14626" width="10" style="21" customWidth="1"/>
    <col min="14627" max="14627" width="7.140625" style="21" customWidth="1"/>
    <col min="14628" max="14628" width="9.42578125" style="21" customWidth="1"/>
    <col min="14629" max="14629" width="8.85546875" style="21" customWidth="1"/>
    <col min="14630" max="14630" width="17.140625" style="21" customWidth="1"/>
    <col min="14631" max="14631" width="26.140625" style="21" customWidth="1"/>
    <col min="14632" max="14855" width="11.5703125" style="21"/>
    <col min="14856" max="14856" width="7.140625" style="21" customWidth="1"/>
    <col min="14857" max="14857" width="14.85546875" style="21" customWidth="1"/>
    <col min="14858" max="14858" width="13.5703125" style="21" customWidth="1"/>
    <col min="14859" max="14859" width="3.140625" style="21" customWidth="1"/>
    <col min="14860" max="14861" width="4.85546875" style="21" customWidth="1"/>
    <col min="14862" max="14862" width="12.5703125" style="21" customWidth="1"/>
    <col min="14863" max="14863" width="1.140625" style="21" customWidth="1"/>
    <col min="14864" max="14864" width="17.140625" style="21" customWidth="1"/>
    <col min="14865" max="14865" width="11.85546875" style="21" customWidth="1"/>
    <col min="14866" max="14866" width="19.85546875" style="21" customWidth="1"/>
    <col min="14867" max="14867" width="12.5703125" style="21" customWidth="1"/>
    <col min="14868" max="14868" width="11.5703125" style="21"/>
    <col min="14869" max="14869" width="8.85546875" style="21" customWidth="1"/>
    <col min="14870" max="14870" width="10.140625" style="21" customWidth="1"/>
    <col min="14871" max="14871" width="10" style="21" customWidth="1"/>
    <col min="14872" max="14872" width="8.140625" style="21" customWidth="1"/>
    <col min="14873" max="14880" width="10.85546875" style="21" customWidth="1"/>
    <col min="14881" max="14881" width="8.42578125" style="21" customWidth="1"/>
    <col min="14882" max="14882" width="10" style="21" customWidth="1"/>
    <col min="14883" max="14883" width="7.140625" style="21" customWidth="1"/>
    <col min="14884" max="14884" width="9.42578125" style="21" customWidth="1"/>
    <col min="14885" max="14885" width="8.85546875" style="21" customWidth="1"/>
    <col min="14886" max="14886" width="17.140625" style="21" customWidth="1"/>
    <col min="14887" max="14887" width="26.140625" style="21" customWidth="1"/>
    <col min="14888" max="15111" width="11.5703125" style="21"/>
    <col min="15112" max="15112" width="7.140625" style="21" customWidth="1"/>
    <col min="15113" max="15113" width="14.85546875" style="21" customWidth="1"/>
    <col min="15114" max="15114" width="13.5703125" style="21" customWidth="1"/>
    <col min="15115" max="15115" width="3.140625" style="21" customWidth="1"/>
    <col min="15116" max="15117" width="4.85546875" style="21" customWidth="1"/>
    <col min="15118" max="15118" width="12.5703125" style="21" customWidth="1"/>
    <col min="15119" max="15119" width="1.140625" style="21" customWidth="1"/>
    <col min="15120" max="15120" width="17.140625" style="21" customWidth="1"/>
    <col min="15121" max="15121" width="11.85546875" style="21" customWidth="1"/>
    <col min="15122" max="15122" width="19.85546875" style="21" customWidth="1"/>
    <col min="15123" max="15123" width="12.5703125" style="21" customWidth="1"/>
    <col min="15124" max="15124" width="11.5703125" style="21"/>
    <col min="15125" max="15125" width="8.85546875" style="21" customWidth="1"/>
    <col min="15126" max="15126" width="10.140625" style="21" customWidth="1"/>
    <col min="15127" max="15127" width="10" style="21" customWidth="1"/>
    <col min="15128" max="15128" width="8.140625" style="21" customWidth="1"/>
    <col min="15129" max="15136" width="10.85546875" style="21" customWidth="1"/>
    <col min="15137" max="15137" width="8.42578125" style="21" customWidth="1"/>
    <col min="15138" max="15138" width="10" style="21" customWidth="1"/>
    <col min="15139" max="15139" width="7.140625" style="21" customWidth="1"/>
    <col min="15140" max="15140" width="9.42578125" style="21" customWidth="1"/>
    <col min="15141" max="15141" width="8.85546875" style="21" customWidth="1"/>
    <col min="15142" max="15142" width="17.140625" style="21" customWidth="1"/>
    <col min="15143" max="15143" width="26.140625" style="21" customWidth="1"/>
    <col min="15144" max="15367" width="11.5703125" style="21"/>
    <col min="15368" max="15368" width="7.140625" style="21" customWidth="1"/>
    <col min="15369" max="15369" width="14.85546875" style="21" customWidth="1"/>
    <col min="15370" max="15370" width="13.5703125" style="21" customWidth="1"/>
    <col min="15371" max="15371" width="3.140625" style="21" customWidth="1"/>
    <col min="15372" max="15373" width="4.85546875" style="21" customWidth="1"/>
    <col min="15374" max="15374" width="12.5703125" style="21" customWidth="1"/>
    <col min="15375" max="15375" width="1.140625" style="21" customWidth="1"/>
    <col min="15376" max="15376" width="17.140625" style="21" customWidth="1"/>
    <col min="15377" max="15377" width="11.85546875" style="21" customWidth="1"/>
    <col min="15378" max="15378" width="19.85546875" style="21" customWidth="1"/>
    <col min="15379" max="15379" width="12.5703125" style="21" customWidth="1"/>
    <col min="15380" max="15380" width="11.5703125" style="21"/>
    <col min="15381" max="15381" width="8.85546875" style="21" customWidth="1"/>
    <col min="15382" max="15382" width="10.140625" style="21" customWidth="1"/>
    <col min="15383" max="15383" width="10" style="21" customWidth="1"/>
    <col min="15384" max="15384" width="8.140625" style="21" customWidth="1"/>
    <col min="15385" max="15392" width="10.85546875" style="21" customWidth="1"/>
    <col min="15393" max="15393" width="8.42578125" style="21" customWidth="1"/>
    <col min="15394" max="15394" width="10" style="21" customWidth="1"/>
    <col min="15395" max="15395" width="7.140625" style="21" customWidth="1"/>
    <col min="15396" max="15396" width="9.42578125" style="21" customWidth="1"/>
    <col min="15397" max="15397" width="8.85546875" style="21" customWidth="1"/>
    <col min="15398" max="15398" width="17.140625" style="21" customWidth="1"/>
    <col min="15399" max="15399" width="26.140625" style="21" customWidth="1"/>
    <col min="15400" max="15623" width="11.5703125" style="21"/>
    <col min="15624" max="15624" width="7.140625" style="21" customWidth="1"/>
    <col min="15625" max="15625" width="14.85546875" style="21" customWidth="1"/>
    <col min="15626" max="15626" width="13.5703125" style="21" customWidth="1"/>
    <col min="15627" max="15627" width="3.140625" style="21" customWidth="1"/>
    <col min="15628" max="15629" width="4.85546875" style="21" customWidth="1"/>
    <col min="15630" max="15630" width="12.5703125" style="21" customWidth="1"/>
    <col min="15631" max="15631" width="1.140625" style="21" customWidth="1"/>
    <col min="15632" max="15632" width="17.140625" style="21" customWidth="1"/>
    <col min="15633" max="15633" width="11.85546875" style="21" customWidth="1"/>
    <col min="15634" max="15634" width="19.85546875" style="21" customWidth="1"/>
    <col min="15635" max="15635" width="12.5703125" style="21" customWidth="1"/>
    <col min="15636" max="15636" width="11.5703125" style="21"/>
    <col min="15637" max="15637" width="8.85546875" style="21" customWidth="1"/>
    <col min="15638" max="15638" width="10.140625" style="21" customWidth="1"/>
    <col min="15639" max="15639" width="10" style="21" customWidth="1"/>
    <col min="15640" max="15640" width="8.140625" style="21" customWidth="1"/>
    <col min="15641" max="15648" width="10.85546875" style="21" customWidth="1"/>
    <col min="15649" max="15649" width="8.42578125" style="21" customWidth="1"/>
    <col min="15650" max="15650" width="10" style="21" customWidth="1"/>
    <col min="15651" max="15651" width="7.140625" style="21" customWidth="1"/>
    <col min="15652" max="15652" width="9.42578125" style="21" customWidth="1"/>
    <col min="15653" max="15653" width="8.85546875" style="21" customWidth="1"/>
    <col min="15654" max="15654" width="17.140625" style="21" customWidth="1"/>
    <col min="15655" max="15655" width="26.140625" style="21" customWidth="1"/>
    <col min="15656" max="15879" width="11.5703125" style="21"/>
    <col min="15880" max="15880" width="7.140625" style="21" customWidth="1"/>
    <col min="15881" max="15881" width="14.85546875" style="21" customWidth="1"/>
    <col min="15882" max="15882" width="13.5703125" style="21" customWidth="1"/>
    <col min="15883" max="15883" width="3.140625" style="21" customWidth="1"/>
    <col min="15884" max="15885" width="4.85546875" style="21" customWidth="1"/>
    <col min="15886" max="15886" width="12.5703125" style="21" customWidth="1"/>
    <col min="15887" max="15887" width="1.140625" style="21" customWidth="1"/>
    <col min="15888" max="15888" width="17.140625" style="21" customWidth="1"/>
    <col min="15889" max="15889" width="11.85546875" style="21" customWidth="1"/>
    <col min="15890" max="15890" width="19.85546875" style="21" customWidth="1"/>
    <col min="15891" max="15891" width="12.5703125" style="21" customWidth="1"/>
    <col min="15892" max="15892" width="11.5703125" style="21"/>
    <col min="15893" max="15893" width="8.85546875" style="21" customWidth="1"/>
    <col min="15894" max="15894" width="10.140625" style="21" customWidth="1"/>
    <col min="15895" max="15895" width="10" style="21" customWidth="1"/>
    <col min="15896" max="15896" width="8.140625" style="21" customWidth="1"/>
    <col min="15897" max="15904" width="10.85546875" style="21" customWidth="1"/>
    <col min="15905" max="15905" width="8.42578125" style="21" customWidth="1"/>
    <col min="15906" max="15906" width="10" style="21" customWidth="1"/>
    <col min="15907" max="15907" width="7.140625" style="21" customWidth="1"/>
    <col min="15908" max="15908" width="9.42578125" style="21" customWidth="1"/>
    <col min="15909" max="15909" width="8.85546875" style="21" customWidth="1"/>
    <col min="15910" max="15910" width="17.140625" style="21" customWidth="1"/>
    <col min="15911" max="15911" width="26.140625" style="21" customWidth="1"/>
    <col min="15912" max="16135" width="11.5703125" style="21"/>
    <col min="16136" max="16136" width="7.140625" style="21" customWidth="1"/>
    <col min="16137" max="16137" width="14.85546875" style="21" customWidth="1"/>
    <col min="16138" max="16138" width="13.5703125" style="21" customWidth="1"/>
    <col min="16139" max="16139" width="3.140625" style="21" customWidth="1"/>
    <col min="16140" max="16141" width="4.85546875" style="21" customWidth="1"/>
    <col min="16142" max="16142" width="12.5703125" style="21" customWidth="1"/>
    <col min="16143" max="16143" width="1.140625" style="21" customWidth="1"/>
    <col min="16144" max="16144" width="17.140625" style="21" customWidth="1"/>
    <col min="16145" max="16145" width="11.85546875" style="21" customWidth="1"/>
    <col min="16146" max="16146" width="19.85546875" style="21" customWidth="1"/>
    <col min="16147" max="16147" width="12.5703125" style="21" customWidth="1"/>
    <col min="16148" max="16148" width="11.5703125" style="21"/>
    <col min="16149" max="16149" width="8.85546875" style="21" customWidth="1"/>
    <col min="16150" max="16150" width="10.140625" style="21" customWidth="1"/>
    <col min="16151" max="16151" width="10" style="21" customWidth="1"/>
    <col min="16152" max="16152" width="8.140625" style="21" customWidth="1"/>
    <col min="16153" max="16160" width="10.85546875" style="21" customWidth="1"/>
    <col min="16161" max="16161" width="8.42578125" style="21" customWidth="1"/>
    <col min="16162" max="16162" width="10" style="21" customWidth="1"/>
    <col min="16163" max="16163" width="7.140625" style="21" customWidth="1"/>
    <col min="16164" max="16164" width="9.42578125" style="21" customWidth="1"/>
    <col min="16165" max="16165" width="8.85546875" style="21" customWidth="1"/>
    <col min="16166" max="16166" width="17.140625" style="21" customWidth="1"/>
    <col min="16167" max="16167" width="26.140625" style="21" customWidth="1"/>
    <col min="16168" max="16378" width="11.5703125" style="21"/>
    <col min="16379" max="16384" width="11.5703125" style="21" customWidth="1"/>
  </cols>
  <sheetData>
    <row r="1" spans="1:48" ht="15">
      <c r="A1" s="55" t="s">
        <v>61</v>
      </c>
      <c r="B1" s="95"/>
      <c r="C1" s="9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/>
      <c r="V1"/>
      <c r="W1"/>
      <c r="X1"/>
      <c r="Y1"/>
      <c r="Z1"/>
      <c r="AA1" s="56"/>
      <c r="AB1" s="56"/>
      <c r="AC1" s="56"/>
      <c r="AD1" s="56"/>
      <c r="AE1" s="56"/>
      <c r="AF1" s="56"/>
      <c r="AG1" s="56"/>
      <c r="AH1" s="56"/>
    </row>
    <row r="2" spans="1:48" ht="15">
      <c r="A2" s="55" t="s">
        <v>62</v>
      </c>
      <c r="B2" s="95"/>
      <c r="C2" s="9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/>
      <c r="V2"/>
      <c r="W2"/>
      <c r="X2"/>
      <c r="Y2"/>
      <c r="Z2"/>
      <c r="AA2" s="56"/>
      <c r="AB2" s="56"/>
      <c r="AC2" s="56"/>
      <c r="AD2" s="56"/>
      <c r="AE2" s="56"/>
      <c r="AF2" s="56"/>
      <c r="AG2" s="56"/>
      <c r="AH2" s="56"/>
    </row>
    <row r="3" spans="1:48" ht="15">
      <c r="A3" s="55" t="s">
        <v>63</v>
      </c>
      <c r="B3" s="95"/>
      <c r="C3" s="95"/>
      <c r="D3" s="55"/>
      <c r="E3" s="55"/>
      <c r="F3" s="55"/>
      <c r="G3" s="55"/>
      <c r="H3" s="55"/>
      <c r="I3" s="55"/>
      <c r="J3" s="55"/>
      <c r="K3" s="55"/>
      <c r="L3" s="55"/>
      <c r="M3" s="55"/>
      <c r="N3" s="85"/>
      <c r="O3" s="55"/>
      <c r="P3" s="55"/>
      <c r="Q3" s="55"/>
      <c r="R3" s="55"/>
      <c r="S3" s="55"/>
      <c r="T3" s="55"/>
      <c r="U3"/>
      <c r="V3"/>
      <c r="W3"/>
      <c r="X3"/>
      <c r="Y3"/>
      <c r="Z3"/>
      <c r="AA3" s="56"/>
      <c r="AB3" s="56"/>
      <c r="AC3" s="56"/>
      <c r="AD3" s="56"/>
      <c r="AE3" s="56"/>
      <c r="AF3" s="56"/>
      <c r="AG3" s="56"/>
      <c r="AH3" s="56"/>
    </row>
    <row r="4" spans="1:48" ht="15">
      <c r="A4" s="57"/>
      <c r="B4" s="57"/>
      <c r="C4" s="57"/>
      <c r="D4" s="56"/>
      <c r="E4" s="56"/>
      <c r="F4"/>
      <c r="G4"/>
      <c r="H4"/>
      <c r="I4"/>
      <c r="J4"/>
      <c r="K4" s="58"/>
      <c r="L4" s="58"/>
      <c r="M4" s="58"/>
      <c r="N4" s="85"/>
      <c r="O4"/>
      <c r="P4"/>
      <c r="Q4"/>
      <c r="R4"/>
      <c r="S4"/>
      <c r="T4"/>
      <c r="U4"/>
      <c r="V4"/>
      <c r="W4"/>
      <c r="X4"/>
      <c r="Y4"/>
      <c r="Z4"/>
      <c r="AA4" s="56"/>
      <c r="AB4" s="56"/>
      <c r="AC4" s="56"/>
      <c r="AD4" s="56"/>
      <c r="AE4" s="56"/>
      <c r="AF4" s="56"/>
      <c r="AG4" s="56"/>
      <c r="AH4" s="56"/>
    </row>
    <row r="5" spans="1:48">
      <c r="A5" s="59" t="s">
        <v>113</v>
      </c>
      <c r="B5" s="96"/>
      <c r="C5" s="96"/>
      <c r="D5" s="59"/>
      <c r="E5" s="59"/>
      <c r="F5" s="59"/>
      <c r="G5" s="59"/>
      <c r="H5" s="59"/>
      <c r="I5" s="59"/>
      <c r="J5" s="59"/>
      <c r="K5" s="59"/>
      <c r="L5" s="59"/>
      <c r="M5" s="59"/>
      <c r="N5" s="85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H5" s="59"/>
      <c r="AJ5" s="23"/>
      <c r="AK5" s="23"/>
      <c r="AL5" s="23"/>
      <c r="AM5" s="23"/>
    </row>
    <row r="6" spans="1:48">
      <c r="B6" s="26"/>
      <c r="C6" s="26"/>
      <c r="D6" s="21"/>
      <c r="K6" s="21"/>
      <c r="L6" s="21"/>
      <c r="M6" s="21"/>
      <c r="N6" s="85"/>
    </row>
    <row r="7" spans="1:48">
      <c r="A7" s="24" t="s">
        <v>64</v>
      </c>
      <c r="B7" s="97"/>
      <c r="C7" s="172" t="s">
        <v>349</v>
      </c>
      <c r="D7" s="173"/>
      <c r="E7" s="174"/>
      <c r="F7" s="25"/>
      <c r="G7" s="24" t="s">
        <v>65</v>
      </c>
      <c r="H7" s="24"/>
      <c r="I7" s="175" t="s">
        <v>182</v>
      </c>
      <c r="J7" s="176"/>
      <c r="K7" s="177"/>
      <c r="L7" s="65"/>
      <c r="M7" s="65"/>
      <c r="N7" s="85"/>
      <c r="O7" s="26"/>
      <c r="P7" s="26"/>
      <c r="Q7" s="26"/>
      <c r="R7" s="25"/>
      <c r="S7" s="25"/>
      <c r="T7" s="25"/>
      <c r="U7" s="25"/>
      <c r="V7" s="25"/>
      <c r="W7" s="25"/>
      <c r="X7" s="25"/>
      <c r="Y7" s="25"/>
    </row>
    <row r="8" spans="1:48">
      <c r="A8" s="24" t="s">
        <v>66</v>
      </c>
      <c r="B8" s="97"/>
      <c r="C8" s="178" t="s">
        <v>151</v>
      </c>
      <c r="D8" s="179"/>
      <c r="E8" s="180"/>
      <c r="F8" s="27"/>
      <c r="G8" s="24" t="s">
        <v>3</v>
      </c>
      <c r="H8" s="24"/>
      <c r="I8" s="175" t="s">
        <v>341</v>
      </c>
      <c r="J8" s="176"/>
      <c r="K8" s="177"/>
      <c r="L8" s="65"/>
      <c r="M8" s="65"/>
      <c r="N8" s="85"/>
      <c r="O8" s="26"/>
      <c r="P8" s="26"/>
      <c r="Q8" s="26"/>
      <c r="R8" s="25"/>
      <c r="S8" s="25"/>
      <c r="T8" s="25"/>
      <c r="U8" s="25"/>
      <c r="V8" s="25"/>
      <c r="W8" s="25"/>
      <c r="X8" s="25"/>
      <c r="Y8" s="25"/>
    </row>
    <row r="9" spans="1:48">
      <c r="A9" s="24" t="s">
        <v>67</v>
      </c>
      <c r="B9" s="97"/>
      <c r="C9" s="110">
        <v>14</v>
      </c>
      <c r="D9" s="110">
        <v>1</v>
      </c>
      <c r="E9" s="111">
        <v>2025</v>
      </c>
      <c r="F9" s="25"/>
      <c r="G9" s="190" t="s">
        <v>68</v>
      </c>
      <c r="H9" s="191"/>
      <c r="I9" s="103">
        <v>22</v>
      </c>
      <c r="J9" s="103">
        <v>1</v>
      </c>
      <c r="K9" s="102">
        <v>2025</v>
      </c>
      <c r="L9" s="66"/>
      <c r="M9" s="66"/>
      <c r="N9" s="85"/>
      <c r="O9" s="26"/>
      <c r="P9" s="26"/>
      <c r="Q9" s="26"/>
      <c r="R9" s="60"/>
      <c r="S9" s="60"/>
      <c r="T9" s="60"/>
      <c r="U9" s="60"/>
      <c r="V9" s="60"/>
      <c r="W9" s="60"/>
      <c r="X9" s="60"/>
      <c r="Y9" s="60"/>
    </row>
    <row r="10" spans="1:48">
      <c r="B10" s="26"/>
      <c r="C10" s="34" t="s">
        <v>172</v>
      </c>
      <c r="D10" s="34" t="s">
        <v>119</v>
      </c>
      <c r="E10" s="34" t="s">
        <v>120</v>
      </c>
      <c r="I10" s="34" t="s">
        <v>172</v>
      </c>
      <c r="J10" s="34" t="s">
        <v>119</v>
      </c>
      <c r="K10" s="34" t="s">
        <v>120</v>
      </c>
      <c r="L10" s="21"/>
      <c r="M10" s="21"/>
      <c r="U10" s="61" t="s">
        <v>69</v>
      </c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</row>
    <row r="11" spans="1:48">
      <c r="B11" s="98"/>
      <c r="C11" s="26"/>
      <c r="D11" s="28"/>
      <c r="F11" s="28"/>
      <c r="H11" s="28"/>
      <c r="J11" s="28"/>
      <c r="K11" s="21"/>
      <c r="L11" s="28"/>
      <c r="M11" s="21"/>
      <c r="O11" s="28"/>
      <c r="R11" s="28"/>
      <c r="U11" s="28"/>
      <c r="V11" s="28"/>
      <c r="Y11" s="28"/>
      <c r="AJ11" s="28"/>
      <c r="AM11" s="28"/>
      <c r="AO11" s="21"/>
    </row>
    <row r="12" spans="1:48" ht="21" customHeight="1">
      <c r="A12" s="184" t="s">
        <v>110</v>
      </c>
      <c r="B12" s="184" t="s">
        <v>71</v>
      </c>
      <c r="C12" s="184"/>
      <c r="D12" s="184"/>
      <c r="E12" s="184" t="s">
        <v>87</v>
      </c>
      <c r="F12" s="181" t="s">
        <v>88</v>
      </c>
      <c r="G12" s="184" t="s">
        <v>72</v>
      </c>
      <c r="H12" s="184"/>
      <c r="I12" s="182" t="s">
        <v>73</v>
      </c>
      <c r="J12" s="188"/>
      <c r="K12" s="182" t="s">
        <v>74</v>
      </c>
      <c r="L12" s="188"/>
      <c r="M12" s="196"/>
      <c r="N12" s="184" t="s">
        <v>75</v>
      </c>
      <c r="O12" s="182" t="s">
        <v>76</v>
      </c>
      <c r="P12" s="188"/>
      <c r="Q12" s="196"/>
      <c r="R12" s="182" t="s">
        <v>77</v>
      </c>
      <c r="S12" s="188"/>
      <c r="T12" s="196"/>
      <c r="U12" s="184" t="s">
        <v>78</v>
      </c>
      <c r="V12" s="121" t="s">
        <v>337</v>
      </c>
      <c r="W12" s="182" t="s">
        <v>79</v>
      </c>
      <c r="X12" s="188"/>
      <c r="Y12" s="196"/>
      <c r="Z12" s="184" t="s">
        <v>80</v>
      </c>
      <c r="AA12" s="184" t="s">
        <v>81</v>
      </c>
      <c r="AB12" s="181"/>
      <c r="AC12" s="181"/>
      <c r="AD12" s="181"/>
      <c r="AE12" s="181"/>
      <c r="AF12" s="181"/>
      <c r="AG12" s="181"/>
      <c r="AH12" s="181"/>
      <c r="AI12" s="182" t="s">
        <v>83</v>
      </c>
      <c r="AJ12" s="184" t="s">
        <v>84</v>
      </c>
      <c r="AK12" s="182" t="s">
        <v>152</v>
      </c>
      <c r="AL12" s="188"/>
      <c r="AM12" s="196"/>
      <c r="AN12" s="184" t="s">
        <v>106</v>
      </c>
    </row>
    <row r="13" spans="1:48">
      <c r="A13" s="184"/>
      <c r="B13" s="184"/>
      <c r="C13" s="184"/>
      <c r="D13" s="184"/>
      <c r="E13" s="184"/>
      <c r="F13" s="181"/>
      <c r="G13" s="184"/>
      <c r="H13" s="184"/>
      <c r="I13" s="183"/>
      <c r="J13" s="189"/>
      <c r="K13" s="79" t="s">
        <v>12</v>
      </c>
      <c r="L13" s="79" t="s">
        <v>150</v>
      </c>
      <c r="M13" s="79" t="s">
        <v>14</v>
      </c>
      <c r="N13" s="184"/>
      <c r="O13" s="79" t="s">
        <v>12</v>
      </c>
      <c r="P13" s="79" t="s">
        <v>150</v>
      </c>
      <c r="Q13" s="79" t="s">
        <v>14</v>
      </c>
      <c r="R13" s="79" t="s">
        <v>12</v>
      </c>
      <c r="S13" s="79" t="s">
        <v>150</v>
      </c>
      <c r="T13" s="79" t="s">
        <v>14</v>
      </c>
      <c r="U13" s="184"/>
      <c r="V13" s="79"/>
      <c r="W13" s="79" t="s">
        <v>12</v>
      </c>
      <c r="X13" s="79" t="s">
        <v>150</v>
      </c>
      <c r="Y13" s="79" t="s">
        <v>14</v>
      </c>
      <c r="Z13" s="184"/>
      <c r="AA13" s="184"/>
      <c r="AB13" s="80" t="s">
        <v>329</v>
      </c>
      <c r="AC13" s="80" t="s">
        <v>331</v>
      </c>
      <c r="AD13" s="80" t="s">
        <v>336</v>
      </c>
      <c r="AE13" s="80" t="s">
        <v>332</v>
      </c>
      <c r="AF13" s="80" t="s">
        <v>369</v>
      </c>
      <c r="AG13" s="80" t="s">
        <v>370</v>
      </c>
      <c r="AH13" s="80" t="s">
        <v>330</v>
      </c>
      <c r="AI13" s="183"/>
      <c r="AJ13" s="184"/>
      <c r="AK13" s="79" t="s">
        <v>12</v>
      </c>
      <c r="AL13" s="79" t="s">
        <v>150</v>
      </c>
      <c r="AM13" s="79" t="s">
        <v>14</v>
      </c>
      <c r="AN13" s="184"/>
    </row>
    <row r="14" spans="1:48" s="78" customFormat="1" ht="47.25" customHeight="1">
      <c r="A14" s="69">
        <v>1</v>
      </c>
      <c r="B14" s="197" t="s">
        <v>353</v>
      </c>
      <c r="C14" s="198"/>
      <c r="D14" s="199"/>
      <c r="E14" s="69">
        <v>12</v>
      </c>
      <c r="F14" s="69" t="s">
        <v>348</v>
      </c>
      <c r="G14" s="192" t="s">
        <v>355</v>
      </c>
      <c r="H14" s="193"/>
      <c r="I14" s="186" t="s">
        <v>341</v>
      </c>
      <c r="J14" s="187"/>
      <c r="K14" s="114">
        <v>14</v>
      </c>
      <c r="L14" s="114">
        <v>1</v>
      </c>
      <c r="M14" s="115">
        <v>2025</v>
      </c>
      <c r="N14" s="91" t="s">
        <v>338</v>
      </c>
      <c r="O14" s="70">
        <v>16</v>
      </c>
      <c r="P14" s="70">
        <v>1</v>
      </c>
      <c r="Q14" s="70">
        <v>2025</v>
      </c>
      <c r="R14" s="70"/>
      <c r="S14" s="70"/>
      <c r="T14" s="70"/>
      <c r="U14" s="120"/>
      <c r="V14" s="122"/>
      <c r="W14" s="70"/>
      <c r="X14" s="70"/>
      <c r="Y14" s="70"/>
      <c r="Z14" s="119"/>
      <c r="AA14" s="118"/>
      <c r="AB14" s="71">
        <v>1</v>
      </c>
      <c r="AC14" s="71">
        <v>1</v>
      </c>
      <c r="AD14" s="71">
        <v>1</v>
      </c>
      <c r="AE14" s="71">
        <v>0</v>
      </c>
      <c r="AF14" s="71">
        <v>1</v>
      </c>
      <c r="AG14" s="71">
        <v>1</v>
      </c>
      <c r="AH14" s="71">
        <v>1</v>
      </c>
      <c r="AI14" s="71" t="s">
        <v>151</v>
      </c>
      <c r="AJ14" s="117" t="s">
        <v>356</v>
      </c>
      <c r="AK14" s="70"/>
      <c r="AL14" s="70"/>
      <c r="AM14" s="70"/>
      <c r="AN14" s="74" t="s">
        <v>123</v>
      </c>
      <c r="AO14" s="78">
        <f t="shared" ref="AO14" si="0">IF(AN14="","",VLOOKUP(AN14,SEGUIMIENTOS,2,FALSE))</f>
        <v>0</v>
      </c>
      <c r="AR14" s="86"/>
      <c r="AT14" s="86"/>
      <c r="AV14" s="86"/>
    </row>
    <row r="15" spans="1:48" s="78" customFormat="1" ht="47.25" customHeight="1">
      <c r="A15" s="69">
        <v>2</v>
      </c>
      <c r="B15" s="197" t="s">
        <v>354</v>
      </c>
      <c r="C15" s="198"/>
      <c r="D15" s="199"/>
      <c r="E15" s="69">
        <v>52</v>
      </c>
      <c r="F15" s="69" t="s">
        <v>340</v>
      </c>
      <c r="G15" s="192" t="s">
        <v>355</v>
      </c>
      <c r="H15" s="193"/>
      <c r="I15" s="186" t="s">
        <v>341</v>
      </c>
      <c r="J15" s="187"/>
      <c r="K15" s="114">
        <v>14</v>
      </c>
      <c r="L15" s="114">
        <v>1</v>
      </c>
      <c r="M15" s="115">
        <v>2025</v>
      </c>
      <c r="N15" s="91" t="s">
        <v>338</v>
      </c>
      <c r="O15" s="70">
        <v>16</v>
      </c>
      <c r="P15" s="70">
        <v>1</v>
      </c>
      <c r="Q15" s="70">
        <v>2025</v>
      </c>
      <c r="R15" s="70"/>
      <c r="S15" s="70"/>
      <c r="T15" s="70"/>
      <c r="U15" s="120"/>
      <c r="V15" s="122"/>
      <c r="W15" s="70"/>
      <c r="X15" s="70"/>
      <c r="Y15" s="70"/>
      <c r="Z15" s="119"/>
      <c r="AA15" s="118"/>
      <c r="AB15" s="71">
        <v>1</v>
      </c>
      <c r="AC15" s="71">
        <v>1</v>
      </c>
      <c r="AD15" s="71">
        <v>1</v>
      </c>
      <c r="AE15" s="71">
        <v>1</v>
      </c>
      <c r="AF15" s="71">
        <v>0</v>
      </c>
      <c r="AG15" s="71">
        <v>1</v>
      </c>
      <c r="AH15" s="71">
        <v>1</v>
      </c>
      <c r="AI15" s="71" t="s">
        <v>151</v>
      </c>
      <c r="AJ15" s="117" t="s">
        <v>356</v>
      </c>
      <c r="AK15" s="70"/>
      <c r="AL15" s="70"/>
      <c r="AM15" s="70"/>
      <c r="AN15" s="74" t="s">
        <v>123</v>
      </c>
      <c r="AO15" s="78" t="e">
        <f>IF(#REF!="","",VLOOKUP(#REF!,SEGUIMIENTOS,2,FALSE))</f>
        <v>#REF!</v>
      </c>
      <c r="AR15" s="86"/>
      <c r="AT15" s="86"/>
      <c r="AV15" s="86"/>
    </row>
    <row r="16" spans="1:48" s="78" customFormat="1" ht="47.25" customHeight="1">
      <c r="A16" s="69"/>
      <c r="B16" s="194"/>
      <c r="C16" s="194"/>
      <c r="D16" s="194"/>
      <c r="E16" s="69"/>
      <c r="F16" s="69"/>
      <c r="G16" s="186"/>
      <c r="H16" s="187"/>
      <c r="I16" s="186"/>
      <c r="J16" s="187"/>
      <c r="K16" s="114"/>
      <c r="L16" s="114"/>
      <c r="M16" s="115"/>
      <c r="N16" s="91"/>
      <c r="O16" s="70"/>
      <c r="P16" s="70"/>
      <c r="Q16" s="70"/>
      <c r="R16" s="70"/>
      <c r="S16" s="70"/>
      <c r="T16" s="70"/>
      <c r="U16" s="74"/>
      <c r="V16" s="122"/>
      <c r="W16" s="70"/>
      <c r="X16" s="70"/>
      <c r="Y16" s="70"/>
      <c r="Z16" s="119"/>
      <c r="AA16" s="71"/>
      <c r="AB16" s="71"/>
      <c r="AC16" s="71"/>
      <c r="AD16" s="71"/>
      <c r="AE16" s="71"/>
      <c r="AF16" s="71"/>
      <c r="AG16" s="71"/>
      <c r="AH16" s="71"/>
      <c r="AI16" s="71"/>
      <c r="AJ16" s="73"/>
      <c r="AK16" s="70"/>
      <c r="AL16" s="70"/>
      <c r="AM16" s="70"/>
      <c r="AN16" s="74"/>
      <c r="AO16" s="78">
        <f>IF(AN15="","",VLOOKUP(AN15,SEGUIMIENTOS,2,FALSE))</f>
        <v>0</v>
      </c>
      <c r="AR16" s="86"/>
      <c r="AT16" s="86"/>
      <c r="AV16" s="86"/>
    </row>
    <row r="17" spans="1:50" s="78" customFormat="1" ht="47.25" customHeight="1">
      <c r="A17" s="69"/>
      <c r="B17" s="194"/>
      <c r="C17" s="194"/>
      <c r="D17" s="194"/>
      <c r="E17" s="69"/>
      <c r="F17" s="69"/>
      <c r="G17" s="186"/>
      <c r="H17" s="187"/>
      <c r="I17" s="186"/>
      <c r="J17" s="187"/>
      <c r="K17" s="114"/>
      <c r="L17" s="114"/>
      <c r="M17" s="115"/>
      <c r="N17" s="91"/>
      <c r="O17" s="70"/>
      <c r="P17" s="70"/>
      <c r="Q17" s="70"/>
      <c r="R17" s="70"/>
      <c r="S17" s="70"/>
      <c r="T17" s="70"/>
      <c r="U17" s="74"/>
      <c r="V17" s="74"/>
      <c r="W17" s="70"/>
      <c r="X17" s="70"/>
      <c r="Y17" s="70"/>
      <c r="Z17" s="72"/>
      <c r="AA17" s="71"/>
      <c r="AB17" s="71"/>
      <c r="AC17" s="71"/>
      <c r="AD17" s="71"/>
      <c r="AE17" s="71"/>
      <c r="AF17" s="71"/>
      <c r="AG17" s="71"/>
      <c r="AH17" s="71"/>
      <c r="AI17" s="71"/>
      <c r="AJ17" s="73"/>
      <c r="AK17" s="70"/>
      <c r="AL17" s="70"/>
      <c r="AM17" s="70"/>
      <c r="AN17" s="74"/>
      <c r="AR17" s="86"/>
      <c r="AT17" s="86"/>
      <c r="AV17" s="86"/>
    </row>
    <row r="18" spans="1:50" s="78" customFormat="1" ht="47.25" customHeight="1">
      <c r="A18" s="69"/>
      <c r="B18" s="194"/>
      <c r="C18" s="194"/>
      <c r="D18" s="194"/>
      <c r="E18" s="69"/>
      <c r="F18" s="69"/>
      <c r="G18" s="186"/>
      <c r="H18" s="187"/>
      <c r="I18" s="185"/>
      <c r="J18" s="185"/>
      <c r="K18" s="114"/>
      <c r="L18" s="114"/>
      <c r="M18" s="115"/>
      <c r="N18" s="91"/>
      <c r="O18" s="70"/>
      <c r="P18" s="70"/>
      <c r="Q18" s="70"/>
      <c r="R18" s="70"/>
      <c r="S18" s="70"/>
      <c r="T18" s="70"/>
      <c r="U18" s="74"/>
      <c r="V18" s="74"/>
      <c r="W18" s="70"/>
      <c r="X18" s="70"/>
      <c r="Y18" s="70"/>
      <c r="Z18" s="71"/>
      <c r="AA18" s="71"/>
      <c r="AB18" s="71"/>
      <c r="AC18" s="71"/>
      <c r="AD18" s="71"/>
      <c r="AE18" s="71"/>
      <c r="AF18" s="71"/>
      <c r="AG18" s="71"/>
      <c r="AH18" s="71"/>
      <c r="AI18" s="71"/>
      <c r="AJ18" s="73"/>
      <c r="AK18" s="70"/>
      <c r="AL18" s="70"/>
      <c r="AM18" s="70"/>
      <c r="AN18" s="74"/>
      <c r="AR18" s="86"/>
      <c r="AT18" s="86"/>
      <c r="AV18" s="86"/>
    </row>
    <row r="19" spans="1:50" s="78" customFormat="1" ht="31.7" customHeight="1">
      <c r="A19" s="69"/>
      <c r="B19" s="194"/>
      <c r="C19" s="194"/>
      <c r="D19" s="194"/>
      <c r="E19" s="69"/>
      <c r="F19" s="69"/>
      <c r="G19" s="185"/>
      <c r="H19" s="185"/>
      <c r="I19" s="186"/>
      <c r="J19" s="187"/>
      <c r="K19" s="114"/>
      <c r="L19" s="114"/>
      <c r="M19" s="115"/>
      <c r="N19" s="92"/>
      <c r="O19" s="70"/>
      <c r="P19" s="70"/>
      <c r="Q19" s="70"/>
      <c r="R19" s="70"/>
      <c r="S19" s="70"/>
      <c r="T19" s="70"/>
      <c r="U19" s="74"/>
      <c r="V19" s="74"/>
      <c r="W19" s="70"/>
      <c r="X19" s="70"/>
      <c r="Y19" s="70"/>
      <c r="Z19" s="75"/>
      <c r="AA19" s="71"/>
      <c r="AB19" s="71"/>
      <c r="AC19" s="71"/>
      <c r="AD19" s="71"/>
      <c r="AE19" s="71"/>
      <c r="AF19" s="71"/>
      <c r="AG19" s="71"/>
      <c r="AH19" s="71"/>
      <c r="AI19" s="71"/>
      <c r="AJ19" s="73"/>
      <c r="AK19" s="70"/>
      <c r="AL19" s="70"/>
      <c r="AM19" s="70"/>
      <c r="AN19" s="74"/>
      <c r="AO19" s="78" t="str">
        <f t="shared" ref="AO19:AO50" si="1">IF(AN16="","",VLOOKUP(AN16,SEGUIMIENTOS,2,FALSE))</f>
        <v/>
      </c>
      <c r="AR19" s="86"/>
      <c r="AT19" s="86"/>
      <c r="AV19" s="86"/>
    </row>
    <row r="20" spans="1:50" s="78" customFormat="1" ht="41.25" customHeight="1">
      <c r="A20" s="69"/>
      <c r="B20" s="194"/>
      <c r="C20" s="194"/>
      <c r="D20" s="194"/>
      <c r="E20" s="69"/>
      <c r="F20" s="69"/>
      <c r="G20" s="185"/>
      <c r="H20" s="185"/>
      <c r="I20" s="185"/>
      <c r="J20" s="185"/>
      <c r="K20" s="114"/>
      <c r="L20" s="114"/>
      <c r="M20" s="115"/>
      <c r="N20" s="92"/>
      <c r="O20" s="70"/>
      <c r="P20" s="70"/>
      <c r="Q20" s="70"/>
      <c r="R20" s="70"/>
      <c r="S20" s="70"/>
      <c r="T20" s="70"/>
      <c r="U20" s="71"/>
      <c r="V20" s="71"/>
      <c r="W20" s="70"/>
      <c r="X20" s="70"/>
      <c r="Y20" s="70"/>
      <c r="Z20" s="75"/>
      <c r="AA20" s="76"/>
      <c r="AB20" s="71"/>
      <c r="AC20" s="71"/>
      <c r="AD20" s="71"/>
      <c r="AE20" s="71"/>
      <c r="AF20" s="71"/>
      <c r="AG20" s="71"/>
      <c r="AH20" s="71"/>
      <c r="AI20" s="71"/>
      <c r="AJ20" s="73"/>
      <c r="AK20" s="70"/>
      <c r="AL20" s="70"/>
      <c r="AM20" s="70"/>
      <c r="AN20" s="74"/>
      <c r="AO20" s="78" t="str">
        <f t="shared" si="1"/>
        <v/>
      </c>
      <c r="AR20" s="86"/>
      <c r="AT20" s="86"/>
      <c r="AV20" s="86"/>
    </row>
    <row r="21" spans="1:50" s="78" customFormat="1" ht="31.7" customHeight="1">
      <c r="A21" s="69"/>
      <c r="B21" s="194"/>
      <c r="C21" s="195"/>
      <c r="D21" s="195"/>
      <c r="E21" s="69"/>
      <c r="F21" s="69"/>
      <c r="G21" s="185"/>
      <c r="H21" s="185"/>
      <c r="I21" s="185"/>
      <c r="J21" s="185"/>
      <c r="K21" s="114"/>
      <c r="L21" s="114"/>
      <c r="M21" s="115"/>
      <c r="N21" s="92"/>
      <c r="O21" s="70"/>
      <c r="P21" s="70"/>
      <c r="Q21" s="70"/>
      <c r="R21" s="70"/>
      <c r="S21" s="70"/>
      <c r="T21" s="70"/>
      <c r="U21" s="71"/>
      <c r="V21" s="71"/>
      <c r="W21" s="70"/>
      <c r="X21" s="70"/>
      <c r="Y21" s="70"/>
      <c r="Z21" s="75"/>
      <c r="AA21" s="76"/>
      <c r="AB21" s="71"/>
      <c r="AC21" s="71"/>
      <c r="AD21" s="71"/>
      <c r="AE21" s="71"/>
      <c r="AF21" s="71"/>
      <c r="AG21" s="71"/>
      <c r="AH21" s="71"/>
      <c r="AI21" s="71"/>
      <c r="AJ21" s="73"/>
      <c r="AK21" s="70"/>
      <c r="AL21" s="70"/>
      <c r="AM21" s="70"/>
      <c r="AN21" s="74"/>
      <c r="AO21" s="78" t="str">
        <f t="shared" si="1"/>
        <v/>
      </c>
      <c r="AR21" s="86"/>
      <c r="AT21" s="86"/>
      <c r="AV21" s="86"/>
    </row>
    <row r="22" spans="1:50" s="53" customFormat="1" ht="29.25" customHeight="1">
      <c r="A22" s="69"/>
      <c r="B22" s="194"/>
      <c r="C22" s="195"/>
      <c r="D22" s="195"/>
      <c r="E22" s="69"/>
      <c r="F22" s="69"/>
      <c r="G22" s="185"/>
      <c r="H22" s="185"/>
      <c r="I22" s="185"/>
      <c r="J22" s="185"/>
      <c r="K22" s="114"/>
      <c r="L22" s="114"/>
      <c r="M22" s="115"/>
      <c r="N22" s="92"/>
      <c r="O22" s="70"/>
      <c r="P22" s="70"/>
      <c r="Q22" s="70"/>
      <c r="R22" s="70"/>
      <c r="S22" s="70"/>
      <c r="T22" s="70"/>
      <c r="U22" s="71"/>
      <c r="V22" s="71"/>
      <c r="W22" s="70"/>
      <c r="X22" s="70"/>
      <c r="Y22" s="70"/>
      <c r="Z22" s="75"/>
      <c r="AA22" s="76"/>
      <c r="AB22" s="71"/>
      <c r="AC22" s="71"/>
      <c r="AD22" s="71"/>
      <c r="AE22" s="71"/>
      <c r="AF22" s="71"/>
      <c r="AG22" s="71"/>
      <c r="AH22" s="71"/>
      <c r="AI22" s="71"/>
      <c r="AJ22" s="73"/>
      <c r="AK22" s="70"/>
      <c r="AL22" s="70"/>
      <c r="AM22" s="70"/>
      <c r="AN22" s="74"/>
      <c r="AO22" s="78" t="str">
        <f t="shared" si="1"/>
        <v/>
      </c>
      <c r="AR22" s="86"/>
      <c r="AT22" s="86"/>
      <c r="AV22" s="86"/>
      <c r="AX22" s="78"/>
    </row>
    <row r="23" spans="1:50" s="53" customFormat="1" ht="29.25" customHeight="1">
      <c r="A23" s="69"/>
      <c r="B23" s="194"/>
      <c r="C23" s="195"/>
      <c r="D23" s="195"/>
      <c r="E23" s="69"/>
      <c r="F23" s="69"/>
      <c r="G23" s="185"/>
      <c r="H23" s="185"/>
      <c r="I23" s="170"/>
      <c r="J23" s="171"/>
      <c r="K23" s="114"/>
      <c r="L23" s="114"/>
      <c r="M23" s="115"/>
      <c r="N23" s="92"/>
      <c r="O23" s="70"/>
      <c r="P23" s="70"/>
      <c r="Q23" s="70"/>
      <c r="R23" s="70"/>
      <c r="S23" s="70"/>
      <c r="T23" s="70"/>
      <c r="U23" s="71"/>
      <c r="V23" s="71"/>
      <c r="W23" s="70"/>
      <c r="X23" s="70"/>
      <c r="Y23" s="70"/>
      <c r="Z23" s="75"/>
      <c r="AA23" s="76"/>
      <c r="AB23" s="71"/>
      <c r="AC23" s="71"/>
      <c r="AD23" s="71"/>
      <c r="AE23" s="71"/>
      <c r="AF23" s="71"/>
      <c r="AG23" s="71"/>
      <c r="AH23" s="71"/>
      <c r="AI23" s="71"/>
      <c r="AJ23" s="73"/>
      <c r="AK23" s="70"/>
      <c r="AL23" s="70"/>
      <c r="AM23" s="70"/>
      <c r="AN23" s="74"/>
      <c r="AO23" s="78" t="str">
        <f t="shared" si="1"/>
        <v/>
      </c>
      <c r="AR23" s="86"/>
      <c r="AT23" s="86"/>
      <c r="AV23" s="86"/>
      <c r="AX23" s="78"/>
    </row>
    <row r="24" spans="1:50" s="53" customFormat="1" ht="29.25" customHeight="1">
      <c r="A24" s="69"/>
      <c r="B24" s="194"/>
      <c r="C24" s="195"/>
      <c r="D24" s="195"/>
      <c r="E24" s="69"/>
      <c r="F24" s="69"/>
      <c r="G24" s="185"/>
      <c r="H24" s="185"/>
      <c r="I24" s="170"/>
      <c r="J24" s="171"/>
      <c r="K24" s="114"/>
      <c r="L24" s="114"/>
      <c r="M24" s="115"/>
      <c r="N24" s="92"/>
      <c r="O24" s="70"/>
      <c r="P24" s="70"/>
      <c r="Q24" s="70"/>
      <c r="R24" s="70"/>
      <c r="S24" s="70"/>
      <c r="T24" s="70"/>
      <c r="U24" s="71"/>
      <c r="V24" s="71"/>
      <c r="W24" s="70"/>
      <c r="X24" s="70"/>
      <c r="Y24" s="70"/>
      <c r="Z24" s="75"/>
      <c r="AA24" s="76"/>
      <c r="AB24" s="71"/>
      <c r="AC24" s="71"/>
      <c r="AD24" s="71"/>
      <c r="AE24" s="71"/>
      <c r="AF24" s="71"/>
      <c r="AG24" s="71"/>
      <c r="AH24" s="71"/>
      <c r="AI24" s="71"/>
      <c r="AJ24" s="73"/>
      <c r="AK24" s="70"/>
      <c r="AL24" s="70"/>
      <c r="AM24" s="70"/>
      <c r="AN24" s="74"/>
      <c r="AO24" s="78" t="str">
        <f t="shared" si="1"/>
        <v/>
      </c>
      <c r="AR24" s="86"/>
      <c r="AT24" s="86"/>
      <c r="AV24" s="86"/>
      <c r="AX24" s="78"/>
    </row>
    <row r="25" spans="1:50" s="53" customFormat="1" ht="29.25" customHeight="1">
      <c r="A25" s="69"/>
      <c r="B25" s="194"/>
      <c r="C25" s="195"/>
      <c r="D25" s="195"/>
      <c r="E25" s="69"/>
      <c r="F25" s="69"/>
      <c r="G25" s="185"/>
      <c r="H25" s="185"/>
      <c r="I25" s="170"/>
      <c r="J25" s="171"/>
      <c r="K25" s="114"/>
      <c r="L25" s="114"/>
      <c r="M25" s="115"/>
      <c r="N25" s="92"/>
      <c r="O25" s="70"/>
      <c r="P25" s="70"/>
      <c r="Q25" s="70"/>
      <c r="R25" s="70"/>
      <c r="S25" s="70"/>
      <c r="T25" s="70"/>
      <c r="U25" s="71"/>
      <c r="V25" s="71"/>
      <c r="W25" s="70"/>
      <c r="X25" s="70"/>
      <c r="Y25" s="70"/>
      <c r="Z25" s="75"/>
      <c r="AA25" s="76"/>
      <c r="AB25" s="71"/>
      <c r="AC25" s="71"/>
      <c r="AD25" s="71"/>
      <c r="AE25" s="71"/>
      <c r="AF25" s="71"/>
      <c r="AG25" s="71"/>
      <c r="AH25" s="71"/>
      <c r="AI25" s="71"/>
      <c r="AJ25" s="73"/>
      <c r="AK25" s="70"/>
      <c r="AL25" s="70"/>
      <c r="AM25" s="70"/>
      <c r="AN25" s="74"/>
      <c r="AO25" s="78" t="str">
        <f t="shared" si="1"/>
        <v/>
      </c>
      <c r="AR25" s="86"/>
      <c r="AT25" s="86"/>
      <c r="AV25" s="86"/>
      <c r="AX25" s="78"/>
    </row>
    <row r="26" spans="1:50" s="53" customFormat="1" ht="29.25" customHeight="1">
      <c r="A26" s="69"/>
      <c r="B26" s="194"/>
      <c r="C26" s="195"/>
      <c r="D26" s="195"/>
      <c r="E26" s="69"/>
      <c r="F26" s="69"/>
      <c r="G26" s="185"/>
      <c r="H26" s="185"/>
      <c r="I26" s="170"/>
      <c r="J26" s="171"/>
      <c r="K26" s="114"/>
      <c r="L26" s="114"/>
      <c r="M26" s="115"/>
      <c r="N26" s="92"/>
      <c r="O26" s="70"/>
      <c r="P26" s="70"/>
      <c r="Q26" s="70"/>
      <c r="R26" s="70"/>
      <c r="S26" s="70"/>
      <c r="T26" s="70"/>
      <c r="U26" s="71"/>
      <c r="V26" s="71"/>
      <c r="W26" s="70"/>
      <c r="X26" s="70"/>
      <c r="Y26" s="70"/>
      <c r="Z26" s="75"/>
      <c r="AA26" s="76"/>
      <c r="AB26" s="71"/>
      <c r="AC26" s="71"/>
      <c r="AD26" s="71"/>
      <c r="AE26" s="71"/>
      <c r="AF26" s="71"/>
      <c r="AG26" s="71"/>
      <c r="AH26" s="71"/>
      <c r="AI26" s="71"/>
      <c r="AJ26" s="73"/>
      <c r="AK26" s="70"/>
      <c r="AL26" s="70"/>
      <c r="AM26" s="70"/>
      <c r="AN26" s="74"/>
      <c r="AO26" s="78" t="str">
        <f t="shared" si="1"/>
        <v/>
      </c>
      <c r="AR26" s="86"/>
      <c r="AT26" s="86"/>
      <c r="AV26" s="86"/>
      <c r="AX26" s="78"/>
    </row>
    <row r="27" spans="1:50" s="53" customFormat="1" ht="29.25" customHeight="1">
      <c r="A27" s="69"/>
      <c r="B27" s="194"/>
      <c r="C27" s="195"/>
      <c r="D27" s="195"/>
      <c r="E27" s="69"/>
      <c r="F27" s="69"/>
      <c r="G27" s="185"/>
      <c r="H27" s="185"/>
      <c r="I27" s="170"/>
      <c r="J27" s="171"/>
      <c r="K27" s="114"/>
      <c r="L27" s="114"/>
      <c r="M27" s="115"/>
      <c r="N27" s="92"/>
      <c r="O27" s="70"/>
      <c r="P27" s="70"/>
      <c r="Q27" s="70"/>
      <c r="R27" s="70"/>
      <c r="S27" s="70"/>
      <c r="T27" s="70"/>
      <c r="U27" s="71"/>
      <c r="V27" s="71"/>
      <c r="W27" s="70"/>
      <c r="X27" s="70"/>
      <c r="Y27" s="70"/>
      <c r="Z27" s="75"/>
      <c r="AA27" s="76"/>
      <c r="AB27" s="71"/>
      <c r="AC27" s="71"/>
      <c r="AD27" s="71"/>
      <c r="AE27" s="71"/>
      <c r="AF27" s="71"/>
      <c r="AG27" s="71"/>
      <c r="AH27" s="71"/>
      <c r="AI27" s="71"/>
      <c r="AJ27" s="73"/>
      <c r="AK27" s="70"/>
      <c r="AL27" s="70"/>
      <c r="AM27" s="70"/>
      <c r="AN27" s="74"/>
      <c r="AO27" s="78" t="str">
        <f t="shared" si="1"/>
        <v/>
      </c>
      <c r="AR27" s="86"/>
      <c r="AT27" s="86"/>
      <c r="AV27" s="86"/>
      <c r="AX27" s="78"/>
    </row>
    <row r="28" spans="1:50" s="53" customFormat="1" ht="29.25" customHeight="1">
      <c r="A28" s="69"/>
      <c r="B28" s="194"/>
      <c r="C28" s="195"/>
      <c r="D28" s="195"/>
      <c r="E28" s="69"/>
      <c r="F28" s="69"/>
      <c r="G28" s="185"/>
      <c r="H28" s="185"/>
      <c r="I28" s="170"/>
      <c r="J28" s="171"/>
      <c r="K28" s="114"/>
      <c r="L28" s="114"/>
      <c r="M28" s="115"/>
      <c r="N28" s="92"/>
      <c r="O28" s="70"/>
      <c r="P28" s="70"/>
      <c r="Q28" s="70"/>
      <c r="R28" s="70"/>
      <c r="S28" s="70"/>
      <c r="T28" s="70"/>
      <c r="U28" s="71"/>
      <c r="V28" s="71"/>
      <c r="W28" s="70"/>
      <c r="X28" s="70"/>
      <c r="Y28" s="70"/>
      <c r="Z28" s="75"/>
      <c r="AA28" s="76"/>
      <c r="AB28" s="71"/>
      <c r="AC28" s="71"/>
      <c r="AD28" s="71"/>
      <c r="AE28" s="71"/>
      <c r="AF28" s="71"/>
      <c r="AG28" s="71"/>
      <c r="AH28" s="71"/>
      <c r="AI28" s="71"/>
      <c r="AJ28" s="73"/>
      <c r="AK28" s="70"/>
      <c r="AL28" s="70"/>
      <c r="AM28" s="70"/>
      <c r="AN28" s="74"/>
      <c r="AO28" s="78" t="str">
        <f t="shared" si="1"/>
        <v/>
      </c>
      <c r="AR28" s="86"/>
      <c r="AT28" s="86"/>
      <c r="AV28" s="86"/>
      <c r="AX28" s="78"/>
    </row>
    <row r="29" spans="1:50" s="53" customFormat="1" ht="29.25" customHeight="1">
      <c r="A29" s="69"/>
      <c r="B29" s="194"/>
      <c r="C29" s="195"/>
      <c r="D29" s="195"/>
      <c r="E29" s="69"/>
      <c r="F29" s="69"/>
      <c r="G29" s="185"/>
      <c r="H29" s="185"/>
      <c r="I29" s="170"/>
      <c r="J29" s="171"/>
      <c r="K29" s="114"/>
      <c r="L29" s="114"/>
      <c r="M29" s="115"/>
      <c r="N29" s="92"/>
      <c r="O29" s="70"/>
      <c r="P29" s="70"/>
      <c r="Q29" s="70"/>
      <c r="R29" s="70"/>
      <c r="S29" s="70"/>
      <c r="T29" s="70"/>
      <c r="U29" s="71"/>
      <c r="V29" s="71"/>
      <c r="W29" s="70"/>
      <c r="X29" s="70"/>
      <c r="Y29" s="70"/>
      <c r="Z29" s="75"/>
      <c r="AA29" s="76"/>
      <c r="AB29" s="71"/>
      <c r="AC29" s="71"/>
      <c r="AD29" s="71"/>
      <c r="AE29" s="71"/>
      <c r="AF29" s="71"/>
      <c r="AG29" s="71"/>
      <c r="AH29" s="71"/>
      <c r="AI29" s="71"/>
      <c r="AJ29" s="73"/>
      <c r="AK29" s="70"/>
      <c r="AL29" s="70"/>
      <c r="AM29" s="70"/>
      <c r="AN29" s="74"/>
      <c r="AO29" s="78" t="str">
        <f t="shared" si="1"/>
        <v/>
      </c>
      <c r="AR29" s="86"/>
      <c r="AT29" s="86"/>
      <c r="AV29" s="86"/>
      <c r="AX29" s="78"/>
    </row>
    <row r="30" spans="1:50" s="53" customFormat="1" ht="29.25" customHeight="1">
      <c r="A30" s="69"/>
      <c r="B30" s="194"/>
      <c r="C30" s="195"/>
      <c r="D30" s="195"/>
      <c r="E30" s="69"/>
      <c r="F30" s="69"/>
      <c r="G30" s="185"/>
      <c r="H30" s="185"/>
      <c r="I30" s="170"/>
      <c r="J30" s="171"/>
      <c r="K30" s="114"/>
      <c r="L30" s="114"/>
      <c r="M30" s="115"/>
      <c r="N30" s="92"/>
      <c r="O30" s="70"/>
      <c r="P30" s="70"/>
      <c r="Q30" s="70"/>
      <c r="R30" s="70"/>
      <c r="S30" s="70"/>
      <c r="T30" s="70"/>
      <c r="U30" s="71"/>
      <c r="V30" s="71"/>
      <c r="W30" s="70"/>
      <c r="X30" s="70"/>
      <c r="Y30" s="70"/>
      <c r="Z30" s="75"/>
      <c r="AA30" s="76"/>
      <c r="AB30" s="71"/>
      <c r="AC30" s="71"/>
      <c r="AD30" s="71"/>
      <c r="AE30" s="71"/>
      <c r="AF30" s="71"/>
      <c r="AG30" s="71"/>
      <c r="AH30" s="71"/>
      <c r="AI30" s="71"/>
      <c r="AJ30" s="73"/>
      <c r="AK30" s="70"/>
      <c r="AL30" s="70"/>
      <c r="AM30" s="70"/>
      <c r="AN30" s="74"/>
      <c r="AO30" s="78" t="str">
        <f t="shared" si="1"/>
        <v/>
      </c>
      <c r="AR30" s="86"/>
      <c r="AT30" s="86"/>
      <c r="AV30" s="86"/>
      <c r="AX30" s="78"/>
    </row>
    <row r="31" spans="1:50" s="53" customFormat="1" ht="29.25" customHeight="1">
      <c r="A31" s="69"/>
      <c r="B31" s="194"/>
      <c r="C31" s="195"/>
      <c r="D31" s="195"/>
      <c r="E31" s="69"/>
      <c r="F31" s="69"/>
      <c r="G31" s="185"/>
      <c r="H31" s="185"/>
      <c r="I31" s="170"/>
      <c r="J31" s="171"/>
      <c r="K31" s="114"/>
      <c r="L31" s="114"/>
      <c r="M31" s="115"/>
      <c r="N31" s="92"/>
      <c r="O31" s="70"/>
      <c r="P31" s="70"/>
      <c r="Q31" s="70"/>
      <c r="R31" s="70"/>
      <c r="S31" s="70"/>
      <c r="T31" s="70"/>
      <c r="U31" s="71"/>
      <c r="V31" s="71"/>
      <c r="W31" s="70"/>
      <c r="X31" s="70"/>
      <c r="Y31" s="70"/>
      <c r="Z31" s="75"/>
      <c r="AA31" s="76"/>
      <c r="AB31" s="71"/>
      <c r="AC31" s="71"/>
      <c r="AD31" s="71"/>
      <c r="AE31" s="71"/>
      <c r="AF31" s="71"/>
      <c r="AG31" s="71"/>
      <c r="AH31" s="71"/>
      <c r="AI31" s="71"/>
      <c r="AJ31" s="73"/>
      <c r="AK31" s="70"/>
      <c r="AL31" s="70"/>
      <c r="AM31" s="70"/>
      <c r="AN31" s="74"/>
      <c r="AO31" s="78" t="str">
        <f t="shared" si="1"/>
        <v/>
      </c>
      <c r="AR31" s="86"/>
      <c r="AT31" s="86"/>
      <c r="AV31" s="86"/>
      <c r="AX31" s="78"/>
    </row>
    <row r="32" spans="1:50" s="53" customFormat="1" ht="29.25" customHeight="1">
      <c r="A32" s="69"/>
      <c r="B32" s="194"/>
      <c r="C32" s="195"/>
      <c r="D32" s="195"/>
      <c r="E32" s="69"/>
      <c r="F32" s="69"/>
      <c r="G32" s="185"/>
      <c r="H32" s="185"/>
      <c r="I32" s="170"/>
      <c r="J32" s="171"/>
      <c r="K32" s="114"/>
      <c r="L32" s="114"/>
      <c r="M32" s="115"/>
      <c r="N32" s="92"/>
      <c r="O32" s="70"/>
      <c r="P32" s="70"/>
      <c r="Q32" s="70"/>
      <c r="R32" s="70"/>
      <c r="S32" s="70"/>
      <c r="T32" s="70"/>
      <c r="U32" s="71"/>
      <c r="V32" s="71"/>
      <c r="W32" s="70"/>
      <c r="X32" s="70"/>
      <c r="Y32" s="70"/>
      <c r="Z32" s="75"/>
      <c r="AA32" s="76"/>
      <c r="AB32" s="71"/>
      <c r="AC32" s="71"/>
      <c r="AD32" s="71"/>
      <c r="AE32" s="71"/>
      <c r="AF32" s="71"/>
      <c r="AG32" s="71"/>
      <c r="AH32" s="71"/>
      <c r="AI32" s="71"/>
      <c r="AJ32" s="73"/>
      <c r="AK32" s="70"/>
      <c r="AL32" s="70"/>
      <c r="AM32" s="70"/>
      <c r="AN32" s="74"/>
      <c r="AO32" s="78" t="str">
        <f t="shared" si="1"/>
        <v/>
      </c>
      <c r="AR32" s="86"/>
      <c r="AT32" s="86"/>
      <c r="AV32" s="86"/>
      <c r="AX32" s="78"/>
    </row>
    <row r="33" spans="1:50" s="53" customFormat="1" ht="29.25" customHeight="1">
      <c r="A33" s="69"/>
      <c r="B33" s="194"/>
      <c r="C33" s="195"/>
      <c r="D33" s="195"/>
      <c r="E33" s="69"/>
      <c r="F33" s="69"/>
      <c r="G33" s="185"/>
      <c r="H33" s="185"/>
      <c r="I33" s="170"/>
      <c r="J33" s="171"/>
      <c r="K33" s="114"/>
      <c r="L33" s="114"/>
      <c r="M33" s="115"/>
      <c r="N33" s="92"/>
      <c r="O33" s="70"/>
      <c r="P33" s="70"/>
      <c r="Q33" s="70"/>
      <c r="R33" s="70"/>
      <c r="S33" s="70"/>
      <c r="T33" s="70"/>
      <c r="U33" s="71"/>
      <c r="V33" s="71"/>
      <c r="W33" s="70"/>
      <c r="X33" s="70"/>
      <c r="Y33" s="70"/>
      <c r="Z33" s="75"/>
      <c r="AA33" s="76"/>
      <c r="AB33" s="71"/>
      <c r="AC33" s="71"/>
      <c r="AD33" s="71"/>
      <c r="AE33" s="71"/>
      <c r="AF33" s="71"/>
      <c r="AG33" s="71"/>
      <c r="AH33" s="71"/>
      <c r="AI33" s="71"/>
      <c r="AJ33" s="73"/>
      <c r="AK33" s="70"/>
      <c r="AL33" s="70"/>
      <c r="AM33" s="70"/>
      <c r="AN33" s="74"/>
      <c r="AO33" s="78" t="str">
        <f t="shared" si="1"/>
        <v/>
      </c>
      <c r="AR33" s="86"/>
      <c r="AT33" s="86"/>
      <c r="AV33" s="86"/>
      <c r="AX33" s="78"/>
    </row>
    <row r="34" spans="1:50" s="53" customFormat="1" ht="29.25" customHeight="1">
      <c r="A34" s="69"/>
      <c r="B34" s="194"/>
      <c r="C34" s="195"/>
      <c r="D34" s="195"/>
      <c r="E34" s="69"/>
      <c r="F34" s="69"/>
      <c r="G34" s="185"/>
      <c r="H34" s="185"/>
      <c r="I34" s="170"/>
      <c r="J34" s="171"/>
      <c r="K34" s="114"/>
      <c r="L34" s="114"/>
      <c r="M34" s="115"/>
      <c r="N34" s="92"/>
      <c r="O34" s="70"/>
      <c r="P34" s="70"/>
      <c r="Q34" s="70"/>
      <c r="R34" s="70"/>
      <c r="S34" s="70"/>
      <c r="T34" s="70"/>
      <c r="U34" s="71"/>
      <c r="V34" s="71"/>
      <c r="W34" s="70"/>
      <c r="X34" s="70"/>
      <c r="Y34" s="70"/>
      <c r="Z34" s="75"/>
      <c r="AA34" s="76"/>
      <c r="AB34" s="71"/>
      <c r="AC34" s="71"/>
      <c r="AD34" s="71"/>
      <c r="AE34" s="71"/>
      <c r="AF34" s="71"/>
      <c r="AG34" s="71"/>
      <c r="AH34" s="71"/>
      <c r="AI34" s="71"/>
      <c r="AJ34" s="73"/>
      <c r="AK34" s="70"/>
      <c r="AL34" s="70"/>
      <c r="AM34" s="70"/>
      <c r="AN34" s="74"/>
      <c r="AO34" s="78" t="str">
        <f t="shared" si="1"/>
        <v/>
      </c>
      <c r="AR34" s="86"/>
      <c r="AT34" s="86"/>
      <c r="AV34" s="86"/>
      <c r="AX34" s="78"/>
    </row>
    <row r="35" spans="1:50" s="53" customFormat="1" ht="29.25" customHeight="1">
      <c r="A35" s="69"/>
      <c r="B35" s="194"/>
      <c r="C35" s="195"/>
      <c r="D35" s="195"/>
      <c r="E35" s="69"/>
      <c r="F35" s="69"/>
      <c r="G35" s="185"/>
      <c r="H35" s="185"/>
      <c r="I35" s="170"/>
      <c r="J35" s="171"/>
      <c r="K35" s="114"/>
      <c r="L35" s="114"/>
      <c r="M35" s="115"/>
      <c r="N35" s="92"/>
      <c r="O35" s="70"/>
      <c r="P35" s="70"/>
      <c r="Q35" s="70"/>
      <c r="R35" s="70"/>
      <c r="S35" s="70"/>
      <c r="T35" s="70"/>
      <c r="U35" s="71"/>
      <c r="V35" s="71"/>
      <c r="W35" s="70"/>
      <c r="X35" s="70"/>
      <c r="Y35" s="70"/>
      <c r="Z35" s="75"/>
      <c r="AA35" s="76"/>
      <c r="AB35" s="71"/>
      <c r="AC35" s="71"/>
      <c r="AD35" s="71"/>
      <c r="AE35" s="71"/>
      <c r="AF35" s="71"/>
      <c r="AG35" s="71"/>
      <c r="AH35" s="71"/>
      <c r="AI35" s="71"/>
      <c r="AJ35" s="73"/>
      <c r="AK35" s="70"/>
      <c r="AL35" s="70"/>
      <c r="AM35" s="70"/>
      <c r="AN35" s="74"/>
      <c r="AO35" s="78" t="str">
        <f t="shared" si="1"/>
        <v/>
      </c>
      <c r="AR35" s="86"/>
      <c r="AT35" s="86"/>
      <c r="AV35" s="86"/>
      <c r="AX35" s="78"/>
    </row>
    <row r="36" spans="1:50" s="53" customFormat="1" ht="29.25" customHeight="1">
      <c r="A36" s="69"/>
      <c r="B36" s="194"/>
      <c r="C36" s="195"/>
      <c r="D36" s="195"/>
      <c r="E36" s="69"/>
      <c r="F36" s="69"/>
      <c r="G36" s="185"/>
      <c r="H36" s="185"/>
      <c r="I36" s="170"/>
      <c r="J36" s="171"/>
      <c r="K36" s="114"/>
      <c r="L36" s="114"/>
      <c r="M36" s="115"/>
      <c r="N36" s="92"/>
      <c r="O36" s="70"/>
      <c r="P36" s="70"/>
      <c r="Q36" s="70"/>
      <c r="R36" s="70"/>
      <c r="S36" s="70"/>
      <c r="T36" s="70"/>
      <c r="U36" s="71"/>
      <c r="V36" s="71"/>
      <c r="W36" s="70"/>
      <c r="X36" s="70"/>
      <c r="Y36" s="70"/>
      <c r="Z36" s="75"/>
      <c r="AA36" s="76"/>
      <c r="AB36" s="71"/>
      <c r="AC36" s="71"/>
      <c r="AD36" s="71"/>
      <c r="AE36" s="71"/>
      <c r="AF36" s="71"/>
      <c r="AG36" s="71"/>
      <c r="AH36" s="71"/>
      <c r="AI36" s="71"/>
      <c r="AJ36" s="73"/>
      <c r="AK36" s="70"/>
      <c r="AL36" s="70"/>
      <c r="AM36" s="70"/>
      <c r="AN36" s="74"/>
      <c r="AO36" s="78" t="str">
        <f t="shared" si="1"/>
        <v/>
      </c>
      <c r="AR36" s="86"/>
      <c r="AT36" s="86"/>
      <c r="AV36" s="86"/>
      <c r="AX36" s="78"/>
    </row>
    <row r="37" spans="1:50" s="53" customFormat="1" ht="29.25" customHeight="1">
      <c r="A37" s="69"/>
      <c r="B37" s="194"/>
      <c r="C37" s="195"/>
      <c r="D37" s="195"/>
      <c r="E37" s="69"/>
      <c r="F37" s="69"/>
      <c r="G37" s="185"/>
      <c r="H37" s="185"/>
      <c r="I37" s="170"/>
      <c r="J37" s="171"/>
      <c r="K37" s="114"/>
      <c r="L37" s="114"/>
      <c r="M37" s="115"/>
      <c r="N37" s="92"/>
      <c r="O37" s="70"/>
      <c r="P37" s="70"/>
      <c r="Q37" s="70"/>
      <c r="R37" s="70"/>
      <c r="S37" s="70"/>
      <c r="T37" s="70"/>
      <c r="U37" s="71"/>
      <c r="V37" s="71"/>
      <c r="W37" s="70"/>
      <c r="X37" s="70"/>
      <c r="Y37" s="70"/>
      <c r="Z37" s="75"/>
      <c r="AA37" s="76"/>
      <c r="AB37" s="71"/>
      <c r="AC37" s="71"/>
      <c r="AD37" s="71"/>
      <c r="AE37" s="71"/>
      <c r="AF37" s="71"/>
      <c r="AG37" s="71"/>
      <c r="AH37" s="71"/>
      <c r="AI37" s="71"/>
      <c r="AJ37" s="73"/>
      <c r="AK37" s="70"/>
      <c r="AL37" s="70"/>
      <c r="AM37" s="70"/>
      <c r="AN37" s="74"/>
      <c r="AO37" s="78" t="str">
        <f t="shared" si="1"/>
        <v/>
      </c>
      <c r="AR37" s="86"/>
      <c r="AT37" s="86"/>
      <c r="AV37" s="86"/>
      <c r="AX37" s="78"/>
    </row>
    <row r="38" spans="1:50" s="53" customFormat="1" ht="29.25" customHeight="1">
      <c r="A38" s="69"/>
      <c r="B38" s="194"/>
      <c r="C38" s="195"/>
      <c r="D38" s="195"/>
      <c r="E38" s="69"/>
      <c r="F38" s="69"/>
      <c r="G38" s="185"/>
      <c r="H38" s="185"/>
      <c r="I38" s="170"/>
      <c r="J38" s="171"/>
      <c r="K38" s="114"/>
      <c r="L38" s="114"/>
      <c r="M38" s="115"/>
      <c r="N38" s="92"/>
      <c r="O38" s="70"/>
      <c r="P38" s="70"/>
      <c r="Q38" s="70"/>
      <c r="R38" s="70"/>
      <c r="S38" s="70"/>
      <c r="T38" s="70"/>
      <c r="U38" s="71"/>
      <c r="V38" s="71"/>
      <c r="W38" s="70"/>
      <c r="X38" s="70"/>
      <c r="Y38" s="70"/>
      <c r="Z38" s="75"/>
      <c r="AA38" s="76"/>
      <c r="AB38" s="71"/>
      <c r="AC38" s="71"/>
      <c r="AD38" s="71"/>
      <c r="AE38" s="71"/>
      <c r="AF38" s="71"/>
      <c r="AG38" s="71"/>
      <c r="AH38" s="71"/>
      <c r="AI38" s="71"/>
      <c r="AJ38" s="73"/>
      <c r="AK38" s="70"/>
      <c r="AL38" s="70"/>
      <c r="AM38" s="70"/>
      <c r="AN38" s="74"/>
      <c r="AO38" s="78" t="str">
        <f t="shared" si="1"/>
        <v/>
      </c>
      <c r="AR38" s="86"/>
      <c r="AT38" s="86"/>
      <c r="AV38" s="86"/>
      <c r="AX38" s="78"/>
    </row>
    <row r="39" spans="1:50" s="53" customFormat="1" ht="29.25" customHeight="1">
      <c r="A39" s="69"/>
      <c r="B39" s="194"/>
      <c r="C39" s="195"/>
      <c r="D39" s="195"/>
      <c r="E39" s="69"/>
      <c r="F39" s="69"/>
      <c r="G39" s="185"/>
      <c r="H39" s="185"/>
      <c r="I39" s="170"/>
      <c r="J39" s="171"/>
      <c r="K39" s="114"/>
      <c r="L39" s="114"/>
      <c r="M39" s="115"/>
      <c r="N39" s="92"/>
      <c r="O39" s="70"/>
      <c r="P39" s="70"/>
      <c r="Q39" s="70"/>
      <c r="R39" s="70"/>
      <c r="S39" s="70"/>
      <c r="T39" s="70"/>
      <c r="U39" s="71"/>
      <c r="V39" s="71"/>
      <c r="W39" s="70"/>
      <c r="X39" s="70"/>
      <c r="Y39" s="70"/>
      <c r="Z39" s="75"/>
      <c r="AA39" s="76"/>
      <c r="AB39" s="71"/>
      <c r="AC39" s="71"/>
      <c r="AD39" s="71"/>
      <c r="AE39" s="71"/>
      <c r="AF39" s="71"/>
      <c r="AG39" s="71"/>
      <c r="AH39" s="71"/>
      <c r="AI39" s="71"/>
      <c r="AJ39" s="73"/>
      <c r="AK39" s="70"/>
      <c r="AL39" s="70"/>
      <c r="AM39" s="70"/>
      <c r="AN39" s="74"/>
      <c r="AO39" s="78" t="str">
        <f t="shared" si="1"/>
        <v/>
      </c>
      <c r="AR39" s="86"/>
      <c r="AT39" s="86"/>
      <c r="AV39" s="86"/>
      <c r="AX39" s="78"/>
    </row>
    <row r="40" spans="1:50" s="53" customFormat="1" ht="29.25" customHeight="1">
      <c r="A40" s="69"/>
      <c r="B40" s="194"/>
      <c r="C40" s="195"/>
      <c r="D40" s="195"/>
      <c r="E40" s="69"/>
      <c r="F40" s="69"/>
      <c r="G40" s="185"/>
      <c r="H40" s="185"/>
      <c r="I40" s="170"/>
      <c r="J40" s="171"/>
      <c r="K40" s="114"/>
      <c r="L40" s="114"/>
      <c r="M40" s="115"/>
      <c r="N40" s="92"/>
      <c r="O40" s="70"/>
      <c r="P40" s="70"/>
      <c r="Q40" s="70"/>
      <c r="R40" s="70"/>
      <c r="S40" s="70"/>
      <c r="T40" s="70"/>
      <c r="U40" s="71"/>
      <c r="V40" s="71"/>
      <c r="W40" s="70"/>
      <c r="X40" s="70"/>
      <c r="Y40" s="70"/>
      <c r="Z40" s="75"/>
      <c r="AA40" s="76"/>
      <c r="AB40" s="71"/>
      <c r="AC40" s="71"/>
      <c r="AD40" s="71"/>
      <c r="AE40" s="71"/>
      <c r="AF40" s="71"/>
      <c r="AG40" s="71"/>
      <c r="AH40" s="71"/>
      <c r="AI40" s="71"/>
      <c r="AJ40" s="73"/>
      <c r="AK40" s="70"/>
      <c r="AL40" s="70"/>
      <c r="AM40" s="70"/>
      <c r="AN40" s="74"/>
      <c r="AO40" s="78" t="str">
        <f t="shared" si="1"/>
        <v/>
      </c>
      <c r="AR40" s="86"/>
      <c r="AT40" s="86"/>
      <c r="AV40" s="86"/>
      <c r="AX40" s="78"/>
    </row>
    <row r="41" spans="1:50" s="53" customFormat="1" ht="29.25" customHeight="1">
      <c r="A41" s="69"/>
      <c r="B41" s="194"/>
      <c r="C41" s="195"/>
      <c r="D41" s="195"/>
      <c r="E41" s="69"/>
      <c r="F41" s="69"/>
      <c r="G41" s="185"/>
      <c r="H41" s="185"/>
      <c r="I41" s="170"/>
      <c r="J41" s="171"/>
      <c r="K41" s="114"/>
      <c r="L41" s="114"/>
      <c r="M41" s="115"/>
      <c r="N41" s="92"/>
      <c r="O41" s="70"/>
      <c r="P41" s="70"/>
      <c r="Q41" s="70"/>
      <c r="R41" s="70"/>
      <c r="S41" s="70"/>
      <c r="T41" s="70"/>
      <c r="U41" s="71"/>
      <c r="V41" s="71"/>
      <c r="W41" s="70"/>
      <c r="X41" s="70"/>
      <c r="Y41" s="70"/>
      <c r="Z41" s="75"/>
      <c r="AA41" s="76"/>
      <c r="AB41" s="71"/>
      <c r="AC41" s="71"/>
      <c r="AD41" s="71"/>
      <c r="AE41" s="71"/>
      <c r="AF41" s="71"/>
      <c r="AG41" s="71"/>
      <c r="AH41" s="71"/>
      <c r="AI41" s="71"/>
      <c r="AJ41" s="73"/>
      <c r="AK41" s="70"/>
      <c r="AL41" s="70"/>
      <c r="AM41" s="70"/>
      <c r="AN41" s="74"/>
      <c r="AO41" s="78" t="str">
        <f t="shared" si="1"/>
        <v/>
      </c>
      <c r="AR41" s="86"/>
      <c r="AT41" s="86"/>
      <c r="AV41" s="86"/>
      <c r="AX41" s="78"/>
    </row>
    <row r="42" spans="1:50" s="53" customFormat="1" ht="29.25" customHeight="1">
      <c r="A42" s="69"/>
      <c r="B42" s="194"/>
      <c r="C42" s="195"/>
      <c r="D42" s="195"/>
      <c r="E42" s="69"/>
      <c r="F42" s="69"/>
      <c r="G42" s="185"/>
      <c r="H42" s="185"/>
      <c r="I42" s="170"/>
      <c r="J42" s="171"/>
      <c r="K42" s="114"/>
      <c r="L42" s="114"/>
      <c r="M42" s="115"/>
      <c r="N42" s="92"/>
      <c r="O42" s="70"/>
      <c r="P42" s="70"/>
      <c r="Q42" s="70"/>
      <c r="R42" s="70"/>
      <c r="S42" s="70"/>
      <c r="T42" s="70"/>
      <c r="U42" s="71"/>
      <c r="V42" s="71"/>
      <c r="W42" s="70"/>
      <c r="X42" s="70"/>
      <c r="Y42" s="70"/>
      <c r="Z42" s="75"/>
      <c r="AA42" s="76"/>
      <c r="AB42" s="71"/>
      <c r="AC42" s="71"/>
      <c r="AD42" s="71"/>
      <c r="AE42" s="71"/>
      <c r="AF42" s="71"/>
      <c r="AG42" s="71"/>
      <c r="AH42" s="71"/>
      <c r="AI42" s="71"/>
      <c r="AJ42" s="73"/>
      <c r="AK42" s="70"/>
      <c r="AL42" s="70"/>
      <c r="AM42" s="70"/>
      <c r="AN42" s="74"/>
      <c r="AO42" s="78" t="str">
        <f t="shared" si="1"/>
        <v/>
      </c>
      <c r="AR42" s="86"/>
      <c r="AT42" s="86"/>
      <c r="AV42" s="86"/>
      <c r="AX42" s="78"/>
    </row>
    <row r="43" spans="1:50" s="53" customFormat="1" ht="29.25" customHeight="1">
      <c r="A43" s="69"/>
      <c r="B43" s="194"/>
      <c r="C43" s="195"/>
      <c r="D43" s="195"/>
      <c r="E43" s="69"/>
      <c r="F43" s="69"/>
      <c r="G43" s="185"/>
      <c r="H43" s="185"/>
      <c r="I43" s="170"/>
      <c r="J43" s="171"/>
      <c r="K43" s="114"/>
      <c r="L43" s="114"/>
      <c r="M43" s="115"/>
      <c r="N43" s="92"/>
      <c r="O43" s="70"/>
      <c r="P43" s="70"/>
      <c r="Q43" s="70"/>
      <c r="R43" s="70"/>
      <c r="S43" s="70"/>
      <c r="T43" s="70"/>
      <c r="U43" s="71"/>
      <c r="V43" s="71"/>
      <c r="W43" s="70"/>
      <c r="X43" s="70"/>
      <c r="Y43" s="70"/>
      <c r="Z43" s="75"/>
      <c r="AA43" s="76"/>
      <c r="AB43" s="71"/>
      <c r="AC43" s="71"/>
      <c r="AD43" s="71"/>
      <c r="AE43" s="71"/>
      <c r="AF43" s="71"/>
      <c r="AG43" s="71"/>
      <c r="AH43" s="71"/>
      <c r="AI43" s="71"/>
      <c r="AJ43" s="73"/>
      <c r="AK43" s="70"/>
      <c r="AL43" s="70"/>
      <c r="AM43" s="70"/>
      <c r="AN43" s="74"/>
      <c r="AO43" s="78" t="str">
        <f t="shared" si="1"/>
        <v/>
      </c>
      <c r="AR43" s="86"/>
      <c r="AT43" s="86"/>
      <c r="AV43" s="86"/>
      <c r="AX43" s="78"/>
    </row>
    <row r="44" spans="1:50" s="53" customFormat="1" ht="29.25" customHeight="1">
      <c r="A44" s="69"/>
      <c r="B44" s="194"/>
      <c r="C44" s="195"/>
      <c r="D44" s="195"/>
      <c r="E44" s="69"/>
      <c r="F44" s="69"/>
      <c r="G44" s="185"/>
      <c r="H44" s="185"/>
      <c r="I44" s="170"/>
      <c r="J44" s="171"/>
      <c r="K44" s="114"/>
      <c r="L44" s="114"/>
      <c r="M44" s="115"/>
      <c r="N44" s="92"/>
      <c r="O44" s="70"/>
      <c r="P44" s="70"/>
      <c r="Q44" s="70"/>
      <c r="R44" s="70"/>
      <c r="S44" s="70"/>
      <c r="T44" s="70"/>
      <c r="U44" s="71"/>
      <c r="V44" s="71"/>
      <c r="W44" s="70"/>
      <c r="X44" s="70"/>
      <c r="Y44" s="70"/>
      <c r="Z44" s="75"/>
      <c r="AA44" s="76"/>
      <c r="AB44" s="71"/>
      <c r="AC44" s="71"/>
      <c r="AD44" s="71"/>
      <c r="AE44" s="71"/>
      <c r="AF44" s="71"/>
      <c r="AG44" s="71"/>
      <c r="AH44" s="71"/>
      <c r="AI44" s="71"/>
      <c r="AJ44" s="73"/>
      <c r="AK44" s="70"/>
      <c r="AL44" s="70"/>
      <c r="AM44" s="70"/>
      <c r="AN44" s="74"/>
      <c r="AO44" s="78" t="str">
        <f t="shared" si="1"/>
        <v/>
      </c>
      <c r="AR44" s="86"/>
      <c r="AT44" s="86"/>
      <c r="AV44" s="86"/>
      <c r="AX44" s="78"/>
    </row>
    <row r="45" spans="1:50" s="53" customFormat="1" ht="29.25" customHeight="1">
      <c r="A45" s="69"/>
      <c r="B45" s="194"/>
      <c r="C45" s="195"/>
      <c r="D45" s="195"/>
      <c r="E45" s="69"/>
      <c r="F45" s="69"/>
      <c r="G45" s="185"/>
      <c r="H45" s="185"/>
      <c r="I45" s="170"/>
      <c r="J45" s="171"/>
      <c r="K45" s="114"/>
      <c r="L45" s="114"/>
      <c r="M45" s="115"/>
      <c r="N45" s="92"/>
      <c r="O45" s="70"/>
      <c r="P45" s="70"/>
      <c r="Q45" s="70"/>
      <c r="R45" s="70"/>
      <c r="S45" s="70"/>
      <c r="T45" s="70"/>
      <c r="U45" s="71"/>
      <c r="V45" s="71"/>
      <c r="W45" s="70"/>
      <c r="X45" s="70"/>
      <c r="Y45" s="70"/>
      <c r="Z45" s="75"/>
      <c r="AA45" s="76"/>
      <c r="AB45" s="71"/>
      <c r="AC45" s="71"/>
      <c r="AD45" s="71"/>
      <c r="AE45" s="71"/>
      <c r="AF45" s="71"/>
      <c r="AG45" s="71"/>
      <c r="AH45" s="71"/>
      <c r="AI45" s="71"/>
      <c r="AJ45" s="73"/>
      <c r="AK45" s="70"/>
      <c r="AL45" s="70"/>
      <c r="AM45" s="70"/>
      <c r="AN45" s="74"/>
      <c r="AO45" s="78" t="str">
        <f t="shared" si="1"/>
        <v/>
      </c>
      <c r="AR45" s="86"/>
      <c r="AT45" s="86"/>
      <c r="AV45" s="86"/>
      <c r="AX45" s="78"/>
    </row>
    <row r="46" spans="1:50" s="53" customFormat="1" ht="29.25" customHeight="1">
      <c r="A46" s="69"/>
      <c r="B46" s="194"/>
      <c r="C46" s="195"/>
      <c r="D46" s="195"/>
      <c r="E46" s="69"/>
      <c r="F46" s="69"/>
      <c r="G46" s="185"/>
      <c r="H46" s="185"/>
      <c r="I46" s="170"/>
      <c r="J46" s="171"/>
      <c r="K46" s="114"/>
      <c r="L46" s="114"/>
      <c r="M46" s="115"/>
      <c r="N46" s="92"/>
      <c r="O46" s="70"/>
      <c r="P46" s="70"/>
      <c r="Q46" s="70"/>
      <c r="R46" s="70"/>
      <c r="S46" s="70"/>
      <c r="T46" s="70"/>
      <c r="U46" s="71"/>
      <c r="V46" s="71"/>
      <c r="W46" s="70"/>
      <c r="X46" s="70"/>
      <c r="Y46" s="70"/>
      <c r="Z46" s="75"/>
      <c r="AA46" s="76"/>
      <c r="AB46" s="71"/>
      <c r="AC46" s="71"/>
      <c r="AD46" s="71"/>
      <c r="AE46" s="71"/>
      <c r="AF46" s="71"/>
      <c r="AG46" s="71"/>
      <c r="AH46" s="71"/>
      <c r="AI46" s="71"/>
      <c r="AJ46" s="73"/>
      <c r="AK46" s="70"/>
      <c r="AL46" s="70"/>
      <c r="AM46" s="70"/>
      <c r="AN46" s="74"/>
      <c r="AO46" s="78" t="str">
        <f t="shared" si="1"/>
        <v/>
      </c>
      <c r="AR46" s="86"/>
      <c r="AT46" s="86"/>
      <c r="AV46" s="86"/>
      <c r="AX46" s="78"/>
    </row>
    <row r="47" spans="1:50" s="53" customFormat="1" ht="29.25" customHeight="1">
      <c r="A47" s="69"/>
      <c r="B47" s="194"/>
      <c r="C47" s="195"/>
      <c r="D47" s="195"/>
      <c r="E47" s="69"/>
      <c r="F47" s="69"/>
      <c r="G47" s="185"/>
      <c r="H47" s="185"/>
      <c r="I47" s="170"/>
      <c r="J47" s="171"/>
      <c r="K47" s="114"/>
      <c r="L47" s="114"/>
      <c r="M47" s="115"/>
      <c r="N47" s="92"/>
      <c r="O47" s="70"/>
      <c r="P47" s="70"/>
      <c r="Q47" s="70"/>
      <c r="R47" s="70"/>
      <c r="S47" s="70"/>
      <c r="T47" s="70"/>
      <c r="U47" s="71"/>
      <c r="V47" s="71"/>
      <c r="W47" s="70"/>
      <c r="X47" s="70"/>
      <c r="Y47" s="70"/>
      <c r="Z47" s="75"/>
      <c r="AA47" s="76"/>
      <c r="AB47" s="71"/>
      <c r="AC47" s="71"/>
      <c r="AD47" s="71"/>
      <c r="AE47" s="71"/>
      <c r="AF47" s="71"/>
      <c r="AG47" s="71"/>
      <c r="AH47" s="71"/>
      <c r="AI47" s="71"/>
      <c r="AJ47" s="73"/>
      <c r="AK47" s="70"/>
      <c r="AL47" s="70"/>
      <c r="AM47" s="70"/>
      <c r="AN47" s="74"/>
      <c r="AO47" s="78" t="str">
        <f t="shared" si="1"/>
        <v/>
      </c>
      <c r="AR47" s="86"/>
      <c r="AT47" s="86"/>
      <c r="AV47" s="86"/>
      <c r="AX47" s="78"/>
    </row>
    <row r="48" spans="1:50" s="53" customFormat="1" ht="29.25" customHeight="1">
      <c r="A48" s="69"/>
      <c r="B48" s="194"/>
      <c r="C48" s="195"/>
      <c r="D48" s="195"/>
      <c r="E48" s="69"/>
      <c r="F48" s="69"/>
      <c r="G48" s="185"/>
      <c r="H48" s="185"/>
      <c r="I48" s="170"/>
      <c r="J48" s="171"/>
      <c r="K48" s="114"/>
      <c r="L48" s="114"/>
      <c r="M48" s="115"/>
      <c r="N48" s="92"/>
      <c r="O48" s="70"/>
      <c r="P48" s="70"/>
      <c r="Q48" s="70"/>
      <c r="R48" s="70"/>
      <c r="S48" s="70"/>
      <c r="T48" s="70"/>
      <c r="U48" s="71"/>
      <c r="V48" s="71"/>
      <c r="W48" s="70"/>
      <c r="X48" s="70"/>
      <c r="Y48" s="70"/>
      <c r="Z48" s="75"/>
      <c r="AA48" s="76"/>
      <c r="AB48" s="71"/>
      <c r="AC48" s="71"/>
      <c r="AD48" s="71"/>
      <c r="AE48" s="71"/>
      <c r="AF48" s="71"/>
      <c r="AG48" s="71"/>
      <c r="AH48" s="71"/>
      <c r="AI48" s="71"/>
      <c r="AJ48" s="73"/>
      <c r="AK48" s="70"/>
      <c r="AL48" s="70"/>
      <c r="AM48" s="70"/>
      <c r="AN48" s="74"/>
      <c r="AO48" s="78" t="str">
        <f t="shared" si="1"/>
        <v/>
      </c>
      <c r="AR48" s="86"/>
      <c r="AT48" s="86"/>
      <c r="AV48" s="86"/>
      <c r="AX48" s="78"/>
    </row>
    <row r="49" spans="1:50" s="53" customFormat="1" ht="29.25" customHeight="1">
      <c r="A49" s="69"/>
      <c r="B49" s="194"/>
      <c r="C49" s="195"/>
      <c r="D49" s="195"/>
      <c r="E49" s="69"/>
      <c r="F49" s="69"/>
      <c r="G49" s="185"/>
      <c r="H49" s="185"/>
      <c r="I49" s="170"/>
      <c r="J49" s="171"/>
      <c r="K49" s="114"/>
      <c r="L49" s="114"/>
      <c r="M49" s="115"/>
      <c r="N49" s="92"/>
      <c r="O49" s="70"/>
      <c r="P49" s="70"/>
      <c r="Q49" s="70"/>
      <c r="R49" s="70"/>
      <c r="S49" s="70"/>
      <c r="T49" s="70"/>
      <c r="U49" s="71"/>
      <c r="V49" s="71"/>
      <c r="W49" s="70"/>
      <c r="X49" s="70"/>
      <c r="Y49" s="70"/>
      <c r="Z49" s="75"/>
      <c r="AA49" s="76"/>
      <c r="AB49" s="71"/>
      <c r="AC49" s="71"/>
      <c r="AD49" s="71"/>
      <c r="AE49" s="71"/>
      <c r="AF49" s="71"/>
      <c r="AG49" s="71"/>
      <c r="AH49" s="71"/>
      <c r="AI49" s="71"/>
      <c r="AJ49" s="73"/>
      <c r="AK49" s="70"/>
      <c r="AL49" s="70"/>
      <c r="AM49" s="70"/>
      <c r="AN49" s="74"/>
      <c r="AO49" s="78" t="str">
        <f t="shared" si="1"/>
        <v/>
      </c>
      <c r="AR49" s="86"/>
      <c r="AT49" s="86"/>
      <c r="AV49" s="86"/>
      <c r="AX49" s="78"/>
    </row>
    <row r="50" spans="1:50" s="53" customFormat="1" ht="29.25" customHeight="1">
      <c r="A50" s="69"/>
      <c r="B50" s="194"/>
      <c r="C50" s="195"/>
      <c r="D50" s="195"/>
      <c r="E50" s="69"/>
      <c r="F50" s="69"/>
      <c r="G50" s="185"/>
      <c r="H50" s="185"/>
      <c r="I50" s="170"/>
      <c r="J50" s="171"/>
      <c r="K50" s="114"/>
      <c r="L50" s="114"/>
      <c r="M50" s="115"/>
      <c r="N50" s="92"/>
      <c r="O50" s="70"/>
      <c r="P50" s="70"/>
      <c r="Q50" s="70"/>
      <c r="R50" s="70"/>
      <c r="S50" s="70"/>
      <c r="T50" s="70"/>
      <c r="U50" s="71"/>
      <c r="V50" s="71"/>
      <c r="W50" s="70"/>
      <c r="X50" s="70"/>
      <c r="Y50" s="70"/>
      <c r="Z50" s="75"/>
      <c r="AA50" s="76"/>
      <c r="AB50" s="71"/>
      <c r="AC50" s="71"/>
      <c r="AD50" s="71"/>
      <c r="AE50" s="71"/>
      <c r="AF50" s="71"/>
      <c r="AG50" s="71"/>
      <c r="AH50" s="71"/>
      <c r="AI50" s="71"/>
      <c r="AJ50" s="73"/>
      <c r="AK50" s="70"/>
      <c r="AL50" s="70"/>
      <c r="AM50" s="70"/>
      <c r="AN50" s="74"/>
      <c r="AO50" s="78" t="str">
        <f t="shared" si="1"/>
        <v/>
      </c>
      <c r="AR50" s="86"/>
      <c r="AT50" s="86"/>
      <c r="AV50" s="86"/>
      <c r="AX50" s="78"/>
    </row>
    <row r="51" spans="1:50" s="53" customFormat="1" ht="29.25" customHeight="1">
      <c r="A51" s="69"/>
      <c r="B51" s="194"/>
      <c r="C51" s="195"/>
      <c r="D51" s="195"/>
      <c r="E51" s="69"/>
      <c r="F51" s="69"/>
      <c r="G51" s="185"/>
      <c r="H51" s="185"/>
      <c r="I51" s="170"/>
      <c r="J51" s="171"/>
      <c r="K51" s="114"/>
      <c r="L51" s="114"/>
      <c r="M51" s="115"/>
      <c r="N51" s="92"/>
      <c r="O51" s="70"/>
      <c r="P51" s="70"/>
      <c r="Q51" s="70"/>
      <c r="R51" s="70"/>
      <c r="S51" s="70"/>
      <c r="T51" s="70"/>
      <c r="U51" s="71"/>
      <c r="V51" s="71"/>
      <c r="W51" s="70"/>
      <c r="X51" s="70"/>
      <c r="Y51" s="70"/>
      <c r="Z51" s="75"/>
      <c r="AA51" s="76"/>
      <c r="AB51" s="71"/>
      <c r="AC51" s="71"/>
      <c r="AD51" s="71"/>
      <c r="AE51" s="71"/>
      <c r="AF51" s="71"/>
      <c r="AG51" s="71"/>
      <c r="AH51" s="71"/>
      <c r="AI51" s="71"/>
      <c r="AJ51" s="73"/>
      <c r="AK51" s="70"/>
      <c r="AL51" s="70"/>
      <c r="AM51" s="70"/>
      <c r="AN51" s="74"/>
      <c r="AO51" s="78" t="str">
        <f t="shared" ref="AO51:AO77" si="2">IF(AN48="","",VLOOKUP(AN48,SEGUIMIENTOS,2,FALSE))</f>
        <v/>
      </c>
      <c r="AR51" s="86"/>
      <c r="AT51" s="86"/>
      <c r="AV51" s="86"/>
      <c r="AX51" s="78"/>
    </row>
    <row r="52" spans="1:50" s="53" customFormat="1" ht="29.25" customHeight="1">
      <c r="A52" s="69"/>
      <c r="B52" s="194"/>
      <c r="C52" s="195"/>
      <c r="D52" s="195"/>
      <c r="E52" s="69"/>
      <c r="F52" s="69"/>
      <c r="G52" s="185"/>
      <c r="H52" s="185"/>
      <c r="I52" s="170"/>
      <c r="J52" s="171"/>
      <c r="K52" s="114"/>
      <c r="L52" s="114"/>
      <c r="M52" s="115"/>
      <c r="N52" s="92"/>
      <c r="O52" s="70"/>
      <c r="P52" s="70"/>
      <c r="Q52" s="70"/>
      <c r="R52" s="70"/>
      <c r="S52" s="70"/>
      <c r="T52" s="70"/>
      <c r="U52" s="71"/>
      <c r="V52" s="71"/>
      <c r="W52" s="70"/>
      <c r="X52" s="70"/>
      <c r="Y52" s="70"/>
      <c r="Z52" s="75"/>
      <c r="AA52" s="76"/>
      <c r="AB52" s="71"/>
      <c r="AC52" s="71"/>
      <c r="AD52" s="71"/>
      <c r="AE52" s="71"/>
      <c r="AF52" s="71"/>
      <c r="AG52" s="71"/>
      <c r="AH52" s="71"/>
      <c r="AI52" s="71"/>
      <c r="AJ52" s="73"/>
      <c r="AK52" s="70"/>
      <c r="AL52" s="70"/>
      <c r="AM52" s="70"/>
      <c r="AN52" s="74"/>
      <c r="AO52" s="78" t="str">
        <f t="shared" si="2"/>
        <v/>
      </c>
      <c r="AR52" s="86"/>
      <c r="AT52" s="86"/>
      <c r="AV52" s="86"/>
      <c r="AX52" s="78"/>
    </row>
    <row r="53" spans="1:50" s="53" customFormat="1" ht="29.25" customHeight="1">
      <c r="A53" s="69"/>
      <c r="B53" s="194"/>
      <c r="C53" s="195"/>
      <c r="D53" s="195"/>
      <c r="E53" s="69"/>
      <c r="F53" s="69"/>
      <c r="G53" s="185"/>
      <c r="H53" s="185"/>
      <c r="I53" s="170"/>
      <c r="J53" s="171"/>
      <c r="K53" s="114"/>
      <c r="L53" s="114"/>
      <c r="M53" s="115"/>
      <c r="N53" s="92"/>
      <c r="O53" s="70"/>
      <c r="P53" s="70"/>
      <c r="Q53" s="70"/>
      <c r="R53" s="70"/>
      <c r="S53" s="70"/>
      <c r="T53" s="70"/>
      <c r="U53" s="71"/>
      <c r="V53" s="71"/>
      <c r="W53" s="70"/>
      <c r="X53" s="70"/>
      <c r="Y53" s="70"/>
      <c r="Z53" s="75"/>
      <c r="AA53" s="76"/>
      <c r="AB53" s="71"/>
      <c r="AC53" s="71"/>
      <c r="AD53" s="71"/>
      <c r="AE53" s="71"/>
      <c r="AF53" s="71"/>
      <c r="AG53" s="71"/>
      <c r="AH53" s="71"/>
      <c r="AI53" s="71"/>
      <c r="AJ53" s="73"/>
      <c r="AK53" s="70"/>
      <c r="AL53" s="70"/>
      <c r="AM53" s="70"/>
      <c r="AN53" s="74"/>
      <c r="AO53" s="78" t="str">
        <f t="shared" si="2"/>
        <v/>
      </c>
      <c r="AR53" s="86"/>
      <c r="AT53" s="86"/>
      <c r="AV53" s="86"/>
      <c r="AX53" s="78"/>
    </row>
    <row r="54" spans="1:50" s="53" customFormat="1" ht="29.25" customHeight="1">
      <c r="A54" s="69"/>
      <c r="B54" s="194"/>
      <c r="C54" s="195"/>
      <c r="D54" s="195"/>
      <c r="E54" s="69"/>
      <c r="F54" s="69"/>
      <c r="G54" s="185"/>
      <c r="H54" s="185"/>
      <c r="I54" s="170"/>
      <c r="J54" s="171"/>
      <c r="K54" s="114"/>
      <c r="L54" s="114"/>
      <c r="M54" s="115"/>
      <c r="N54" s="92"/>
      <c r="O54" s="70"/>
      <c r="P54" s="70"/>
      <c r="Q54" s="70"/>
      <c r="R54" s="70"/>
      <c r="S54" s="70"/>
      <c r="T54" s="70"/>
      <c r="U54" s="71"/>
      <c r="V54" s="71"/>
      <c r="W54" s="70"/>
      <c r="X54" s="70"/>
      <c r="Y54" s="70"/>
      <c r="Z54" s="75"/>
      <c r="AA54" s="76"/>
      <c r="AB54" s="71"/>
      <c r="AC54" s="71"/>
      <c r="AD54" s="71"/>
      <c r="AE54" s="71"/>
      <c r="AF54" s="71"/>
      <c r="AG54" s="71"/>
      <c r="AH54" s="71"/>
      <c r="AI54" s="71"/>
      <c r="AJ54" s="73"/>
      <c r="AK54" s="70"/>
      <c r="AL54" s="70"/>
      <c r="AM54" s="70"/>
      <c r="AN54" s="74"/>
      <c r="AO54" s="78" t="str">
        <f t="shared" si="2"/>
        <v/>
      </c>
      <c r="AR54" s="86"/>
      <c r="AT54" s="86"/>
      <c r="AV54" s="86"/>
      <c r="AX54" s="78"/>
    </row>
    <row r="55" spans="1:50" s="53" customFormat="1" ht="29.25" customHeight="1">
      <c r="A55" s="69"/>
      <c r="B55" s="194"/>
      <c r="C55" s="195"/>
      <c r="D55" s="195"/>
      <c r="E55" s="69"/>
      <c r="F55" s="69"/>
      <c r="G55" s="185"/>
      <c r="H55" s="185"/>
      <c r="I55" s="170"/>
      <c r="J55" s="171"/>
      <c r="K55" s="114"/>
      <c r="L55" s="114"/>
      <c r="M55" s="115"/>
      <c r="N55" s="92"/>
      <c r="O55" s="70"/>
      <c r="P55" s="70"/>
      <c r="Q55" s="70"/>
      <c r="R55" s="70"/>
      <c r="S55" s="70"/>
      <c r="T55" s="70"/>
      <c r="U55" s="71"/>
      <c r="V55" s="71"/>
      <c r="W55" s="70"/>
      <c r="X55" s="70"/>
      <c r="Y55" s="70"/>
      <c r="Z55" s="75"/>
      <c r="AA55" s="76"/>
      <c r="AB55" s="71"/>
      <c r="AC55" s="71"/>
      <c r="AD55" s="71"/>
      <c r="AE55" s="71"/>
      <c r="AF55" s="71"/>
      <c r="AG55" s="71"/>
      <c r="AH55" s="71"/>
      <c r="AI55" s="71"/>
      <c r="AJ55" s="73"/>
      <c r="AK55" s="70"/>
      <c r="AL55" s="70"/>
      <c r="AM55" s="70"/>
      <c r="AN55" s="74"/>
      <c r="AO55" s="78" t="str">
        <f t="shared" si="2"/>
        <v/>
      </c>
      <c r="AR55" s="86"/>
      <c r="AT55" s="86"/>
      <c r="AV55" s="86"/>
      <c r="AX55" s="78"/>
    </row>
    <row r="56" spans="1:50" s="53" customFormat="1" ht="29.25" customHeight="1">
      <c r="A56" s="69"/>
      <c r="B56" s="194"/>
      <c r="C56" s="195"/>
      <c r="D56" s="195"/>
      <c r="E56" s="69"/>
      <c r="F56" s="69"/>
      <c r="G56" s="185"/>
      <c r="H56" s="185"/>
      <c r="I56" s="170"/>
      <c r="J56" s="171"/>
      <c r="K56" s="114"/>
      <c r="L56" s="114"/>
      <c r="M56" s="115"/>
      <c r="N56" s="92"/>
      <c r="O56" s="70"/>
      <c r="P56" s="70"/>
      <c r="Q56" s="70"/>
      <c r="R56" s="70"/>
      <c r="S56" s="70"/>
      <c r="T56" s="70"/>
      <c r="U56" s="71"/>
      <c r="V56" s="71"/>
      <c r="W56" s="70"/>
      <c r="X56" s="70"/>
      <c r="Y56" s="70"/>
      <c r="Z56" s="75"/>
      <c r="AA56" s="76"/>
      <c r="AB56" s="71"/>
      <c r="AC56" s="71"/>
      <c r="AD56" s="71"/>
      <c r="AE56" s="71"/>
      <c r="AF56" s="71"/>
      <c r="AG56" s="71"/>
      <c r="AH56" s="71"/>
      <c r="AI56" s="71"/>
      <c r="AJ56" s="73"/>
      <c r="AK56" s="70"/>
      <c r="AL56" s="70"/>
      <c r="AM56" s="70"/>
      <c r="AN56" s="74"/>
      <c r="AO56" s="78" t="str">
        <f t="shared" si="2"/>
        <v/>
      </c>
      <c r="AR56" s="86"/>
      <c r="AT56" s="86"/>
      <c r="AV56" s="86"/>
      <c r="AX56" s="78"/>
    </row>
    <row r="57" spans="1:50" s="53" customFormat="1" ht="29.25" customHeight="1">
      <c r="A57" s="69"/>
      <c r="B57" s="194"/>
      <c r="C57" s="195"/>
      <c r="D57" s="195"/>
      <c r="E57" s="69"/>
      <c r="F57" s="69"/>
      <c r="G57" s="185"/>
      <c r="H57" s="185"/>
      <c r="I57" s="170"/>
      <c r="J57" s="171"/>
      <c r="K57" s="114"/>
      <c r="L57" s="114"/>
      <c r="M57" s="115"/>
      <c r="N57" s="92"/>
      <c r="O57" s="70"/>
      <c r="P57" s="70"/>
      <c r="Q57" s="70"/>
      <c r="R57" s="70"/>
      <c r="S57" s="70"/>
      <c r="T57" s="70"/>
      <c r="U57" s="71"/>
      <c r="V57" s="71"/>
      <c r="W57" s="70"/>
      <c r="X57" s="70"/>
      <c r="Y57" s="70"/>
      <c r="Z57" s="75"/>
      <c r="AA57" s="76"/>
      <c r="AB57" s="71"/>
      <c r="AC57" s="71"/>
      <c r="AD57" s="71"/>
      <c r="AE57" s="71"/>
      <c r="AF57" s="71"/>
      <c r="AG57" s="71"/>
      <c r="AH57" s="71"/>
      <c r="AI57" s="71"/>
      <c r="AJ57" s="73"/>
      <c r="AK57" s="70"/>
      <c r="AL57" s="70"/>
      <c r="AM57" s="70"/>
      <c r="AN57" s="74"/>
      <c r="AO57" s="78" t="str">
        <f t="shared" si="2"/>
        <v/>
      </c>
      <c r="AR57" s="86"/>
      <c r="AT57" s="86"/>
      <c r="AV57" s="86"/>
      <c r="AX57" s="78"/>
    </row>
    <row r="58" spans="1:50" s="53" customFormat="1" ht="29.25" customHeight="1">
      <c r="A58" s="21"/>
      <c r="B58" s="94"/>
      <c r="C58" s="94"/>
      <c r="D58" s="94"/>
      <c r="E58" s="21"/>
      <c r="F58" s="21"/>
      <c r="G58" s="21"/>
      <c r="H58" s="21"/>
      <c r="I58" s="21"/>
      <c r="J58" s="21"/>
      <c r="K58" s="68"/>
      <c r="L58" s="68"/>
      <c r="M58" s="68"/>
      <c r="N58" s="21"/>
      <c r="O58" s="68"/>
      <c r="P58" s="68"/>
      <c r="Q58" s="68"/>
      <c r="R58" s="68"/>
      <c r="S58" s="68"/>
      <c r="T58" s="68"/>
      <c r="U58" s="21"/>
      <c r="V58" s="21"/>
      <c r="W58" s="68"/>
      <c r="X58" s="68"/>
      <c r="Y58" s="68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54"/>
      <c r="AO58" s="78" t="str">
        <f t="shared" si="2"/>
        <v/>
      </c>
      <c r="AR58" s="86"/>
      <c r="AT58" s="86"/>
      <c r="AV58" s="86"/>
      <c r="AX58" s="78"/>
    </row>
    <row r="59" spans="1:50" s="53" customFormat="1" ht="29.25" customHeight="1">
      <c r="A59" s="21"/>
      <c r="B59" s="94"/>
      <c r="C59" s="94"/>
      <c r="D59" s="94"/>
      <c r="E59" s="21"/>
      <c r="F59" s="21"/>
      <c r="G59" s="21"/>
      <c r="H59" s="21"/>
      <c r="I59" s="21"/>
      <c r="J59" s="21"/>
      <c r="K59" s="68"/>
      <c r="L59" s="68"/>
      <c r="M59" s="68"/>
      <c r="N59" s="21"/>
      <c r="O59" s="68"/>
      <c r="P59" s="68"/>
      <c r="Q59" s="68"/>
      <c r="R59" s="68"/>
      <c r="S59" s="68"/>
      <c r="T59" s="68"/>
      <c r="U59" s="21"/>
      <c r="V59" s="21"/>
      <c r="W59" s="68"/>
      <c r="X59" s="68"/>
      <c r="Y59" s="68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54"/>
      <c r="AO59" s="78" t="str">
        <f t="shared" si="2"/>
        <v/>
      </c>
      <c r="AR59" s="86"/>
      <c r="AT59" s="86"/>
      <c r="AV59" s="86"/>
      <c r="AX59" s="78"/>
    </row>
    <row r="60" spans="1:50" s="53" customFormat="1" ht="29.25" customHeight="1">
      <c r="A60" s="21"/>
      <c r="B60" s="94"/>
      <c r="C60" s="94"/>
      <c r="D60" s="94"/>
      <c r="E60" s="21"/>
      <c r="F60" s="21"/>
      <c r="G60" s="21"/>
      <c r="H60" s="21"/>
      <c r="I60" s="21"/>
      <c r="J60" s="21"/>
      <c r="K60" s="68"/>
      <c r="L60" s="68"/>
      <c r="M60" s="68"/>
      <c r="N60" s="21"/>
      <c r="O60" s="68"/>
      <c r="P60" s="68"/>
      <c r="Q60" s="68"/>
      <c r="R60" s="68"/>
      <c r="S60" s="68"/>
      <c r="T60" s="68"/>
      <c r="U60" s="21"/>
      <c r="V60" s="21"/>
      <c r="W60" s="68"/>
      <c r="X60" s="68"/>
      <c r="Y60" s="68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54"/>
      <c r="AO60" s="78" t="str">
        <f t="shared" si="2"/>
        <v/>
      </c>
      <c r="AR60" s="86"/>
      <c r="AT60" s="86"/>
      <c r="AV60" s="86"/>
      <c r="AX60" s="78"/>
    </row>
    <row r="61" spans="1:50">
      <c r="K61" s="68"/>
      <c r="L61" s="68"/>
      <c r="M61" s="68"/>
      <c r="O61" s="68"/>
      <c r="P61" s="68"/>
      <c r="Q61" s="68"/>
      <c r="R61" s="68"/>
      <c r="S61" s="68"/>
      <c r="T61" s="68"/>
      <c r="W61" s="68"/>
      <c r="X61" s="68"/>
      <c r="Y61" s="68"/>
      <c r="AN61" s="54"/>
      <c r="AO61" s="78" t="str">
        <f t="shared" si="2"/>
        <v/>
      </c>
      <c r="AR61" s="86"/>
      <c r="AT61" s="86"/>
      <c r="AV61" s="86"/>
      <c r="AX61" s="78"/>
    </row>
    <row r="62" spans="1:50">
      <c r="K62" s="68"/>
      <c r="L62" s="68"/>
      <c r="M62" s="68"/>
      <c r="O62" s="68"/>
      <c r="P62" s="68"/>
      <c r="Q62" s="68"/>
      <c r="R62" s="68"/>
      <c r="S62" s="68"/>
      <c r="T62" s="68"/>
      <c r="W62" s="68"/>
      <c r="X62" s="68"/>
      <c r="Y62" s="68"/>
      <c r="AN62" s="54"/>
      <c r="AO62" s="78" t="str">
        <f t="shared" si="2"/>
        <v/>
      </c>
      <c r="AR62" s="86"/>
      <c r="AT62" s="86"/>
      <c r="AV62" s="86"/>
      <c r="AX62" s="78"/>
    </row>
    <row r="63" spans="1:50">
      <c r="K63" s="68"/>
      <c r="L63" s="68"/>
      <c r="M63" s="68"/>
      <c r="O63" s="68"/>
      <c r="P63" s="68"/>
      <c r="Q63" s="68"/>
      <c r="R63" s="68"/>
      <c r="S63" s="68"/>
      <c r="T63" s="68"/>
      <c r="W63" s="68"/>
      <c r="X63" s="68"/>
      <c r="Y63" s="68"/>
      <c r="AN63" s="54"/>
      <c r="AO63" s="78" t="str">
        <f t="shared" si="2"/>
        <v/>
      </c>
      <c r="AR63" s="86"/>
      <c r="AT63" s="86"/>
      <c r="AV63" s="86"/>
      <c r="AX63" s="78"/>
    </row>
    <row r="64" spans="1:50">
      <c r="K64" s="68"/>
      <c r="L64" s="68"/>
      <c r="M64" s="68"/>
      <c r="O64" s="68"/>
      <c r="P64" s="68"/>
      <c r="Q64" s="68"/>
      <c r="R64" s="68"/>
      <c r="S64" s="68"/>
      <c r="T64" s="68"/>
      <c r="W64" s="68"/>
      <c r="X64" s="68"/>
      <c r="Y64" s="68"/>
      <c r="AN64" s="54"/>
      <c r="AO64" s="78" t="str">
        <f t="shared" si="2"/>
        <v/>
      </c>
      <c r="AR64" s="86"/>
      <c r="AT64" s="86"/>
      <c r="AV64" s="86"/>
      <c r="AX64" s="78"/>
    </row>
    <row r="65" spans="11:50">
      <c r="K65" s="68"/>
      <c r="L65" s="68"/>
      <c r="M65" s="68"/>
      <c r="O65" s="68"/>
      <c r="P65" s="68"/>
      <c r="Q65" s="68"/>
      <c r="R65" s="68"/>
      <c r="S65" s="68"/>
      <c r="T65" s="68"/>
      <c r="W65" s="68"/>
      <c r="X65" s="68"/>
      <c r="Y65" s="68"/>
      <c r="AN65" s="54"/>
      <c r="AO65" s="78" t="str">
        <f t="shared" si="2"/>
        <v/>
      </c>
      <c r="AR65" s="86"/>
      <c r="AT65" s="86"/>
      <c r="AV65" s="86"/>
      <c r="AX65" s="78"/>
    </row>
    <row r="66" spans="11:50">
      <c r="K66" s="68"/>
      <c r="L66" s="68"/>
      <c r="M66" s="68"/>
      <c r="O66" s="68"/>
      <c r="P66" s="68"/>
      <c r="Q66" s="68"/>
      <c r="R66" s="68"/>
      <c r="S66" s="68"/>
      <c r="T66" s="68"/>
      <c r="W66" s="68"/>
      <c r="X66" s="68"/>
      <c r="Y66" s="68"/>
      <c r="AN66" s="54"/>
      <c r="AO66" s="78" t="str">
        <f t="shared" si="2"/>
        <v/>
      </c>
      <c r="AR66" s="86"/>
      <c r="AT66" s="86"/>
      <c r="AV66" s="86"/>
      <c r="AX66" s="78"/>
    </row>
    <row r="67" spans="11:50">
      <c r="K67" s="68"/>
      <c r="L67" s="68"/>
      <c r="M67" s="68"/>
      <c r="O67" s="68"/>
      <c r="P67" s="68"/>
      <c r="Q67" s="68"/>
      <c r="R67" s="68"/>
      <c r="S67" s="68"/>
      <c r="T67" s="68"/>
      <c r="W67" s="68"/>
      <c r="X67" s="68"/>
      <c r="Y67" s="68"/>
      <c r="AN67" s="54"/>
      <c r="AO67" s="78" t="str">
        <f t="shared" si="2"/>
        <v/>
      </c>
      <c r="AR67" s="86"/>
      <c r="AT67" s="86"/>
      <c r="AV67" s="86"/>
      <c r="AX67" s="78"/>
    </row>
    <row r="68" spans="11:50">
      <c r="K68" s="68"/>
      <c r="L68" s="68"/>
      <c r="M68" s="68"/>
      <c r="O68" s="68"/>
      <c r="P68" s="68"/>
      <c r="Q68" s="68"/>
      <c r="R68" s="68"/>
      <c r="S68" s="68"/>
      <c r="T68" s="68"/>
      <c r="W68" s="68"/>
      <c r="X68" s="68"/>
      <c r="Y68" s="68"/>
      <c r="AN68" s="54"/>
      <c r="AO68" s="78" t="str">
        <f t="shared" si="2"/>
        <v/>
      </c>
      <c r="AR68" s="86"/>
      <c r="AT68" s="86"/>
      <c r="AV68" s="86"/>
      <c r="AX68" s="78"/>
    </row>
    <row r="69" spans="11:50">
      <c r="K69" s="68"/>
      <c r="L69" s="68"/>
      <c r="M69" s="68"/>
      <c r="O69" s="68"/>
      <c r="P69" s="68"/>
      <c r="Q69" s="68"/>
      <c r="R69" s="68"/>
      <c r="S69" s="68"/>
      <c r="T69" s="68"/>
      <c r="W69" s="68"/>
      <c r="X69" s="68"/>
      <c r="Y69" s="68"/>
      <c r="AN69" s="54"/>
      <c r="AO69" s="78" t="str">
        <f t="shared" si="2"/>
        <v/>
      </c>
      <c r="AR69" s="86"/>
      <c r="AT69" s="86"/>
      <c r="AV69" s="86"/>
      <c r="AX69" s="78"/>
    </row>
    <row r="70" spans="11:50">
      <c r="K70" s="68"/>
      <c r="L70" s="68"/>
      <c r="M70" s="68"/>
      <c r="O70" s="68"/>
      <c r="P70" s="68"/>
      <c r="Q70" s="68"/>
      <c r="R70" s="68"/>
      <c r="S70" s="68"/>
      <c r="T70" s="68"/>
      <c r="W70" s="68"/>
      <c r="X70" s="68"/>
      <c r="Y70" s="68"/>
      <c r="AN70" s="54"/>
      <c r="AO70" s="78" t="str">
        <f t="shared" si="2"/>
        <v/>
      </c>
      <c r="AR70" s="86"/>
      <c r="AT70" s="86"/>
      <c r="AV70" s="86"/>
      <c r="AX70" s="78"/>
    </row>
    <row r="71" spans="11:50">
      <c r="K71" s="68"/>
      <c r="L71" s="68"/>
      <c r="M71" s="68"/>
      <c r="O71" s="68"/>
      <c r="P71" s="68"/>
      <c r="Q71" s="68"/>
      <c r="R71" s="68"/>
      <c r="S71" s="68"/>
      <c r="T71" s="68"/>
      <c r="W71" s="68"/>
      <c r="X71" s="68"/>
      <c r="Y71" s="68"/>
      <c r="AN71" s="54"/>
      <c r="AO71" s="78" t="str">
        <f t="shared" si="2"/>
        <v/>
      </c>
      <c r="AR71" s="86"/>
      <c r="AT71" s="86"/>
      <c r="AV71" s="86"/>
      <c r="AX71" s="78"/>
    </row>
    <row r="72" spans="11:50">
      <c r="K72" s="68"/>
      <c r="L72" s="68"/>
      <c r="M72" s="68"/>
      <c r="O72" s="68"/>
      <c r="P72" s="68"/>
      <c r="Q72" s="68"/>
      <c r="R72" s="68"/>
      <c r="S72" s="68"/>
      <c r="T72" s="68"/>
      <c r="W72" s="68"/>
      <c r="X72" s="68"/>
      <c r="Y72" s="68"/>
      <c r="AN72" s="54"/>
      <c r="AO72" s="78" t="str">
        <f t="shared" si="2"/>
        <v/>
      </c>
      <c r="AR72" s="86"/>
      <c r="AT72" s="86"/>
      <c r="AV72" s="86"/>
      <c r="AX72" s="78"/>
    </row>
    <row r="73" spans="11:50">
      <c r="K73" s="68"/>
      <c r="L73" s="68"/>
      <c r="M73" s="68"/>
      <c r="O73" s="68"/>
      <c r="P73" s="68"/>
      <c r="Q73" s="68"/>
      <c r="R73" s="68"/>
      <c r="S73" s="68"/>
      <c r="T73" s="68"/>
      <c r="W73" s="68"/>
      <c r="X73" s="68"/>
      <c r="Y73" s="68"/>
      <c r="AN73" s="54"/>
      <c r="AO73" s="78" t="str">
        <f t="shared" si="2"/>
        <v/>
      </c>
      <c r="AR73" s="86"/>
      <c r="AT73" s="86"/>
      <c r="AV73" s="86"/>
      <c r="AX73" s="78"/>
    </row>
    <row r="74" spans="11:50">
      <c r="K74" s="68"/>
      <c r="L74" s="68"/>
      <c r="M74" s="68"/>
      <c r="O74" s="68"/>
      <c r="P74" s="68"/>
      <c r="Q74" s="68"/>
      <c r="R74" s="68"/>
      <c r="S74" s="68"/>
      <c r="T74" s="68"/>
      <c r="W74" s="68"/>
      <c r="X74" s="68"/>
      <c r="Y74" s="68"/>
      <c r="AN74" s="54"/>
      <c r="AO74" s="78" t="str">
        <f t="shared" si="2"/>
        <v/>
      </c>
      <c r="AR74" s="86"/>
      <c r="AT74" s="86"/>
      <c r="AV74" s="86"/>
      <c r="AX74" s="78"/>
    </row>
    <row r="75" spans="11:50">
      <c r="K75" s="68"/>
      <c r="L75" s="68"/>
      <c r="M75" s="68"/>
      <c r="O75" s="68"/>
      <c r="P75" s="68"/>
      <c r="Q75" s="68"/>
      <c r="R75" s="68"/>
      <c r="S75" s="68"/>
      <c r="T75" s="68"/>
      <c r="W75" s="68"/>
      <c r="X75" s="68"/>
      <c r="Y75" s="68"/>
      <c r="AN75" s="54"/>
      <c r="AO75" s="78" t="str">
        <f t="shared" si="2"/>
        <v/>
      </c>
      <c r="AR75" s="86"/>
      <c r="AT75" s="86"/>
      <c r="AV75" s="86"/>
      <c r="AX75" s="78"/>
    </row>
    <row r="76" spans="11:50">
      <c r="K76" s="68"/>
      <c r="L76" s="68"/>
      <c r="M76" s="68"/>
      <c r="O76" s="68"/>
      <c r="P76" s="68"/>
      <c r="Q76" s="68"/>
      <c r="R76" s="68"/>
      <c r="S76" s="68"/>
      <c r="T76" s="68"/>
      <c r="W76" s="68"/>
      <c r="X76" s="68"/>
      <c r="Y76" s="68"/>
      <c r="AN76" s="54"/>
      <c r="AO76" s="78" t="str">
        <f t="shared" si="2"/>
        <v/>
      </c>
      <c r="AR76" s="86"/>
      <c r="AT76" s="86"/>
      <c r="AV76" s="86"/>
      <c r="AX76" s="78"/>
    </row>
    <row r="77" spans="11:50">
      <c r="K77" s="68"/>
      <c r="L77" s="68"/>
      <c r="M77" s="68"/>
      <c r="O77" s="68"/>
      <c r="P77" s="68"/>
      <c r="Q77" s="68"/>
      <c r="R77" s="68"/>
      <c r="S77" s="68"/>
      <c r="T77" s="68"/>
      <c r="W77" s="68"/>
      <c r="X77" s="68"/>
      <c r="Y77" s="68"/>
      <c r="AN77" s="54"/>
      <c r="AO77" s="78" t="str">
        <f t="shared" si="2"/>
        <v/>
      </c>
      <c r="AR77" s="86"/>
      <c r="AT77" s="86"/>
      <c r="AV77" s="86"/>
      <c r="AX77" s="78"/>
    </row>
    <row r="78" spans="11:50">
      <c r="K78" s="68"/>
      <c r="L78" s="68"/>
      <c r="M78" s="68"/>
      <c r="O78" s="68"/>
      <c r="P78" s="68"/>
      <c r="Q78" s="68"/>
      <c r="R78" s="68"/>
      <c r="S78" s="68"/>
      <c r="T78" s="68"/>
      <c r="W78" s="68"/>
      <c r="X78" s="68"/>
      <c r="Y78" s="68"/>
      <c r="AN78" s="54"/>
      <c r="AO78" s="78" t="str">
        <f t="shared" ref="AO78:AO141" si="3">IF(AN75="","",VLOOKUP(AN75,SEGUIMIENTOS,2,FALSE))</f>
        <v/>
      </c>
      <c r="AR78" s="86"/>
      <c r="AT78" s="86"/>
      <c r="AV78" s="86"/>
      <c r="AX78" s="78"/>
    </row>
    <row r="79" spans="11:50">
      <c r="K79" s="68"/>
      <c r="L79" s="68"/>
      <c r="M79" s="68"/>
      <c r="O79" s="68"/>
      <c r="P79" s="68"/>
      <c r="Q79" s="68"/>
      <c r="R79" s="68"/>
      <c r="S79" s="68"/>
      <c r="T79" s="68"/>
      <c r="W79" s="68"/>
      <c r="X79" s="68"/>
      <c r="Y79" s="68"/>
      <c r="AN79" s="54"/>
      <c r="AO79" s="78" t="str">
        <f t="shared" si="3"/>
        <v/>
      </c>
      <c r="AR79" s="86"/>
      <c r="AT79" s="86"/>
      <c r="AV79" s="86"/>
      <c r="AX79" s="78"/>
    </row>
    <row r="80" spans="11:50">
      <c r="K80" s="68"/>
      <c r="L80" s="68"/>
      <c r="M80" s="68"/>
      <c r="O80" s="68"/>
      <c r="P80" s="68"/>
      <c r="Q80" s="68"/>
      <c r="R80" s="68"/>
      <c r="S80" s="68"/>
      <c r="T80" s="68"/>
      <c r="W80" s="68"/>
      <c r="X80" s="68"/>
      <c r="Y80" s="68"/>
      <c r="AN80" s="54"/>
      <c r="AO80" s="78" t="str">
        <f t="shared" si="3"/>
        <v/>
      </c>
      <c r="AR80" s="86"/>
      <c r="AT80" s="86"/>
      <c r="AV80" s="86"/>
      <c r="AX80" s="78"/>
    </row>
    <row r="81" spans="11:50">
      <c r="K81" s="68"/>
      <c r="L81" s="68"/>
      <c r="M81" s="68"/>
      <c r="O81" s="68"/>
      <c r="P81" s="68"/>
      <c r="Q81" s="68"/>
      <c r="R81" s="68"/>
      <c r="S81" s="68"/>
      <c r="T81" s="68"/>
      <c r="W81" s="68"/>
      <c r="X81" s="68"/>
      <c r="Y81" s="68"/>
      <c r="AN81" s="54"/>
      <c r="AO81" s="78" t="str">
        <f t="shared" si="3"/>
        <v/>
      </c>
      <c r="AR81" s="86"/>
      <c r="AT81" s="86"/>
      <c r="AV81" s="86"/>
      <c r="AX81" s="78"/>
    </row>
    <row r="82" spans="11:50">
      <c r="K82" s="68"/>
      <c r="L82" s="68"/>
      <c r="M82" s="68"/>
      <c r="O82" s="68"/>
      <c r="P82" s="68"/>
      <c r="Q82" s="68"/>
      <c r="R82" s="68"/>
      <c r="S82" s="68"/>
      <c r="T82" s="68"/>
      <c r="W82" s="68"/>
      <c r="X82" s="68"/>
      <c r="Y82" s="68"/>
      <c r="AN82" s="54"/>
      <c r="AO82" s="78" t="str">
        <f t="shared" si="3"/>
        <v/>
      </c>
      <c r="AR82" s="86"/>
      <c r="AT82" s="86"/>
      <c r="AV82" s="86"/>
      <c r="AX82" s="78"/>
    </row>
    <row r="83" spans="11:50">
      <c r="K83" s="68"/>
      <c r="L83" s="68"/>
      <c r="M83" s="68"/>
      <c r="O83" s="68"/>
      <c r="P83" s="68"/>
      <c r="Q83" s="68"/>
      <c r="R83" s="68"/>
      <c r="S83" s="68"/>
      <c r="T83" s="68"/>
      <c r="W83" s="68"/>
      <c r="X83" s="68"/>
      <c r="Y83" s="68"/>
      <c r="AN83" s="54"/>
      <c r="AO83" s="78" t="str">
        <f t="shared" si="3"/>
        <v/>
      </c>
      <c r="AR83" s="86"/>
      <c r="AT83" s="86"/>
      <c r="AV83" s="86"/>
      <c r="AX83" s="78"/>
    </row>
    <row r="84" spans="11:50">
      <c r="K84" s="68"/>
      <c r="L84" s="68"/>
      <c r="M84" s="68"/>
      <c r="O84" s="68"/>
      <c r="P84" s="68"/>
      <c r="Q84" s="68"/>
      <c r="R84" s="68"/>
      <c r="S84" s="68"/>
      <c r="T84" s="68"/>
      <c r="W84" s="68"/>
      <c r="X84" s="68"/>
      <c r="Y84" s="68"/>
      <c r="AN84" s="54"/>
      <c r="AO84" s="78" t="str">
        <f t="shared" si="3"/>
        <v/>
      </c>
      <c r="AR84" s="86"/>
      <c r="AT84" s="86"/>
      <c r="AV84" s="86"/>
      <c r="AX84" s="78"/>
    </row>
    <row r="85" spans="11:50">
      <c r="K85" s="68"/>
      <c r="L85" s="68"/>
      <c r="M85" s="68"/>
      <c r="O85" s="68"/>
      <c r="P85" s="68"/>
      <c r="Q85" s="68"/>
      <c r="R85" s="68"/>
      <c r="S85" s="68"/>
      <c r="T85" s="68"/>
      <c r="W85" s="68"/>
      <c r="X85" s="68"/>
      <c r="Y85" s="68"/>
      <c r="AN85" s="54"/>
      <c r="AO85" s="78" t="str">
        <f t="shared" si="3"/>
        <v/>
      </c>
      <c r="AR85" s="86"/>
      <c r="AT85" s="86"/>
      <c r="AV85" s="86"/>
      <c r="AX85" s="78"/>
    </row>
    <row r="86" spans="11:50">
      <c r="K86" s="68"/>
      <c r="L86" s="68"/>
      <c r="M86" s="68"/>
      <c r="O86" s="68"/>
      <c r="P86" s="68"/>
      <c r="Q86" s="68"/>
      <c r="R86" s="68"/>
      <c r="S86" s="68"/>
      <c r="T86" s="68"/>
      <c r="W86" s="68"/>
      <c r="X86" s="68"/>
      <c r="Y86" s="68"/>
      <c r="AN86" s="54"/>
      <c r="AO86" s="78" t="str">
        <f t="shared" si="3"/>
        <v/>
      </c>
      <c r="AR86" s="86"/>
      <c r="AT86" s="86"/>
      <c r="AV86" s="86"/>
      <c r="AX86" s="78"/>
    </row>
    <row r="87" spans="11:50">
      <c r="K87" s="68"/>
      <c r="L87" s="68"/>
      <c r="M87" s="68"/>
      <c r="O87" s="68"/>
      <c r="P87" s="68"/>
      <c r="Q87" s="68"/>
      <c r="R87" s="68"/>
      <c r="S87" s="68"/>
      <c r="T87" s="68"/>
      <c r="W87" s="68"/>
      <c r="X87" s="68"/>
      <c r="Y87" s="68"/>
      <c r="AN87" s="54"/>
      <c r="AO87" s="78" t="str">
        <f t="shared" si="3"/>
        <v/>
      </c>
      <c r="AR87" s="86"/>
      <c r="AT87" s="86"/>
      <c r="AV87" s="86"/>
      <c r="AX87" s="78"/>
    </row>
    <row r="88" spans="11:50">
      <c r="K88" s="68"/>
      <c r="L88" s="68"/>
      <c r="M88" s="68"/>
      <c r="O88" s="68"/>
      <c r="P88" s="68"/>
      <c r="Q88" s="68"/>
      <c r="R88" s="68"/>
      <c r="S88" s="68"/>
      <c r="T88" s="68"/>
      <c r="W88" s="68"/>
      <c r="X88" s="68"/>
      <c r="Y88" s="68"/>
      <c r="AN88" s="54"/>
      <c r="AO88" s="78" t="str">
        <f t="shared" si="3"/>
        <v/>
      </c>
      <c r="AR88" s="86"/>
      <c r="AT88" s="86"/>
      <c r="AV88" s="86"/>
      <c r="AX88" s="78"/>
    </row>
    <row r="89" spans="11:50">
      <c r="K89" s="68"/>
      <c r="L89" s="68"/>
      <c r="M89" s="68"/>
      <c r="O89" s="68"/>
      <c r="P89" s="68"/>
      <c r="Q89" s="68"/>
      <c r="R89" s="68"/>
      <c r="S89" s="68"/>
      <c r="T89" s="68"/>
      <c r="W89" s="68"/>
      <c r="X89" s="68"/>
      <c r="Y89" s="68"/>
      <c r="AN89" s="54"/>
      <c r="AO89" s="78" t="str">
        <f t="shared" si="3"/>
        <v/>
      </c>
      <c r="AR89" s="86"/>
      <c r="AT89" s="86"/>
      <c r="AV89" s="86"/>
      <c r="AX89" s="78"/>
    </row>
    <row r="90" spans="11:50">
      <c r="K90" s="68"/>
      <c r="L90" s="68"/>
      <c r="M90" s="68"/>
      <c r="O90" s="68"/>
      <c r="P90" s="68"/>
      <c r="Q90" s="68"/>
      <c r="R90" s="68"/>
      <c r="S90" s="68"/>
      <c r="T90" s="68"/>
      <c r="W90" s="68"/>
      <c r="X90" s="68"/>
      <c r="Y90" s="68"/>
      <c r="AN90" s="54"/>
      <c r="AO90" s="78" t="str">
        <f t="shared" si="3"/>
        <v/>
      </c>
      <c r="AR90" s="86"/>
      <c r="AT90" s="86"/>
      <c r="AV90" s="86"/>
      <c r="AX90" s="78"/>
    </row>
    <row r="91" spans="11:50">
      <c r="K91" s="68"/>
      <c r="L91" s="68"/>
      <c r="M91" s="68"/>
      <c r="O91" s="68"/>
      <c r="P91" s="68"/>
      <c r="Q91" s="68"/>
      <c r="R91" s="68"/>
      <c r="S91" s="68"/>
      <c r="T91" s="68"/>
      <c r="W91" s="68"/>
      <c r="X91" s="68"/>
      <c r="Y91" s="68"/>
      <c r="AN91" s="54"/>
      <c r="AO91" s="78" t="str">
        <f t="shared" si="3"/>
        <v/>
      </c>
      <c r="AR91" s="86"/>
      <c r="AT91" s="86"/>
      <c r="AV91" s="86"/>
      <c r="AX91" s="78"/>
    </row>
    <row r="92" spans="11:50">
      <c r="K92" s="68"/>
      <c r="L92" s="68"/>
      <c r="M92" s="68"/>
      <c r="O92" s="68"/>
      <c r="P92" s="68"/>
      <c r="Q92" s="68"/>
      <c r="R92" s="68"/>
      <c r="S92" s="68"/>
      <c r="T92" s="68"/>
      <c r="W92" s="68"/>
      <c r="X92" s="68"/>
      <c r="Y92" s="68"/>
      <c r="AN92" s="54"/>
      <c r="AO92" s="78" t="str">
        <f t="shared" si="3"/>
        <v/>
      </c>
      <c r="AR92" s="86"/>
      <c r="AT92" s="86"/>
      <c r="AV92" s="86"/>
      <c r="AX92" s="78"/>
    </row>
    <row r="93" spans="11:50">
      <c r="K93" s="68"/>
      <c r="L93" s="68"/>
      <c r="M93" s="68"/>
      <c r="O93" s="68"/>
      <c r="P93" s="68"/>
      <c r="Q93" s="68"/>
      <c r="R93" s="68"/>
      <c r="S93" s="68"/>
      <c r="T93" s="68"/>
      <c r="W93" s="68"/>
      <c r="X93" s="68"/>
      <c r="Y93" s="68"/>
      <c r="AN93" s="54"/>
      <c r="AO93" s="78" t="str">
        <f t="shared" si="3"/>
        <v/>
      </c>
      <c r="AR93" s="86"/>
      <c r="AT93" s="86"/>
      <c r="AV93" s="86"/>
      <c r="AX93" s="78"/>
    </row>
    <row r="94" spans="11:50">
      <c r="K94" s="68"/>
      <c r="L94" s="68"/>
      <c r="M94" s="68"/>
      <c r="O94" s="68"/>
      <c r="P94" s="68"/>
      <c r="Q94" s="68"/>
      <c r="R94" s="68"/>
      <c r="S94" s="68"/>
      <c r="T94" s="68"/>
      <c r="W94" s="68"/>
      <c r="X94" s="68"/>
      <c r="Y94" s="68"/>
      <c r="AN94" s="54"/>
      <c r="AO94" s="78" t="str">
        <f t="shared" si="3"/>
        <v/>
      </c>
      <c r="AR94" s="86"/>
      <c r="AT94" s="86"/>
      <c r="AV94" s="86"/>
      <c r="AX94" s="78"/>
    </row>
    <row r="95" spans="11:50">
      <c r="K95" s="68"/>
      <c r="L95" s="68"/>
      <c r="M95" s="68"/>
      <c r="O95" s="68"/>
      <c r="P95" s="68"/>
      <c r="Q95" s="68"/>
      <c r="R95" s="68"/>
      <c r="S95" s="68"/>
      <c r="T95" s="68"/>
      <c r="W95" s="68"/>
      <c r="X95" s="68"/>
      <c r="Y95" s="68"/>
      <c r="AN95" s="54"/>
      <c r="AO95" s="78" t="str">
        <f t="shared" si="3"/>
        <v/>
      </c>
      <c r="AR95" s="86"/>
      <c r="AT95" s="86"/>
      <c r="AV95" s="86"/>
      <c r="AX95" s="78"/>
    </row>
    <row r="96" spans="11:50">
      <c r="K96" s="68"/>
      <c r="L96" s="68"/>
      <c r="M96" s="68"/>
      <c r="O96" s="68"/>
      <c r="P96" s="68"/>
      <c r="Q96" s="68"/>
      <c r="R96" s="68"/>
      <c r="S96" s="68"/>
      <c r="T96" s="68"/>
      <c r="W96" s="68"/>
      <c r="X96" s="68"/>
      <c r="Y96" s="68"/>
      <c r="AN96" s="54"/>
      <c r="AO96" s="78" t="str">
        <f t="shared" si="3"/>
        <v/>
      </c>
      <c r="AR96" s="86"/>
      <c r="AT96" s="86"/>
      <c r="AV96" s="86"/>
      <c r="AX96" s="78"/>
    </row>
    <row r="97" spans="11:50">
      <c r="K97" s="68"/>
      <c r="L97" s="68"/>
      <c r="M97" s="68"/>
      <c r="O97" s="68"/>
      <c r="P97" s="68"/>
      <c r="Q97" s="68"/>
      <c r="R97" s="68"/>
      <c r="S97" s="68"/>
      <c r="T97" s="68"/>
      <c r="W97" s="68"/>
      <c r="X97" s="68"/>
      <c r="Y97" s="68"/>
      <c r="AN97" s="54"/>
      <c r="AO97" s="78" t="str">
        <f t="shared" si="3"/>
        <v/>
      </c>
      <c r="AR97" s="86"/>
      <c r="AT97" s="86"/>
      <c r="AV97" s="86"/>
      <c r="AX97" s="78"/>
    </row>
    <row r="98" spans="11:50">
      <c r="K98" s="68"/>
      <c r="L98" s="68"/>
      <c r="M98" s="68"/>
      <c r="O98" s="68"/>
      <c r="P98" s="68"/>
      <c r="Q98" s="68"/>
      <c r="R98" s="68"/>
      <c r="S98" s="68"/>
      <c r="T98" s="68"/>
      <c r="W98" s="68"/>
      <c r="X98" s="68"/>
      <c r="Y98" s="68"/>
      <c r="AN98" s="54"/>
      <c r="AO98" s="78" t="str">
        <f t="shared" si="3"/>
        <v/>
      </c>
      <c r="AR98" s="86"/>
      <c r="AT98" s="86"/>
      <c r="AV98" s="86"/>
      <c r="AX98" s="78"/>
    </row>
    <row r="99" spans="11:50">
      <c r="K99" s="68"/>
      <c r="L99" s="68"/>
      <c r="M99" s="68"/>
      <c r="O99" s="68"/>
      <c r="P99" s="68"/>
      <c r="Q99" s="68"/>
      <c r="R99" s="68"/>
      <c r="S99" s="68"/>
      <c r="T99" s="68"/>
      <c r="W99" s="68"/>
      <c r="X99" s="68"/>
      <c r="Y99" s="68"/>
      <c r="AN99" s="54"/>
      <c r="AO99" s="78" t="str">
        <f t="shared" si="3"/>
        <v/>
      </c>
      <c r="AR99" s="86"/>
      <c r="AT99" s="86"/>
      <c r="AV99" s="86"/>
      <c r="AX99" s="78"/>
    </row>
    <row r="100" spans="11:50">
      <c r="K100" s="68"/>
      <c r="L100" s="68"/>
      <c r="M100" s="68"/>
      <c r="O100" s="68"/>
      <c r="P100" s="68"/>
      <c r="Q100" s="68"/>
      <c r="R100" s="68"/>
      <c r="S100" s="68"/>
      <c r="T100" s="68"/>
      <c r="W100" s="68"/>
      <c r="X100" s="68"/>
      <c r="Y100" s="68"/>
      <c r="AN100" s="54"/>
      <c r="AO100" s="78" t="str">
        <f t="shared" si="3"/>
        <v/>
      </c>
      <c r="AR100" s="86"/>
      <c r="AT100" s="86"/>
      <c r="AV100" s="86"/>
      <c r="AX100" s="78"/>
    </row>
    <row r="101" spans="11:50">
      <c r="K101" s="68"/>
      <c r="L101" s="68"/>
      <c r="M101" s="68"/>
      <c r="O101" s="68"/>
      <c r="P101" s="68"/>
      <c r="Q101" s="68"/>
      <c r="R101" s="68"/>
      <c r="S101" s="68"/>
      <c r="T101" s="68"/>
      <c r="W101" s="68"/>
      <c r="X101" s="68"/>
      <c r="Y101" s="68"/>
      <c r="AN101" s="54"/>
      <c r="AO101" s="78" t="str">
        <f t="shared" si="3"/>
        <v/>
      </c>
      <c r="AR101" s="86"/>
      <c r="AT101" s="86"/>
      <c r="AV101" s="86"/>
      <c r="AX101" s="78"/>
    </row>
    <row r="102" spans="11:50">
      <c r="K102" s="68"/>
      <c r="L102" s="68"/>
      <c r="M102" s="68"/>
      <c r="O102" s="68"/>
      <c r="P102" s="68"/>
      <c r="Q102" s="68"/>
      <c r="R102" s="68"/>
      <c r="S102" s="68"/>
      <c r="T102" s="68"/>
      <c r="W102" s="68"/>
      <c r="X102" s="68"/>
      <c r="Y102" s="68"/>
      <c r="AN102" s="54"/>
      <c r="AO102" s="78" t="str">
        <f t="shared" si="3"/>
        <v/>
      </c>
      <c r="AR102" s="86"/>
      <c r="AT102" s="86"/>
      <c r="AV102" s="86"/>
      <c r="AX102" s="78"/>
    </row>
    <row r="103" spans="11:50">
      <c r="K103" s="68"/>
      <c r="L103" s="68"/>
      <c r="M103" s="68"/>
      <c r="O103" s="68"/>
      <c r="P103" s="68"/>
      <c r="Q103" s="68"/>
      <c r="R103" s="68"/>
      <c r="S103" s="68"/>
      <c r="T103" s="68"/>
      <c r="W103" s="68"/>
      <c r="X103" s="68"/>
      <c r="Y103" s="68"/>
      <c r="AN103" s="54"/>
      <c r="AO103" s="78" t="str">
        <f t="shared" si="3"/>
        <v/>
      </c>
      <c r="AR103" s="86"/>
      <c r="AT103" s="86"/>
      <c r="AV103" s="86"/>
      <c r="AX103" s="78"/>
    </row>
    <row r="104" spans="11:50">
      <c r="K104" s="68"/>
      <c r="L104" s="68"/>
      <c r="M104" s="68"/>
      <c r="O104" s="68"/>
      <c r="P104" s="68"/>
      <c r="Q104" s="68"/>
      <c r="R104" s="68"/>
      <c r="S104" s="68"/>
      <c r="T104" s="68"/>
      <c r="W104" s="68"/>
      <c r="X104" s="68"/>
      <c r="Y104" s="68"/>
      <c r="AN104" s="54"/>
      <c r="AO104" s="78" t="str">
        <f t="shared" si="3"/>
        <v/>
      </c>
      <c r="AR104" s="86"/>
      <c r="AT104" s="86"/>
      <c r="AV104" s="86"/>
      <c r="AX104" s="78"/>
    </row>
    <row r="105" spans="11:50">
      <c r="K105" s="68"/>
      <c r="L105" s="68"/>
      <c r="M105" s="68"/>
      <c r="O105" s="68"/>
      <c r="P105" s="68"/>
      <c r="Q105" s="68"/>
      <c r="R105" s="68"/>
      <c r="S105" s="68"/>
      <c r="T105" s="68"/>
      <c r="W105" s="68"/>
      <c r="X105" s="68"/>
      <c r="Y105" s="68"/>
      <c r="AN105" s="54"/>
      <c r="AO105" s="78" t="str">
        <f t="shared" si="3"/>
        <v/>
      </c>
      <c r="AR105" s="86"/>
      <c r="AT105" s="86"/>
      <c r="AV105" s="86"/>
      <c r="AX105" s="78"/>
    </row>
    <row r="106" spans="11:50">
      <c r="K106" s="68"/>
      <c r="L106" s="68"/>
      <c r="M106" s="68"/>
      <c r="O106" s="68"/>
      <c r="P106" s="68"/>
      <c r="Q106" s="68"/>
      <c r="R106" s="68"/>
      <c r="S106" s="68"/>
      <c r="T106" s="68"/>
      <c r="W106" s="68"/>
      <c r="X106" s="68"/>
      <c r="Y106" s="68"/>
      <c r="AN106" s="54"/>
      <c r="AO106" s="78" t="str">
        <f t="shared" si="3"/>
        <v/>
      </c>
      <c r="AR106" s="86"/>
      <c r="AT106" s="86"/>
      <c r="AV106" s="86"/>
      <c r="AX106" s="78"/>
    </row>
    <row r="107" spans="11:50">
      <c r="K107" s="68"/>
      <c r="L107" s="68"/>
      <c r="M107" s="68"/>
      <c r="O107" s="68"/>
      <c r="P107" s="68"/>
      <c r="Q107" s="68"/>
      <c r="R107" s="68"/>
      <c r="S107" s="68"/>
      <c r="T107" s="68"/>
      <c r="W107" s="68"/>
      <c r="X107" s="68"/>
      <c r="Y107" s="68"/>
      <c r="AN107" s="54"/>
      <c r="AO107" s="78" t="str">
        <f t="shared" si="3"/>
        <v/>
      </c>
      <c r="AR107" s="86"/>
      <c r="AT107" s="86"/>
      <c r="AV107" s="86"/>
      <c r="AX107" s="78"/>
    </row>
    <row r="108" spans="11:50">
      <c r="K108" s="68"/>
      <c r="L108" s="68"/>
      <c r="M108" s="68"/>
      <c r="O108" s="68"/>
      <c r="P108" s="68"/>
      <c r="Q108" s="68"/>
      <c r="R108" s="68"/>
      <c r="S108" s="68"/>
      <c r="T108" s="68"/>
      <c r="W108" s="68"/>
      <c r="X108" s="68"/>
      <c r="Y108" s="68"/>
      <c r="AN108" s="54"/>
      <c r="AO108" s="78" t="str">
        <f t="shared" si="3"/>
        <v/>
      </c>
      <c r="AR108" s="86"/>
      <c r="AT108" s="86"/>
      <c r="AV108" s="86"/>
      <c r="AX108" s="78"/>
    </row>
    <row r="109" spans="11:50">
      <c r="K109" s="68"/>
      <c r="L109" s="68"/>
      <c r="M109" s="68"/>
      <c r="O109" s="68"/>
      <c r="P109" s="68"/>
      <c r="Q109" s="68"/>
      <c r="R109" s="68"/>
      <c r="S109" s="68"/>
      <c r="T109" s="68"/>
      <c r="W109" s="68"/>
      <c r="X109" s="68"/>
      <c r="Y109" s="68"/>
      <c r="AN109" s="54"/>
      <c r="AO109" s="78" t="str">
        <f t="shared" si="3"/>
        <v/>
      </c>
      <c r="AR109" s="86"/>
      <c r="AT109" s="86"/>
      <c r="AV109" s="86"/>
      <c r="AX109" s="78"/>
    </row>
    <row r="110" spans="11:50">
      <c r="K110" s="68"/>
      <c r="L110" s="68"/>
      <c r="M110" s="68"/>
      <c r="O110" s="68"/>
      <c r="P110" s="68"/>
      <c r="Q110" s="68"/>
      <c r="R110" s="68"/>
      <c r="S110" s="68"/>
      <c r="T110" s="68"/>
      <c r="W110" s="68"/>
      <c r="X110" s="68"/>
      <c r="Y110" s="68"/>
      <c r="AN110" s="54"/>
      <c r="AO110" s="78" t="str">
        <f t="shared" si="3"/>
        <v/>
      </c>
      <c r="AR110" s="86"/>
      <c r="AT110" s="86"/>
      <c r="AV110" s="86"/>
      <c r="AX110" s="78"/>
    </row>
    <row r="111" spans="11:50">
      <c r="K111" s="68"/>
      <c r="L111" s="68"/>
      <c r="M111" s="68"/>
      <c r="O111" s="68"/>
      <c r="P111" s="68"/>
      <c r="Q111" s="68"/>
      <c r="R111" s="68"/>
      <c r="S111" s="68"/>
      <c r="T111" s="68"/>
      <c r="W111" s="68"/>
      <c r="X111" s="68"/>
      <c r="Y111" s="68"/>
      <c r="AN111" s="54"/>
      <c r="AO111" s="78" t="str">
        <f t="shared" si="3"/>
        <v/>
      </c>
      <c r="AR111" s="86"/>
      <c r="AT111" s="86"/>
      <c r="AV111" s="86"/>
      <c r="AX111" s="78"/>
    </row>
    <row r="112" spans="11:50">
      <c r="K112" s="68"/>
      <c r="L112" s="68"/>
      <c r="M112" s="68"/>
      <c r="O112" s="68"/>
      <c r="P112" s="68"/>
      <c r="Q112" s="68"/>
      <c r="R112" s="68"/>
      <c r="S112" s="68"/>
      <c r="T112" s="68"/>
      <c r="W112" s="68"/>
      <c r="X112" s="68"/>
      <c r="Y112" s="68"/>
      <c r="AN112" s="54"/>
      <c r="AO112" s="78" t="str">
        <f t="shared" si="3"/>
        <v/>
      </c>
      <c r="AR112" s="86"/>
      <c r="AT112" s="86"/>
      <c r="AV112" s="86"/>
      <c r="AX112" s="78"/>
    </row>
    <row r="113" spans="11:50">
      <c r="K113" s="68"/>
      <c r="L113" s="68"/>
      <c r="M113" s="68"/>
      <c r="O113" s="68"/>
      <c r="P113" s="68"/>
      <c r="Q113" s="68"/>
      <c r="R113" s="68"/>
      <c r="S113" s="68"/>
      <c r="T113" s="68"/>
      <c r="W113" s="68"/>
      <c r="X113" s="68"/>
      <c r="Y113" s="68"/>
      <c r="AN113" s="54"/>
      <c r="AO113" s="78" t="str">
        <f t="shared" si="3"/>
        <v/>
      </c>
      <c r="AR113" s="86"/>
      <c r="AT113" s="86"/>
      <c r="AV113" s="86"/>
      <c r="AX113" s="78"/>
    </row>
    <row r="114" spans="11:50">
      <c r="K114" s="68"/>
      <c r="L114" s="68"/>
      <c r="M114" s="68"/>
      <c r="O114" s="68"/>
      <c r="P114" s="68"/>
      <c r="Q114" s="68"/>
      <c r="R114" s="68"/>
      <c r="S114" s="68"/>
      <c r="T114" s="68"/>
      <c r="W114" s="68"/>
      <c r="X114" s="68"/>
      <c r="Y114" s="68"/>
      <c r="AN114" s="54"/>
      <c r="AO114" s="78" t="str">
        <f t="shared" si="3"/>
        <v/>
      </c>
      <c r="AR114" s="86"/>
      <c r="AT114" s="86"/>
      <c r="AV114" s="86"/>
      <c r="AX114" s="78"/>
    </row>
    <row r="115" spans="11:50">
      <c r="K115" s="68"/>
      <c r="L115" s="68"/>
      <c r="M115" s="68"/>
      <c r="O115" s="68"/>
      <c r="P115" s="68"/>
      <c r="Q115" s="68"/>
      <c r="R115" s="68"/>
      <c r="S115" s="68"/>
      <c r="T115" s="68"/>
      <c r="W115" s="68"/>
      <c r="X115" s="68"/>
      <c r="Y115" s="68"/>
      <c r="AN115" s="54"/>
      <c r="AO115" s="78" t="str">
        <f t="shared" si="3"/>
        <v/>
      </c>
      <c r="AR115" s="86"/>
      <c r="AT115" s="86"/>
      <c r="AV115" s="86"/>
      <c r="AX115" s="78"/>
    </row>
    <row r="116" spans="11:50">
      <c r="K116" s="68"/>
      <c r="L116" s="68"/>
      <c r="M116" s="68"/>
      <c r="O116" s="68"/>
      <c r="P116" s="68"/>
      <c r="Q116" s="68"/>
      <c r="R116" s="68"/>
      <c r="S116" s="68"/>
      <c r="T116" s="68"/>
      <c r="W116" s="68"/>
      <c r="X116" s="68"/>
      <c r="Y116" s="68"/>
      <c r="AN116" s="54"/>
      <c r="AO116" s="78" t="str">
        <f t="shared" si="3"/>
        <v/>
      </c>
      <c r="AR116" s="86"/>
      <c r="AT116" s="86"/>
      <c r="AV116" s="86"/>
      <c r="AX116" s="78"/>
    </row>
    <row r="117" spans="11:50">
      <c r="K117" s="68"/>
      <c r="L117" s="68"/>
      <c r="M117" s="68"/>
      <c r="O117" s="68"/>
      <c r="P117" s="68"/>
      <c r="Q117" s="68"/>
      <c r="R117" s="68"/>
      <c r="S117" s="68"/>
      <c r="T117" s="68"/>
      <c r="W117" s="68"/>
      <c r="X117" s="68"/>
      <c r="Y117" s="68"/>
      <c r="AN117" s="54"/>
      <c r="AO117" s="78" t="str">
        <f t="shared" si="3"/>
        <v/>
      </c>
      <c r="AR117" s="86"/>
      <c r="AT117" s="86"/>
      <c r="AV117" s="86"/>
      <c r="AX117" s="78"/>
    </row>
    <row r="118" spans="11:50">
      <c r="K118" s="68"/>
      <c r="L118" s="68"/>
      <c r="M118" s="68"/>
      <c r="O118" s="68"/>
      <c r="P118" s="68"/>
      <c r="Q118" s="68"/>
      <c r="R118" s="68"/>
      <c r="S118" s="68"/>
      <c r="T118" s="68"/>
      <c r="W118" s="68"/>
      <c r="X118" s="68"/>
      <c r="Y118" s="68"/>
      <c r="AN118" s="54"/>
      <c r="AO118" s="78" t="str">
        <f t="shared" si="3"/>
        <v/>
      </c>
      <c r="AR118" s="86"/>
      <c r="AT118" s="86"/>
      <c r="AV118" s="86"/>
      <c r="AX118" s="78"/>
    </row>
    <row r="119" spans="11:50">
      <c r="K119" s="68"/>
      <c r="L119" s="68"/>
      <c r="M119" s="68"/>
      <c r="O119" s="68"/>
      <c r="P119" s="68"/>
      <c r="Q119" s="68"/>
      <c r="R119" s="68"/>
      <c r="S119" s="68"/>
      <c r="T119" s="68"/>
      <c r="W119" s="68"/>
      <c r="X119" s="68"/>
      <c r="Y119" s="68"/>
      <c r="AN119" s="54"/>
      <c r="AO119" s="78" t="str">
        <f t="shared" si="3"/>
        <v/>
      </c>
      <c r="AR119" s="86"/>
      <c r="AT119" s="86"/>
      <c r="AV119" s="86"/>
      <c r="AX119" s="78"/>
    </row>
    <row r="120" spans="11:50">
      <c r="K120" s="68"/>
      <c r="L120" s="68"/>
      <c r="M120" s="68"/>
      <c r="O120" s="68"/>
      <c r="P120" s="68"/>
      <c r="Q120" s="68"/>
      <c r="R120" s="68"/>
      <c r="S120" s="68"/>
      <c r="T120" s="68"/>
      <c r="W120" s="68"/>
      <c r="X120" s="68"/>
      <c r="Y120" s="68"/>
      <c r="AN120" s="54"/>
      <c r="AO120" s="78" t="str">
        <f t="shared" si="3"/>
        <v/>
      </c>
      <c r="AR120" s="86"/>
      <c r="AT120" s="86"/>
      <c r="AV120" s="86"/>
      <c r="AX120" s="78"/>
    </row>
    <row r="121" spans="11:50">
      <c r="K121" s="68"/>
      <c r="L121" s="68"/>
      <c r="M121" s="68"/>
      <c r="O121" s="68"/>
      <c r="P121" s="68"/>
      <c r="Q121" s="68"/>
      <c r="R121" s="68"/>
      <c r="S121" s="68"/>
      <c r="T121" s="68"/>
      <c r="W121" s="68"/>
      <c r="X121" s="68"/>
      <c r="Y121" s="68"/>
      <c r="AN121" s="54"/>
      <c r="AO121" s="78" t="str">
        <f t="shared" si="3"/>
        <v/>
      </c>
      <c r="AR121" s="86"/>
      <c r="AT121" s="86"/>
      <c r="AV121" s="86"/>
      <c r="AX121" s="78"/>
    </row>
    <row r="122" spans="11:50">
      <c r="K122" s="68"/>
      <c r="L122" s="68"/>
      <c r="M122" s="68"/>
      <c r="O122" s="68"/>
      <c r="P122" s="68"/>
      <c r="Q122" s="68"/>
      <c r="R122" s="68"/>
      <c r="S122" s="68"/>
      <c r="T122" s="68"/>
      <c r="W122" s="68"/>
      <c r="X122" s="68"/>
      <c r="Y122" s="68"/>
      <c r="AN122" s="54"/>
      <c r="AO122" s="78" t="str">
        <f t="shared" si="3"/>
        <v/>
      </c>
      <c r="AR122" s="86"/>
      <c r="AT122" s="86"/>
      <c r="AV122" s="86"/>
      <c r="AX122" s="78"/>
    </row>
    <row r="123" spans="11:50">
      <c r="K123" s="68"/>
      <c r="L123" s="68"/>
      <c r="M123" s="68"/>
      <c r="O123" s="68"/>
      <c r="P123" s="68"/>
      <c r="Q123" s="68"/>
      <c r="R123" s="68"/>
      <c r="S123" s="68"/>
      <c r="T123" s="68"/>
      <c r="W123" s="68"/>
      <c r="X123" s="68"/>
      <c r="Y123" s="68"/>
      <c r="AN123" s="54"/>
      <c r="AO123" s="78" t="str">
        <f t="shared" si="3"/>
        <v/>
      </c>
      <c r="AR123" s="86"/>
      <c r="AT123" s="86"/>
      <c r="AV123" s="86"/>
      <c r="AX123" s="78"/>
    </row>
    <row r="124" spans="11:50">
      <c r="K124" s="68"/>
      <c r="L124" s="68"/>
      <c r="M124" s="68"/>
      <c r="O124" s="68"/>
      <c r="P124" s="68"/>
      <c r="Q124" s="68"/>
      <c r="R124" s="68"/>
      <c r="S124" s="68"/>
      <c r="T124" s="68"/>
      <c r="W124" s="68"/>
      <c r="X124" s="68"/>
      <c r="Y124" s="68"/>
      <c r="AN124" s="54"/>
      <c r="AO124" s="78" t="str">
        <f t="shared" si="3"/>
        <v/>
      </c>
      <c r="AR124" s="86"/>
      <c r="AT124" s="86"/>
      <c r="AV124" s="86"/>
      <c r="AX124" s="78"/>
    </row>
    <row r="125" spans="11:50">
      <c r="K125" s="68"/>
      <c r="L125" s="68"/>
      <c r="M125" s="68"/>
      <c r="O125" s="68"/>
      <c r="P125" s="68"/>
      <c r="Q125" s="68"/>
      <c r="R125" s="68"/>
      <c r="S125" s="68"/>
      <c r="T125" s="68"/>
      <c r="W125" s="68"/>
      <c r="X125" s="68"/>
      <c r="Y125" s="68"/>
      <c r="AN125" s="54"/>
      <c r="AO125" s="78" t="str">
        <f t="shared" si="3"/>
        <v/>
      </c>
      <c r="AR125" s="86"/>
      <c r="AT125" s="86"/>
      <c r="AV125" s="86"/>
      <c r="AX125" s="78"/>
    </row>
    <row r="126" spans="11:50">
      <c r="K126" s="68"/>
      <c r="L126" s="68"/>
      <c r="M126" s="68"/>
      <c r="O126" s="68"/>
      <c r="P126" s="68"/>
      <c r="Q126" s="68"/>
      <c r="R126" s="68"/>
      <c r="S126" s="68"/>
      <c r="T126" s="68"/>
      <c r="W126" s="68"/>
      <c r="X126" s="68"/>
      <c r="Y126" s="68"/>
      <c r="AN126" s="54"/>
      <c r="AO126" s="78" t="str">
        <f t="shared" si="3"/>
        <v/>
      </c>
      <c r="AR126" s="86"/>
      <c r="AT126" s="86"/>
      <c r="AV126" s="86"/>
      <c r="AX126" s="78"/>
    </row>
    <row r="127" spans="11:50">
      <c r="K127" s="68"/>
      <c r="L127" s="68"/>
      <c r="M127" s="68"/>
      <c r="O127" s="68"/>
      <c r="P127" s="68"/>
      <c r="Q127" s="68"/>
      <c r="R127" s="68"/>
      <c r="S127" s="68"/>
      <c r="T127" s="68"/>
      <c r="W127" s="68"/>
      <c r="X127" s="68"/>
      <c r="Y127" s="68"/>
      <c r="AN127" s="54"/>
      <c r="AO127" s="78" t="str">
        <f t="shared" si="3"/>
        <v/>
      </c>
      <c r="AR127" s="86"/>
      <c r="AT127" s="86"/>
      <c r="AV127" s="86"/>
      <c r="AX127" s="78"/>
    </row>
    <row r="128" spans="11:50">
      <c r="K128" s="68"/>
      <c r="L128" s="68"/>
      <c r="M128" s="68"/>
      <c r="O128" s="68"/>
      <c r="P128" s="68"/>
      <c r="Q128" s="68"/>
      <c r="R128" s="68"/>
      <c r="S128" s="68"/>
      <c r="T128" s="68"/>
      <c r="W128" s="68"/>
      <c r="X128" s="68"/>
      <c r="Y128" s="68"/>
      <c r="AN128" s="54"/>
      <c r="AO128" s="78" t="str">
        <f t="shared" si="3"/>
        <v/>
      </c>
      <c r="AR128" s="86"/>
      <c r="AT128" s="86"/>
      <c r="AV128" s="86"/>
      <c r="AX128" s="78"/>
    </row>
    <row r="129" spans="11:50">
      <c r="K129" s="68"/>
      <c r="L129" s="68"/>
      <c r="M129" s="68"/>
      <c r="O129" s="68"/>
      <c r="P129" s="68"/>
      <c r="Q129" s="68"/>
      <c r="R129" s="68"/>
      <c r="S129" s="68"/>
      <c r="T129" s="68"/>
      <c r="W129" s="68"/>
      <c r="X129" s="68"/>
      <c r="Y129" s="68"/>
      <c r="AN129" s="54"/>
      <c r="AO129" s="78" t="str">
        <f t="shared" si="3"/>
        <v/>
      </c>
      <c r="AR129" s="86"/>
      <c r="AT129" s="86"/>
      <c r="AV129" s="86"/>
      <c r="AX129" s="78"/>
    </row>
    <row r="130" spans="11:50">
      <c r="K130" s="68"/>
      <c r="L130" s="68"/>
      <c r="M130" s="68"/>
      <c r="O130" s="68"/>
      <c r="P130" s="68"/>
      <c r="Q130" s="68"/>
      <c r="R130" s="68"/>
      <c r="S130" s="68"/>
      <c r="T130" s="68"/>
      <c r="W130" s="68"/>
      <c r="X130" s="68"/>
      <c r="Y130" s="68"/>
      <c r="AN130" s="54"/>
      <c r="AO130" s="78" t="str">
        <f t="shared" si="3"/>
        <v/>
      </c>
      <c r="AR130" s="86"/>
      <c r="AT130" s="86"/>
      <c r="AV130" s="86"/>
      <c r="AX130" s="78"/>
    </row>
    <row r="131" spans="11:50">
      <c r="K131" s="68"/>
      <c r="L131" s="68"/>
      <c r="M131" s="68"/>
      <c r="O131" s="68"/>
      <c r="P131" s="68"/>
      <c r="Q131" s="68"/>
      <c r="R131" s="68"/>
      <c r="S131" s="68"/>
      <c r="T131" s="68"/>
      <c r="W131" s="68"/>
      <c r="X131" s="68"/>
      <c r="Y131" s="68"/>
      <c r="AN131" s="54"/>
      <c r="AO131" s="78" t="str">
        <f t="shared" si="3"/>
        <v/>
      </c>
      <c r="AR131" s="86"/>
      <c r="AT131" s="86"/>
      <c r="AV131" s="86"/>
      <c r="AX131" s="78"/>
    </row>
    <row r="132" spans="11:50">
      <c r="K132" s="68"/>
      <c r="L132" s="68"/>
      <c r="M132" s="68"/>
      <c r="O132" s="68"/>
      <c r="P132" s="68"/>
      <c r="Q132" s="68"/>
      <c r="R132" s="68"/>
      <c r="S132" s="68"/>
      <c r="T132" s="68"/>
      <c r="W132" s="68"/>
      <c r="X132" s="68"/>
      <c r="Y132" s="68"/>
      <c r="AN132" s="54"/>
      <c r="AO132" s="78" t="str">
        <f t="shared" si="3"/>
        <v/>
      </c>
      <c r="AR132" s="86"/>
      <c r="AT132" s="86"/>
      <c r="AV132" s="86"/>
      <c r="AX132" s="78"/>
    </row>
    <row r="133" spans="11:50">
      <c r="K133" s="68"/>
      <c r="L133" s="68"/>
      <c r="M133" s="68"/>
      <c r="O133" s="68"/>
      <c r="P133" s="68"/>
      <c r="Q133" s="68"/>
      <c r="R133" s="68"/>
      <c r="S133" s="68"/>
      <c r="T133" s="68"/>
      <c r="W133" s="68"/>
      <c r="X133" s="68"/>
      <c r="Y133" s="68"/>
      <c r="AN133" s="54"/>
      <c r="AO133" s="78" t="str">
        <f t="shared" si="3"/>
        <v/>
      </c>
      <c r="AR133" s="86"/>
      <c r="AT133" s="86"/>
      <c r="AV133" s="86"/>
      <c r="AX133" s="78"/>
    </row>
    <row r="134" spans="11:50">
      <c r="K134" s="68"/>
      <c r="L134" s="68"/>
      <c r="M134" s="68"/>
      <c r="O134" s="68"/>
      <c r="P134" s="68"/>
      <c r="Q134" s="68"/>
      <c r="R134" s="68"/>
      <c r="S134" s="68"/>
      <c r="T134" s="68"/>
      <c r="W134" s="68"/>
      <c r="X134" s="68"/>
      <c r="Y134" s="68"/>
      <c r="AN134" s="54"/>
      <c r="AO134" s="78" t="str">
        <f t="shared" si="3"/>
        <v/>
      </c>
      <c r="AR134" s="86"/>
      <c r="AT134" s="86"/>
      <c r="AV134" s="86"/>
      <c r="AX134" s="78"/>
    </row>
    <row r="135" spans="11:50">
      <c r="K135" s="68"/>
      <c r="L135" s="68"/>
      <c r="M135" s="68"/>
      <c r="O135" s="68"/>
      <c r="P135" s="68"/>
      <c r="Q135" s="68"/>
      <c r="R135" s="68"/>
      <c r="S135" s="68"/>
      <c r="T135" s="68"/>
      <c r="W135" s="68"/>
      <c r="X135" s="68"/>
      <c r="Y135" s="68"/>
      <c r="AN135" s="54"/>
      <c r="AO135" s="78" t="str">
        <f t="shared" si="3"/>
        <v/>
      </c>
      <c r="AR135" s="86"/>
      <c r="AT135" s="86"/>
      <c r="AV135" s="86"/>
      <c r="AX135" s="78"/>
    </row>
    <row r="136" spans="11:50">
      <c r="K136" s="68"/>
      <c r="L136" s="68"/>
      <c r="M136" s="68"/>
      <c r="O136" s="68"/>
      <c r="P136" s="68"/>
      <c r="Q136" s="68"/>
      <c r="R136" s="68"/>
      <c r="S136" s="68"/>
      <c r="T136" s="68"/>
      <c r="W136" s="68"/>
      <c r="X136" s="68"/>
      <c r="Y136" s="68"/>
      <c r="AN136" s="54"/>
      <c r="AO136" s="78" t="str">
        <f t="shared" si="3"/>
        <v/>
      </c>
      <c r="AR136" s="86"/>
      <c r="AT136" s="86"/>
      <c r="AV136" s="86"/>
      <c r="AX136" s="78"/>
    </row>
    <row r="137" spans="11:50">
      <c r="K137" s="68"/>
      <c r="L137" s="68"/>
      <c r="M137" s="68"/>
      <c r="O137" s="68"/>
      <c r="P137" s="68"/>
      <c r="Q137" s="68"/>
      <c r="R137" s="68"/>
      <c r="S137" s="68"/>
      <c r="T137" s="68"/>
      <c r="W137" s="68"/>
      <c r="X137" s="68"/>
      <c r="Y137" s="68"/>
      <c r="AN137" s="54"/>
      <c r="AO137" s="78" t="str">
        <f t="shared" si="3"/>
        <v/>
      </c>
      <c r="AR137" s="86"/>
      <c r="AT137" s="86"/>
      <c r="AV137" s="86"/>
      <c r="AX137" s="78"/>
    </row>
    <row r="138" spans="11:50">
      <c r="K138" s="68"/>
      <c r="L138" s="68"/>
      <c r="M138" s="68"/>
      <c r="O138" s="68"/>
      <c r="P138" s="68"/>
      <c r="Q138" s="68"/>
      <c r="R138" s="68"/>
      <c r="S138" s="68"/>
      <c r="T138" s="68"/>
      <c r="W138" s="68"/>
      <c r="X138" s="68"/>
      <c r="Y138" s="68"/>
      <c r="AN138" s="54"/>
      <c r="AO138" s="78" t="str">
        <f t="shared" si="3"/>
        <v/>
      </c>
      <c r="AR138" s="86"/>
      <c r="AT138" s="86"/>
      <c r="AV138" s="86"/>
      <c r="AX138" s="78"/>
    </row>
    <row r="139" spans="11:50">
      <c r="K139" s="68"/>
      <c r="L139" s="68"/>
      <c r="M139" s="68"/>
      <c r="O139" s="68"/>
      <c r="P139" s="68"/>
      <c r="Q139" s="68"/>
      <c r="R139" s="68"/>
      <c r="S139" s="68"/>
      <c r="T139" s="68"/>
      <c r="W139" s="68"/>
      <c r="X139" s="68"/>
      <c r="Y139" s="68"/>
      <c r="AN139" s="54"/>
      <c r="AO139" s="78" t="str">
        <f t="shared" si="3"/>
        <v/>
      </c>
      <c r="AR139" s="86"/>
      <c r="AT139" s="86"/>
      <c r="AV139" s="86"/>
      <c r="AX139" s="78"/>
    </row>
    <row r="140" spans="11:50">
      <c r="K140" s="68"/>
      <c r="L140" s="68"/>
      <c r="M140" s="68"/>
      <c r="O140" s="68"/>
      <c r="P140" s="68"/>
      <c r="Q140" s="68"/>
      <c r="R140" s="68"/>
      <c r="S140" s="68"/>
      <c r="T140" s="68"/>
      <c r="W140" s="68"/>
      <c r="X140" s="68"/>
      <c r="Y140" s="68"/>
      <c r="AN140" s="54"/>
      <c r="AO140" s="78" t="str">
        <f t="shared" si="3"/>
        <v/>
      </c>
      <c r="AR140" s="86"/>
      <c r="AT140" s="86"/>
      <c r="AV140" s="86"/>
      <c r="AX140" s="78"/>
    </row>
    <row r="141" spans="11:50">
      <c r="K141" s="68"/>
      <c r="L141" s="68"/>
      <c r="M141" s="68"/>
      <c r="O141" s="68"/>
      <c r="P141" s="68"/>
      <c r="Q141" s="68"/>
      <c r="R141" s="68"/>
      <c r="S141" s="68"/>
      <c r="T141" s="68"/>
      <c r="W141" s="68"/>
      <c r="X141" s="68"/>
      <c r="Y141" s="68"/>
      <c r="AN141" s="54"/>
      <c r="AO141" s="78" t="str">
        <f t="shared" si="3"/>
        <v/>
      </c>
      <c r="AR141" s="86"/>
      <c r="AT141" s="86"/>
      <c r="AV141" s="86"/>
      <c r="AX141" s="78"/>
    </row>
    <row r="142" spans="11:50">
      <c r="K142" s="68"/>
      <c r="L142" s="68"/>
      <c r="M142" s="68"/>
      <c r="O142" s="68"/>
      <c r="P142" s="68"/>
      <c r="Q142" s="68"/>
      <c r="R142" s="68"/>
      <c r="S142" s="68"/>
      <c r="T142" s="68"/>
      <c r="W142" s="68"/>
      <c r="X142" s="68"/>
      <c r="Y142" s="68"/>
      <c r="AN142" s="54"/>
      <c r="AO142" s="78" t="str">
        <f t="shared" ref="AO142:AO205" si="4">IF(AN139="","",VLOOKUP(AN139,SEGUIMIENTOS,2,FALSE))</f>
        <v/>
      </c>
      <c r="AR142" s="86"/>
      <c r="AT142" s="86"/>
      <c r="AV142" s="86"/>
      <c r="AX142" s="78"/>
    </row>
    <row r="143" spans="11:50">
      <c r="K143" s="68"/>
      <c r="L143" s="68"/>
      <c r="M143" s="68"/>
      <c r="O143" s="68"/>
      <c r="P143" s="68"/>
      <c r="Q143" s="68"/>
      <c r="R143" s="68"/>
      <c r="S143" s="68"/>
      <c r="T143" s="68"/>
      <c r="W143" s="68"/>
      <c r="X143" s="68"/>
      <c r="Y143" s="68"/>
      <c r="AN143" s="54"/>
      <c r="AO143" s="78" t="str">
        <f t="shared" si="4"/>
        <v/>
      </c>
      <c r="AR143" s="86"/>
      <c r="AT143" s="86"/>
      <c r="AV143" s="86"/>
      <c r="AX143" s="78"/>
    </row>
    <row r="144" spans="11:50">
      <c r="K144" s="68"/>
      <c r="L144" s="68"/>
      <c r="M144" s="68"/>
      <c r="O144" s="68"/>
      <c r="P144" s="68"/>
      <c r="Q144" s="68"/>
      <c r="R144" s="68"/>
      <c r="S144" s="68"/>
      <c r="T144" s="68"/>
      <c r="W144" s="68"/>
      <c r="X144" s="68"/>
      <c r="Y144" s="68"/>
      <c r="AN144" s="54"/>
      <c r="AO144" s="78" t="str">
        <f t="shared" si="4"/>
        <v/>
      </c>
      <c r="AR144" s="86"/>
      <c r="AT144" s="86"/>
      <c r="AV144" s="86"/>
      <c r="AX144" s="78"/>
    </row>
    <row r="145" spans="11:50">
      <c r="K145" s="68"/>
      <c r="L145" s="68"/>
      <c r="M145" s="68"/>
      <c r="O145" s="68"/>
      <c r="P145" s="68"/>
      <c r="Q145" s="68"/>
      <c r="R145" s="68"/>
      <c r="S145" s="68"/>
      <c r="T145" s="68"/>
      <c r="W145" s="68"/>
      <c r="X145" s="68"/>
      <c r="Y145" s="68"/>
      <c r="AN145" s="54"/>
      <c r="AO145" s="78" t="str">
        <f t="shared" si="4"/>
        <v/>
      </c>
      <c r="AR145" s="86"/>
      <c r="AT145" s="86"/>
      <c r="AV145" s="86"/>
      <c r="AX145" s="78"/>
    </row>
    <row r="146" spans="11:50">
      <c r="K146" s="68"/>
      <c r="L146" s="68"/>
      <c r="M146" s="68"/>
      <c r="O146" s="68"/>
      <c r="P146" s="68"/>
      <c r="Q146" s="68"/>
      <c r="R146" s="68"/>
      <c r="S146" s="68"/>
      <c r="T146" s="68"/>
      <c r="W146" s="68"/>
      <c r="X146" s="68"/>
      <c r="Y146" s="68"/>
      <c r="AN146" s="54"/>
      <c r="AO146" s="78" t="str">
        <f t="shared" si="4"/>
        <v/>
      </c>
      <c r="AR146" s="86"/>
      <c r="AT146" s="86"/>
      <c r="AV146" s="86"/>
      <c r="AX146" s="78"/>
    </row>
    <row r="147" spans="11:50">
      <c r="K147" s="68"/>
      <c r="L147" s="68"/>
      <c r="M147" s="68"/>
      <c r="O147" s="68"/>
      <c r="P147" s="68"/>
      <c r="Q147" s="68"/>
      <c r="R147" s="68"/>
      <c r="S147" s="68"/>
      <c r="T147" s="68"/>
      <c r="W147" s="68"/>
      <c r="X147" s="68"/>
      <c r="Y147" s="68"/>
      <c r="AN147" s="54"/>
      <c r="AO147" s="78" t="str">
        <f t="shared" si="4"/>
        <v/>
      </c>
      <c r="AR147" s="86"/>
      <c r="AT147" s="86"/>
      <c r="AV147" s="86"/>
      <c r="AX147" s="78"/>
    </row>
    <row r="148" spans="11:50">
      <c r="AO148" s="78" t="str">
        <f t="shared" si="4"/>
        <v/>
      </c>
      <c r="AR148" s="86"/>
      <c r="AT148" s="86"/>
      <c r="AV148" s="86"/>
      <c r="AX148" s="78"/>
    </row>
    <row r="149" spans="11:50">
      <c r="AO149" s="78" t="str">
        <f t="shared" si="4"/>
        <v/>
      </c>
      <c r="AR149" s="86"/>
      <c r="AT149" s="86"/>
      <c r="AV149" s="86"/>
      <c r="AX149" s="78"/>
    </row>
    <row r="150" spans="11:50">
      <c r="AO150" s="78" t="str">
        <f t="shared" si="4"/>
        <v/>
      </c>
      <c r="AR150" s="86"/>
      <c r="AT150" s="86"/>
      <c r="AV150" s="86"/>
      <c r="AX150" s="78"/>
    </row>
    <row r="151" spans="11:50">
      <c r="AO151" s="78" t="str">
        <f t="shared" si="4"/>
        <v/>
      </c>
      <c r="AR151" s="86"/>
      <c r="AT151" s="86"/>
      <c r="AV151" s="86"/>
      <c r="AX151" s="78"/>
    </row>
    <row r="152" spans="11:50">
      <c r="AO152" s="78" t="str">
        <f t="shared" si="4"/>
        <v/>
      </c>
      <c r="AR152" s="86"/>
      <c r="AT152" s="86"/>
      <c r="AV152" s="86"/>
      <c r="AX152" s="78"/>
    </row>
    <row r="153" spans="11:50">
      <c r="AO153" s="78" t="str">
        <f t="shared" si="4"/>
        <v/>
      </c>
      <c r="AR153" s="86"/>
      <c r="AT153" s="86"/>
      <c r="AV153" s="86"/>
      <c r="AX153" s="78"/>
    </row>
    <row r="154" spans="11:50">
      <c r="AO154" s="78" t="str">
        <f t="shared" si="4"/>
        <v/>
      </c>
      <c r="AR154" s="86"/>
      <c r="AT154" s="86"/>
      <c r="AV154" s="86"/>
      <c r="AX154" s="78"/>
    </row>
    <row r="155" spans="11:50">
      <c r="AO155" s="78" t="str">
        <f t="shared" si="4"/>
        <v/>
      </c>
      <c r="AR155" s="86"/>
      <c r="AT155" s="86"/>
      <c r="AV155" s="86"/>
      <c r="AX155" s="78"/>
    </row>
    <row r="156" spans="11:50">
      <c r="AO156" s="78" t="str">
        <f t="shared" si="4"/>
        <v/>
      </c>
      <c r="AR156" s="86"/>
      <c r="AT156" s="86"/>
      <c r="AV156" s="86"/>
      <c r="AX156" s="78"/>
    </row>
    <row r="157" spans="11:50">
      <c r="AO157" s="78" t="str">
        <f t="shared" si="4"/>
        <v/>
      </c>
      <c r="AR157" s="86"/>
      <c r="AT157" s="86"/>
      <c r="AV157" s="86"/>
      <c r="AX157" s="78"/>
    </row>
    <row r="158" spans="11:50">
      <c r="AO158" s="78" t="str">
        <f t="shared" si="4"/>
        <v/>
      </c>
      <c r="AR158" s="86"/>
      <c r="AT158" s="86"/>
      <c r="AV158" s="86"/>
      <c r="AX158" s="78"/>
    </row>
    <row r="159" spans="11:50">
      <c r="AO159" s="78" t="str">
        <f t="shared" si="4"/>
        <v/>
      </c>
      <c r="AR159" s="86"/>
      <c r="AT159" s="86"/>
      <c r="AV159" s="86"/>
      <c r="AX159" s="78"/>
    </row>
    <row r="160" spans="11:50">
      <c r="AO160" s="78" t="str">
        <f t="shared" si="4"/>
        <v/>
      </c>
      <c r="AR160" s="86"/>
      <c r="AT160" s="86"/>
      <c r="AV160" s="86"/>
      <c r="AX160" s="78"/>
    </row>
    <row r="161" spans="41:50">
      <c r="AO161" s="78" t="str">
        <f t="shared" si="4"/>
        <v/>
      </c>
      <c r="AR161" s="86"/>
      <c r="AT161" s="86"/>
      <c r="AV161" s="86"/>
      <c r="AX161" s="78"/>
    </row>
    <row r="162" spans="41:50">
      <c r="AO162" s="78" t="str">
        <f t="shared" si="4"/>
        <v/>
      </c>
      <c r="AR162" s="86"/>
      <c r="AT162" s="86"/>
      <c r="AV162" s="86"/>
      <c r="AX162" s="78"/>
    </row>
    <row r="163" spans="41:50">
      <c r="AO163" s="78" t="str">
        <f t="shared" si="4"/>
        <v/>
      </c>
      <c r="AR163" s="86"/>
      <c r="AT163" s="86"/>
      <c r="AV163" s="86"/>
      <c r="AX163" s="78"/>
    </row>
    <row r="164" spans="41:50">
      <c r="AO164" s="78" t="str">
        <f t="shared" si="4"/>
        <v/>
      </c>
      <c r="AR164" s="86"/>
      <c r="AT164" s="86"/>
      <c r="AV164" s="86"/>
      <c r="AX164" s="78"/>
    </row>
    <row r="165" spans="41:50">
      <c r="AO165" s="78" t="str">
        <f t="shared" si="4"/>
        <v/>
      </c>
      <c r="AR165" s="86"/>
      <c r="AT165" s="86"/>
      <c r="AV165" s="86"/>
      <c r="AX165" s="78"/>
    </row>
    <row r="166" spans="41:50">
      <c r="AO166" s="78" t="str">
        <f t="shared" si="4"/>
        <v/>
      </c>
      <c r="AR166" s="86"/>
      <c r="AT166" s="86"/>
      <c r="AV166" s="86"/>
      <c r="AX166" s="78"/>
    </row>
    <row r="167" spans="41:50">
      <c r="AO167" s="78" t="str">
        <f t="shared" si="4"/>
        <v/>
      </c>
      <c r="AR167" s="86"/>
      <c r="AT167" s="86"/>
      <c r="AV167" s="86"/>
      <c r="AX167" s="78"/>
    </row>
    <row r="168" spans="41:50">
      <c r="AO168" s="78" t="str">
        <f t="shared" si="4"/>
        <v/>
      </c>
      <c r="AR168" s="86"/>
      <c r="AT168" s="86"/>
      <c r="AV168" s="86"/>
      <c r="AX168" s="78"/>
    </row>
    <row r="169" spans="41:50">
      <c r="AO169" s="78" t="str">
        <f t="shared" si="4"/>
        <v/>
      </c>
      <c r="AR169" s="86"/>
      <c r="AT169" s="86"/>
      <c r="AV169" s="86"/>
      <c r="AX169" s="78"/>
    </row>
    <row r="170" spans="41:50">
      <c r="AO170" s="78" t="str">
        <f t="shared" si="4"/>
        <v/>
      </c>
      <c r="AR170" s="86"/>
      <c r="AT170" s="86"/>
      <c r="AV170" s="86"/>
      <c r="AX170" s="78"/>
    </row>
    <row r="171" spans="41:50">
      <c r="AO171" s="78" t="str">
        <f t="shared" si="4"/>
        <v/>
      </c>
      <c r="AR171" s="86"/>
      <c r="AT171" s="86"/>
      <c r="AV171" s="86"/>
      <c r="AX171" s="78"/>
    </row>
    <row r="172" spans="41:50">
      <c r="AO172" s="78" t="str">
        <f t="shared" si="4"/>
        <v/>
      </c>
      <c r="AR172" s="86"/>
      <c r="AT172" s="86"/>
      <c r="AV172" s="86"/>
      <c r="AX172" s="78"/>
    </row>
    <row r="173" spans="41:50">
      <c r="AO173" s="78" t="str">
        <f t="shared" si="4"/>
        <v/>
      </c>
      <c r="AR173" s="86"/>
      <c r="AT173" s="86"/>
      <c r="AV173" s="86"/>
      <c r="AX173" s="78"/>
    </row>
    <row r="174" spans="41:50">
      <c r="AO174" s="78" t="str">
        <f t="shared" si="4"/>
        <v/>
      </c>
      <c r="AR174" s="86"/>
      <c r="AT174" s="86"/>
      <c r="AV174" s="86"/>
      <c r="AX174" s="78"/>
    </row>
    <row r="175" spans="41:50">
      <c r="AO175" s="78" t="str">
        <f t="shared" si="4"/>
        <v/>
      </c>
      <c r="AR175" s="86"/>
      <c r="AT175" s="86"/>
      <c r="AV175" s="86"/>
      <c r="AX175" s="78"/>
    </row>
    <row r="176" spans="41:50">
      <c r="AO176" s="78" t="str">
        <f t="shared" si="4"/>
        <v/>
      </c>
      <c r="AR176" s="86"/>
      <c r="AT176" s="86"/>
      <c r="AV176" s="86"/>
      <c r="AX176" s="78"/>
    </row>
    <row r="177" spans="41:50">
      <c r="AO177" s="78" t="str">
        <f t="shared" si="4"/>
        <v/>
      </c>
      <c r="AR177" s="86"/>
      <c r="AT177" s="86"/>
      <c r="AV177" s="86"/>
      <c r="AX177" s="78"/>
    </row>
    <row r="178" spans="41:50">
      <c r="AO178" s="78" t="str">
        <f t="shared" si="4"/>
        <v/>
      </c>
      <c r="AR178" s="86"/>
      <c r="AT178" s="86"/>
      <c r="AV178" s="86"/>
      <c r="AX178" s="78"/>
    </row>
    <row r="179" spans="41:50">
      <c r="AO179" s="78" t="str">
        <f t="shared" si="4"/>
        <v/>
      </c>
      <c r="AR179" s="86"/>
      <c r="AT179" s="86"/>
      <c r="AV179" s="86"/>
      <c r="AX179" s="78"/>
    </row>
    <row r="180" spans="41:50">
      <c r="AO180" s="78" t="str">
        <f t="shared" si="4"/>
        <v/>
      </c>
      <c r="AR180" s="86"/>
      <c r="AT180" s="86"/>
      <c r="AV180" s="86"/>
      <c r="AX180" s="78"/>
    </row>
    <row r="181" spans="41:50">
      <c r="AO181" s="78" t="str">
        <f t="shared" si="4"/>
        <v/>
      </c>
      <c r="AR181" s="86"/>
      <c r="AT181" s="86"/>
      <c r="AV181" s="86"/>
      <c r="AX181" s="78"/>
    </row>
    <row r="182" spans="41:50">
      <c r="AO182" s="78" t="str">
        <f t="shared" si="4"/>
        <v/>
      </c>
      <c r="AR182" s="86"/>
      <c r="AT182" s="86"/>
      <c r="AV182" s="86"/>
      <c r="AX182" s="78"/>
    </row>
    <row r="183" spans="41:50">
      <c r="AO183" s="78" t="str">
        <f t="shared" si="4"/>
        <v/>
      </c>
      <c r="AR183" s="86"/>
      <c r="AT183" s="86"/>
      <c r="AV183" s="86"/>
      <c r="AX183" s="78"/>
    </row>
    <row r="184" spans="41:50">
      <c r="AO184" s="78" t="str">
        <f t="shared" si="4"/>
        <v/>
      </c>
      <c r="AR184" s="86"/>
      <c r="AT184" s="86"/>
      <c r="AV184" s="86"/>
      <c r="AX184" s="78"/>
    </row>
    <row r="185" spans="41:50">
      <c r="AO185" s="78" t="str">
        <f t="shared" si="4"/>
        <v/>
      </c>
      <c r="AR185" s="86"/>
      <c r="AT185" s="86"/>
      <c r="AV185" s="86"/>
      <c r="AX185" s="78"/>
    </row>
    <row r="186" spans="41:50">
      <c r="AO186" s="78" t="str">
        <f t="shared" si="4"/>
        <v/>
      </c>
      <c r="AR186" s="86"/>
      <c r="AT186" s="86"/>
      <c r="AV186" s="86"/>
      <c r="AX186" s="78"/>
    </row>
    <row r="187" spans="41:50">
      <c r="AO187" s="78" t="str">
        <f t="shared" si="4"/>
        <v/>
      </c>
      <c r="AR187" s="86"/>
      <c r="AT187" s="86"/>
      <c r="AV187" s="86"/>
      <c r="AX187" s="78"/>
    </row>
    <row r="188" spans="41:50">
      <c r="AO188" s="78" t="str">
        <f t="shared" si="4"/>
        <v/>
      </c>
      <c r="AR188" s="86"/>
      <c r="AT188" s="86"/>
      <c r="AV188" s="86"/>
      <c r="AX188" s="78"/>
    </row>
    <row r="189" spans="41:50">
      <c r="AO189" s="78" t="str">
        <f t="shared" si="4"/>
        <v/>
      </c>
      <c r="AR189" s="86"/>
      <c r="AT189" s="86"/>
      <c r="AV189" s="86"/>
      <c r="AX189" s="78"/>
    </row>
    <row r="190" spans="41:50">
      <c r="AO190" s="78" t="str">
        <f t="shared" si="4"/>
        <v/>
      </c>
      <c r="AR190" s="86"/>
      <c r="AT190" s="86"/>
      <c r="AV190" s="86"/>
      <c r="AX190" s="78"/>
    </row>
    <row r="191" spans="41:50">
      <c r="AO191" s="78" t="str">
        <f t="shared" si="4"/>
        <v/>
      </c>
      <c r="AR191" s="86"/>
      <c r="AT191" s="86"/>
      <c r="AV191" s="86"/>
      <c r="AX191" s="78"/>
    </row>
    <row r="192" spans="41:50">
      <c r="AO192" s="78" t="str">
        <f t="shared" si="4"/>
        <v/>
      </c>
      <c r="AR192" s="86"/>
      <c r="AT192" s="86"/>
      <c r="AV192" s="86"/>
      <c r="AX192" s="78"/>
    </row>
    <row r="193" spans="41:50">
      <c r="AO193" s="78" t="str">
        <f t="shared" si="4"/>
        <v/>
      </c>
      <c r="AR193" s="86"/>
      <c r="AT193" s="86"/>
      <c r="AV193" s="86"/>
      <c r="AX193" s="78"/>
    </row>
    <row r="194" spans="41:50">
      <c r="AO194" s="78" t="str">
        <f t="shared" si="4"/>
        <v/>
      </c>
      <c r="AR194" s="86"/>
      <c r="AT194" s="86"/>
      <c r="AV194" s="86"/>
      <c r="AX194" s="78"/>
    </row>
    <row r="195" spans="41:50">
      <c r="AO195" s="78" t="str">
        <f t="shared" si="4"/>
        <v/>
      </c>
      <c r="AR195" s="86"/>
      <c r="AT195" s="86"/>
      <c r="AV195" s="86"/>
      <c r="AX195" s="78"/>
    </row>
    <row r="196" spans="41:50">
      <c r="AO196" s="78" t="str">
        <f t="shared" si="4"/>
        <v/>
      </c>
      <c r="AR196" s="86"/>
      <c r="AT196" s="86"/>
      <c r="AV196" s="86"/>
      <c r="AX196" s="78"/>
    </row>
    <row r="197" spans="41:50">
      <c r="AO197" s="78" t="str">
        <f t="shared" si="4"/>
        <v/>
      </c>
      <c r="AR197" s="86"/>
      <c r="AT197" s="86"/>
      <c r="AV197" s="86"/>
      <c r="AX197" s="78"/>
    </row>
    <row r="198" spans="41:50">
      <c r="AO198" s="78" t="str">
        <f t="shared" si="4"/>
        <v/>
      </c>
      <c r="AR198" s="86"/>
      <c r="AT198" s="86"/>
      <c r="AV198" s="86"/>
      <c r="AX198" s="78"/>
    </row>
    <row r="199" spans="41:50">
      <c r="AO199" s="78" t="str">
        <f t="shared" si="4"/>
        <v/>
      </c>
      <c r="AR199" s="86"/>
      <c r="AT199" s="86"/>
      <c r="AV199" s="86"/>
      <c r="AX199" s="78"/>
    </row>
    <row r="200" spans="41:50">
      <c r="AO200" s="78" t="str">
        <f t="shared" si="4"/>
        <v/>
      </c>
      <c r="AR200" s="86"/>
      <c r="AT200" s="86"/>
      <c r="AV200" s="86"/>
      <c r="AX200" s="78"/>
    </row>
    <row r="201" spans="41:50">
      <c r="AO201" s="78" t="str">
        <f t="shared" si="4"/>
        <v/>
      </c>
      <c r="AR201" s="86"/>
      <c r="AT201" s="86"/>
      <c r="AV201" s="86"/>
      <c r="AX201" s="78"/>
    </row>
    <row r="202" spans="41:50">
      <c r="AO202" s="78" t="str">
        <f t="shared" si="4"/>
        <v/>
      </c>
      <c r="AR202" s="86"/>
      <c r="AT202" s="86"/>
      <c r="AV202" s="86"/>
      <c r="AX202" s="78"/>
    </row>
    <row r="203" spans="41:50">
      <c r="AO203" s="78" t="str">
        <f t="shared" si="4"/>
        <v/>
      </c>
      <c r="AR203" s="86"/>
      <c r="AT203" s="86"/>
      <c r="AV203" s="86"/>
      <c r="AX203" s="78"/>
    </row>
    <row r="204" spans="41:50">
      <c r="AO204" s="78" t="str">
        <f t="shared" si="4"/>
        <v/>
      </c>
      <c r="AR204" s="86"/>
      <c r="AT204" s="86"/>
      <c r="AV204" s="86"/>
      <c r="AX204" s="78"/>
    </row>
    <row r="205" spans="41:50">
      <c r="AO205" s="78" t="str">
        <f t="shared" si="4"/>
        <v/>
      </c>
      <c r="AR205" s="86"/>
      <c r="AT205" s="86"/>
      <c r="AV205" s="86"/>
      <c r="AX205" s="78"/>
    </row>
    <row r="206" spans="41:50">
      <c r="AO206" s="78" t="str">
        <f t="shared" ref="AO206:AO269" si="5">IF(AN203="","",VLOOKUP(AN203,SEGUIMIENTOS,2,FALSE))</f>
        <v/>
      </c>
      <c r="AR206" s="86"/>
      <c r="AT206" s="86"/>
      <c r="AV206" s="86"/>
      <c r="AX206" s="78"/>
    </row>
    <row r="207" spans="41:50">
      <c r="AO207" s="78" t="str">
        <f t="shared" si="5"/>
        <v/>
      </c>
      <c r="AR207" s="86"/>
      <c r="AT207" s="86"/>
      <c r="AV207" s="86"/>
      <c r="AX207" s="78"/>
    </row>
    <row r="208" spans="41:50">
      <c r="AO208" s="78" t="str">
        <f t="shared" si="5"/>
        <v/>
      </c>
      <c r="AR208" s="86"/>
      <c r="AT208" s="86"/>
      <c r="AV208" s="86"/>
      <c r="AX208" s="78"/>
    </row>
    <row r="209" spans="41:50">
      <c r="AO209" s="78" t="str">
        <f t="shared" si="5"/>
        <v/>
      </c>
      <c r="AR209" s="86"/>
      <c r="AT209" s="86"/>
      <c r="AV209" s="86"/>
      <c r="AX209" s="78"/>
    </row>
    <row r="210" spans="41:50">
      <c r="AO210" s="78" t="str">
        <f t="shared" si="5"/>
        <v/>
      </c>
      <c r="AR210" s="86"/>
      <c r="AT210" s="86"/>
      <c r="AV210" s="86"/>
      <c r="AX210" s="78"/>
    </row>
    <row r="211" spans="41:50">
      <c r="AO211" s="78" t="str">
        <f t="shared" si="5"/>
        <v/>
      </c>
      <c r="AR211" s="86"/>
      <c r="AT211" s="86"/>
      <c r="AV211" s="86"/>
      <c r="AX211" s="78"/>
    </row>
    <row r="212" spans="41:50">
      <c r="AO212" s="78" t="str">
        <f t="shared" si="5"/>
        <v/>
      </c>
      <c r="AR212" s="86"/>
      <c r="AT212" s="86"/>
      <c r="AV212" s="86"/>
      <c r="AX212" s="78"/>
    </row>
    <row r="213" spans="41:50">
      <c r="AO213" s="78" t="str">
        <f t="shared" si="5"/>
        <v/>
      </c>
      <c r="AR213" s="86"/>
      <c r="AT213" s="86"/>
      <c r="AV213" s="86"/>
      <c r="AX213" s="78"/>
    </row>
    <row r="214" spans="41:50">
      <c r="AO214" s="78" t="str">
        <f t="shared" si="5"/>
        <v/>
      </c>
      <c r="AR214" s="86"/>
      <c r="AT214" s="86"/>
      <c r="AV214" s="86"/>
      <c r="AX214" s="78"/>
    </row>
    <row r="215" spans="41:50">
      <c r="AO215" s="78" t="str">
        <f t="shared" si="5"/>
        <v/>
      </c>
      <c r="AR215" s="86"/>
      <c r="AT215" s="86"/>
      <c r="AV215" s="86"/>
      <c r="AX215" s="78"/>
    </row>
    <row r="216" spans="41:50">
      <c r="AO216" s="78" t="str">
        <f t="shared" si="5"/>
        <v/>
      </c>
      <c r="AR216" s="86"/>
      <c r="AT216" s="86"/>
      <c r="AV216" s="86"/>
      <c r="AX216" s="78"/>
    </row>
    <row r="217" spans="41:50">
      <c r="AO217" s="78" t="str">
        <f t="shared" si="5"/>
        <v/>
      </c>
      <c r="AR217" s="86"/>
      <c r="AT217" s="86"/>
      <c r="AV217" s="86"/>
      <c r="AX217" s="78"/>
    </row>
    <row r="218" spans="41:50">
      <c r="AO218" s="78" t="str">
        <f t="shared" si="5"/>
        <v/>
      </c>
      <c r="AR218" s="86"/>
      <c r="AT218" s="86"/>
      <c r="AV218" s="86"/>
      <c r="AX218" s="78"/>
    </row>
    <row r="219" spans="41:50">
      <c r="AO219" s="78" t="str">
        <f t="shared" si="5"/>
        <v/>
      </c>
      <c r="AR219" s="86"/>
      <c r="AT219" s="86"/>
      <c r="AV219" s="86"/>
      <c r="AX219" s="78"/>
    </row>
    <row r="220" spans="41:50">
      <c r="AO220" s="78" t="str">
        <f t="shared" si="5"/>
        <v/>
      </c>
      <c r="AR220" s="86"/>
      <c r="AT220" s="86"/>
      <c r="AV220" s="86"/>
      <c r="AX220" s="78"/>
    </row>
    <row r="221" spans="41:50">
      <c r="AO221" s="26" t="str">
        <f t="shared" si="5"/>
        <v/>
      </c>
      <c r="AR221" s="86"/>
      <c r="AT221" s="86"/>
      <c r="AV221" s="86"/>
      <c r="AX221" s="78"/>
    </row>
    <row r="222" spans="41:50">
      <c r="AO222" s="26" t="str">
        <f t="shared" si="5"/>
        <v/>
      </c>
      <c r="AR222" s="86"/>
      <c r="AT222" s="86"/>
      <c r="AV222" s="86"/>
      <c r="AX222" s="78"/>
    </row>
    <row r="223" spans="41:50">
      <c r="AO223" s="26" t="str">
        <f t="shared" si="5"/>
        <v/>
      </c>
      <c r="AR223" s="86"/>
      <c r="AT223" s="86"/>
      <c r="AV223" s="86"/>
      <c r="AX223" s="78"/>
    </row>
    <row r="224" spans="41:50">
      <c r="AO224" s="26" t="str">
        <f t="shared" si="5"/>
        <v/>
      </c>
      <c r="AR224" s="86"/>
      <c r="AT224" s="86"/>
      <c r="AV224" s="86"/>
      <c r="AX224" s="78"/>
    </row>
    <row r="225" spans="41:50">
      <c r="AO225" s="26" t="str">
        <f t="shared" si="5"/>
        <v/>
      </c>
      <c r="AR225" s="86"/>
      <c r="AT225" s="86"/>
      <c r="AV225" s="86"/>
      <c r="AX225" s="78"/>
    </row>
    <row r="226" spans="41:50">
      <c r="AO226" s="26" t="str">
        <f t="shared" si="5"/>
        <v/>
      </c>
      <c r="AR226" s="86"/>
      <c r="AT226" s="86"/>
      <c r="AV226" s="86"/>
      <c r="AX226" s="78"/>
    </row>
    <row r="227" spans="41:50">
      <c r="AO227" s="26" t="str">
        <f t="shared" si="5"/>
        <v/>
      </c>
      <c r="AR227" s="86"/>
      <c r="AT227" s="86"/>
      <c r="AV227" s="86"/>
      <c r="AX227" s="78"/>
    </row>
    <row r="228" spans="41:50">
      <c r="AO228" s="26" t="str">
        <f t="shared" si="5"/>
        <v/>
      </c>
      <c r="AR228" s="86"/>
      <c r="AT228" s="86"/>
      <c r="AV228" s="86"/>
      <c r="AX228" s="78"/>
    </row>
    <row r="229" spans="41:50">
      <c r="AO229" s="26" t="str">
        <f t="shared" si="5"/>
        <v/>
      </c>
      <c r="AR229" s="86"/>
      <c r="AT229" s="86"/>
      <c r="AV229" s="86"/>
      <c r="AX229" s="78"/>
    </row>
    <row r="230" spans="41:50">
      <c r="AO230" s="26" t="str">
        <f t="shared" si="5"/>
        <v/>
      </c>
      <c r="AR230" s="86"/>
      <c r="AT230" s="86"/>
      <c r="AV230" s="86"/>
      <c r="AX230" s="78"/>
    </row>
    <row r="231" spans="41:50">
      <c r="AO231" s="26" t="str">
        <f t="shared" si="5"/>
        <v/>
      </c>
      <c r="AR231" s="86"/>
      <c r="AT231" s="86"/>
      <c r="AV231" s="86"/>
      <c r="AX231" s="78"/>
    </row>
    <row r="232" spans="41:50">
      <c r="AO232" s="26" t="str">
        <f t="shared" si="5"/>
        <v/>
      </c>
      <c r="AR232" s="86"/>
      <c r="AT232" s="86"/>
      <c r="AV232" s="86"/>
      <c r="AX232" s="78"/>
    </row>
    <row r="233" spans="41:50">
      <c r="AO233" s="26" t="str">
        <f t="shared" si="5"/>
        <v/>
      </c>
      <c r="AR233" s="86"/>
      <c r="AT233" s="86"/>
      <c r="AV233" s="86"/>
      <c r="AX233" s="78"/>
    </row>
    <row r="234" spans="41:50">
      <c r="AO234" s="26" t="str">
        <f t="shared" si="5"/>
        <v/>
      </c>
      <c r="AR234" s="86"/>
      <c r="AT234" s="86"/>
      <c r="AV234" s="86"/>
      <c r="AX234" s="78"/>
    </row>
    <row r="235" spans="41:50">
      <c r="AO235" s="26" t="str">
        <f t="shared" si="5"/>
        <v/>
      </c>
      <c r="AR235" s="86"/>
      <c r="AT235" s="86"/>
      <c r="AV235" s="86"/>
      <c r="AX235" s="78"/>
    </row>
    <row r="236" spans="41:50">
      <c r="AO236" s="26" t="str">
        <f t="shared" si="5"/>
        <v/>
      </c>
      <c r="AR236" s="86"/>
      <c r="AT236" s="86"/>
      <c r="AV236" s="86"/>
      <c r="AX236" s="78"/>
    </row>
    <row r="237" spans="41:50">
      <c r="AO237" s="26" t="str">
        <f t="shared" si="5"/>
        <v/>
      </c>
      <c r="AR237" s="86"/>
      <c r="AT237" s="86"/>
      <c r="AV237" s="86"/>
      <c r="AX237" s="78"/>
    </row>
    <row r="238" spans="41:50">
      <c r="AO238" s="26" t="str">
        <f t="shared" si="5"/>
        <v/>
      </c>
      <c r="AR238" s="86"/>
      <c r="AT238" s="86"/>
      <c r="AV238" s="86"/>
      <c r="AX238" s="78"/>
    </row>
    <row r="239" spans="41:50">
      <c r="AO239" s="26" t="str">
        <f t="shared" si="5"/>
        <v/>
      </c>
      <c r="AR239" s="86"/>
      <c r="AT239" s="86"/>
      <c r="AV239" s="86"/>
      <c r="AX239" s="78"/>
    </row>
    <row r="240" spans="41:50">
      <c r="AO240" s="26" t="str">
        <f t="shared" si="5"/>
        <v/>
      </c>
      <c r="AR240" s="86"/>
      <c r="AT240" s="86"/>
      <c r="AV240" s="86"/>
      <c r="AX240" s="78"/>
    </row>
    <row r="241" spans="41:50">
      <c r="AO241" s="26" t="str">
        <f t="shared" si="5"/>
        <v/>
      </c>
      <c r="AR241" s="86"/>
      <c r="AT241" s="86"/>
      <c r="AV241" s="86"/>
      <c r="AX241" s="78"/>
    </row>
    <row r="242" spans="41:50">
      <c r="AO242" s="26" t="str">
        <f t="shared" si="5"/>
        <v/>
      </c>
      <c r="AR242" s="86"/>
      <c r="AT242" s="86"/>
      <c r="AV242" s="86"/>
      <c r="AX242" s="78"/>
    </row>
    <row r="243" spans="41:50">
      <c r="AO243" s="26" t="str">
        <f t="shared" si="5"/>
        <v/>
      </c>
      <c r="AR243" s="86"/>
      <c r="AT243" s="86"/>
      <c r="AV243" s="86"/>
      <c r="AX243" s="78"/>
    </row>
    <row r="244" spans="41:50">
      <c r="AO244" s="26" t="str">
        <f t="shared" si="5"/>
        <v/>
      </c>
      <c r="AR244" s="86"/>
      <c r="AT244" s="86"/>
      <c r="AV244" s="86"/>
      <c r="AX244" s="78"/>
    </row>
    <row r="245" spans="41:50">
      <c r="AO245" s="26" t="str">
        <f t="shared" si="5"/>
        <v/>
      </c>
      <c r="AR245" s="86"/>
      <c r="AT245" s="86"/>
      <c r="AV245" s="86"/>
      <c r="AX245" s="78"/>
    </row>
    <row r="246" spans="41:50">
      <c r="AO246" s="26" t="str">
        <f t="shared" si="5"/>
        <v/>
      </c>
      <c r="AR246" s="86"/>
      <c r="AT246" s="86"/>
      <c r="AV246" s="86"/>
      <c r="AX246" s="78"/>
    </row>
    <row r="247" spans="41:50">
      <c r="AO247" s="26" t="str">
        <f t="shared" si="5"/>
        <v/>
      </c>
      <c r="AR247" s="86"/>
      <c r="AT247" s="86"/>
      <c r="AV247" s="86"/>
      <c r="AX247" s="78"/>
    </row>
    <row r="248" spans="41:50">
      <c r="AO248" s="26" t="str">
        <f t="shared" si="5"/>
        <v/>
      </c>
      <c r="AR248" s="86"/>
      <c r="AT248" s="86"/>
      <c r="AV248" s="86"/>
      <c r="AX248" s="78"/>
    </row>
    <row r="249" spans="41:50">
      <c r="AO249" s="26" t="str">
        <f t="shared" si="5"/>
        <v/>
      </c>
      <c r="AR249" s="86"/>
      <c r="AT249" s="86"/>
      <c r="AV249" s="86"/>
      <c r="AX249" s="78"/>
    </row>
    <row r="250" spans="41:50">
      <c r="AO250" s="26" t="str">
        <f t="shared" si="5"/>
        <v/>
      </c>
      <c r="AR250" s="86"/>
      <c r="AT250" s="86"/>
      <c r="AV250" s="86"/>
      <c r="AX250" s="78"/>
    </row>
    <row r="251" spans="41:50">
      <c r="AO251" s="26" t="str">
        <f t="shared" si="5"/>
        <v/>
      </c>
      <c r="AR251" s="86"/>
      <c r="AT251" s="86"/>
      <c r="AV251" s="86"/>
      <c r="AX251" s="78"/>
    </row>
    <row r="252" spans="41:50">
      <c r="AO252" s="26" t="str">
        <f t="shared" si="5"/>
        <v/>
      </c>
      <c r="AR252" s="86"/>
      <c r="AT252" s="86"/>
      <c r="AV252" s="86"/>
      <c r="AX252" s="78"/>
    </row>
    <row r="253" spans="41:50">
      <c r="AO253" s="26" t="str">
        <f t="shared" si="5"/>
        <v/>
      </c>
      <c r="AR253" s="86"/>
      <c r="AT253" s="86"/>
      <c r="AV253" s="86"/>
      <c r="AX253" s="78"/>
    </row>
    <row r="254" spans="41:50">
      <c r="AO254" s="26" t="str">
        <f t="shared" si="5"/>
        <v/>
      </c>
      <c r="AR254" s="86"/>
      <c r="AT254" s="86"/>
      <c r="AV254" s="86"/>
      <c r="AX254" s="78"/>
    </row>
    <row r="255" spans="41:50">
      <c r="AO255" s="26" t="str">
        <f t="shared" si="5"/>
        <v/>
      </c>
      <c r="AR255" s="86"/>
      <c r="AT255" s="86"/>
      <c r="AV255" s="86"/>
      <c r="AX255" s="78"/>
    </row>
    <row r="256" spans="41:50">
      <c r="AO256" s="26" t="str">
        <f t="shared" si="5"/>
        <v/>
      </c>
      <c r="AR256" s="86"/>
      <c r="AT256" s="86"/>
      <c r="AV256" s="86"/>
      <c r="AX256" s="78"/>
    </row>
    <row r="257" spans="41:50">
      <c r="AO257" s="26" t="str">
        <f t="shared" si="5"/>
        <v/>
      </c>
      <c r="AR257" s="86"/>
      <c r="AT257" s="86"/>
      <c r="AV257" s="86"/>
      <c r="AX257" s="78"/>
    </row>
    <row r="258" spans="41:50">
      <c r="AO258" s="26" t="str">
        <f t="shared" si="5"/>
        <v/>
      </c>
      <c r="AR258" s="86"/>
      <c r="AT258" s="86"/>
      <c r="AV258" s="86"/>
      <c r="AX258" s="78"/>
    </row>
    <row r="259" spans="41:50">
      <c r="AO259" s="26" t="str">
        <f t="shared" si="5"/>
        <v/>
      </c>
      <c r="AR259" s="86"/>
      <c r="AT259" s="86"/>
      <c r="AV259" s="86"/>
      <c r="AX259" s="78"/>
    </row>
    <row r="260" spans="41:50">
      <c r="AO260" s="26" t="str">
        <f t="shared" si="5"/>
        <v/>
      </c>
      <c r="AR260" s="86"/>
      <c r="AT260" s="86"/>
      <c r="AV260" s="86"/>
      <c r="AX260" s="78"/>
    </row>
    <row r="261" spans="41:50">
      <c r="AO261" s="26" t="str">
        <f t="shared" si="5"/>
        <v/>
      </c>
      <c r="AR261" s="86"/>
      <c r="AT261" s="86"/>
      <c r="AV261" s="86"/>
      <c r="AX261" s="78"/>
    </row>
    <row r="262" spans="41:50">
      <c r="AO262" s="26" t="str">
        <f t="shared" si="5"/>
        <v/>
      </c>
      <c r="AR262" s="86"/>
      <c r="AT262" s="86"/>
      <c r="AV262" s="86"/>
      <c r="AX262" s="78"/>
    </row>
    <row r="263" spans="41:50">
      <c r="AO263" s="26" t="str">
        <f t="shared" si="5"/>
        <v/>
      </c>
      <c r="AR263" s="86"/>
      <c r="AT263" s="86"/>
      <c r="AV263" s="86"/>
      <c r="AX263" s="78"/>
    </row>
    <row r="264" spans="41:50">
      <c r="AO264" s="26" t="str">
        <f t="shared" si="5"/>
        <v/>
      </c>
      <c r="AR264" s="86"/>
      <c r="AT264" s="86"/>
      <c r="AV264" s="86"/>
      <c r="AX264" s="78"/>
    </row>
    <row r="265" spans="41:50">
      <c r="AO265" s="26" t="str">
        <f t="shared" si="5"/>
        <v/>
      </c>
      <c r="AR265" s="86"/>
      <c r="AT265" s="86"/>
      <c r="AV265" s="86"/>
      <c r="AX265" s="78"/>
    </row>
    <row r="266" spans="41:50">
      <c r="AO266" s="26" t="str">
        <f t="shared" si="5"/>
        <v/>
      </c>
      <c r="AR266" s="86"/>
      <c r="AT266" s="86"/>
      <c r="AV266" s="86"/>
      <c r="AX266" s="78"/>
    </row>
    <row r="267" spans="41:50">
      <c r="AO267" s="26" t="str">
        <f t="shared" si="5"/>
        <v/>
      </c>
      <c r="AR267" s="86"/>
      <c r="AT267" s="86"/>
      <c r="AV267" s="86"/>
      <c r="AX267" s="78"/>
    </row>
    <row r="268" spans="41:50">
      <c r="AO268" s="26" t="str">
        <f t="shared" si="5"/>
        <v/>
      </c>
      <c r="AR268" s="86"/>
      <c r="AT268" s="86"/>
      <c r="AV268" s="86"/>
      <c r="AX268" s="78"/>
    </row>
    <row r="269" spans="41:50">
      <c r="AO269" s="26" t="str">
        <f t="shared" si="5"/>
        <v/>
      </c>
      <c r="AR269" s="86"/>
      <c r="AT269" s="86"/>
      <c r="AV269" s="86"/>
      <c r="AX269" s="78"/>
    </row>
    <row r="270" spans="41:50">
      <c r="AO270" s="26" t="str">
        <f t="shared" ref="AO270:AO333" si="6">IF(AN267="","",VLOOKUP(AN267,SEGUIMIENTOS,2,FALSE))</f>
        <v/>
      </c>
      <c r="AR270" s="86"/>
      <c r="AT270" s="86"/>
      <c r="AV270" s="86"/>
      <c r="AX270" s="78"/>
    </row>
    <row r="271" spans="41:50">
      <c r="AO271" s="26" t="str">
        <f t="shared" si="6"/>
        <v/>
      </c>
      <c r="AR271" s="86"/>
      <c r="AT271" s="86"/>
      <c r="AV271" s="86"/>
      <c r="AX271" s="78"/>
    </row>
    <row r="272" spans="41:50">
      <c r="AO272" s="26" t="str">
        <f t="shared" si="6"/>
        <v/>
      </c>
      <c r="AR272" s="86"/>
      <c r="AT272" s="86"/>
      <c r="AV272" s="86"/>
      <c r="AX272" s="78"/>
    </row>
    <row r="273" spans="41:50">
      <c r="AO273" s="26" t="str">
        <f t="shared" si="6"/>
        <v/>
      </c>
      <c r="AR273" s="86"/>
      <c r="AT273" s="86"/>
      <c r="AV273" s="86"/>
      <c r="AX273" s="78"/>
    </row>
    <row r="274" spans="41:50">
      <c r="AO274" s="26" t="str">
        <f t="shared" si="6"/>
        <v/>
      </c>
      <c r="AR274" s="86"/>
      <c r="AT274" s="86"/>
      <c r="AV274" s="86"/>
      <c r="AX274" s="78"/>
    </row>
    <row r="275" spans="41:50">
      <c r="AO275" s="26" t="str">
        <f t="shared" si="6"/>
        <v/>
      </c>
      <c r="AR275" s="86"/>
      <c r="AT275" s="86"/>
      <c r="AV275" s="86"/>
      <c r="AX275" s="78"/>
    </row>
    <row r="276" spans="41:50">
      <c r="AO276" s="26" t="str">
        <f t="shared" si="6"/>
        <v/>
      </c>
      <c r="AR276" s="86"/>
      <c r="AT276" s="86"/>
      <c r="AV276" s="86"/>
      <c r="AX276" s="78"/>
    </row>
    <row r="277" spans="41:50">
      <c r="AO277" s="26" t="str">
        <f t="shared" si="6"/>
        <v/>
      </c>
      <c r="AR277" s="86"/>
      <c r="AT277" s="86"/>
      <c r="AV277" s="86"/>
      <c r="AX277" s="78"/>
    </row>
    <row r="278" spans="41:50">
      <c r="AO278" s="26" t="str">
        <f t="shared" si="6"/>
        <v/>
      </c>
      <c r="AR278" s="86"/>
      <c r="AT278" s="86"/>
      <c r="AV278" s="86"/>
      <c r="AX278" s="78"/>
    </row>
    <row r="279" spans="41:50">
      <c r="AO279" s="26" t="str">
        <f t="shared" si="6"/>
        <v/>
      </c>
      <c r="AR279" s="86"/>
      <c r="AT279" s="86"/>
      <c r="AV279" s="86"/>
      <c r="AX279" s="78"/>
    </row>
    <row r="280" spans="41:50">
      <c r="AO280" s="26" t="str">
        <f t="shared" si="6"/>
        <v/>
      </c>
      <c r="AR280" s="86"/>
      <c r="AT280" s="86"/>
      <c r="AV280" s="86"/>
      <c r="AX280" s="78"/>
    </row>
    <row r="281" spans="41:50">
      <c r="AO281" s="26" t="str">
        <f t="shared" si="6"/>
        <v/>
      </c>
      <c r="AR281" s="86"/>
      <c r="AT281" s="86"/>
      <c r="AV281" s="86"/>
      <c r="AX281" s="78"/>
    </row>
    <row r="282" spans="41:50">
      <c r="AO282" s="26" t="str">
        <f t="shared" si="6"/>
        <v/>
      </c>
      <c r="AR282" s="86"/>
      <c r="AT282" s="86"/>
      <c r="AV282" s="86"/>
      <c r="AX282" s="78"/>
    </row>
    <row r="283" spans="41:50">
      <c r="AO283" s="26" t="str">
        <f t="shared" si="6"/>
        <v/>
      </c>
      <c r="AR283" s="86"/>
      <c r="AT283" s="86"/>
      <c r="AV283" s="86"/>
      <c r="AX283" s="78"/>
    </row>
    <row r="284" spans="41:50">
      <c r="AO284" s="26" t="str">
        <f t="shared" si="6"/>
        <v/>
      </c>
      <c r="AR284" s="86"/>
      <c r="AT284" s="86"/>
      <c r="AV284" s="86"/>
      <c r="AX284" s="78"/>
    </row>
    <row r="285" spans="41:50">
      <c r="AO285" s="26" t="str">
        <f t="shared" si="6"/>
        <v/>
      </c>
      <c r="AR285" s="86"/>
      <c r="AT285" s="86"/>
      <c r="AV285" s="86"/>
      <c r="AX285" s="78"/>
    </row>
    <row r="286" spans="41:50">
      <c r="AO286" s="26" t="str">
        <f t="shared" si="6"/>
        <v/>
      </c>
      <c r="AR286" s="86"/>
      <c r="AT286" s="86"/>
      <c r="AV286" s="86"/>
      <c r="AX286" s="78"/>
    </row>
    <row r="287" spans="41:50">
      <c r="AO287" s="26" t="str">
        <f t="shared" si="6"/>
        <v/>
      </c>
      <c r="AR287" s="86"/>
      <c r="AT287" s="86"/>
      <c r="AV287" s="86"/>
      <c r="AX287" s="78"/>
    </row>
    <row r="288" spans="41:50">
      <c r="AO288" s="26" t="str">
        <f t="shared" si="6"/>
        <v/>
      </c>
      <c r="AR288" s="86"/>
      <c r="AT288" s="86"/>
      <c r="AV288" s="86"/>
      <c r="AX288" s="78"/>
    </row>
    <row r="289" spans="41:50">
      <c r="AO289" s="26" t="str">
        <f t="shared" si="6"/>
        <v/>
      </c>
      <c r="AR289" s="86"/>
      <c r="AT289" s="86"/>
      <c r="AV289" s="86"/>
      <c r="AX289" s="78"/>
    </row>
    <row r="290" spans="41:50">
      <c r="AO290" s="26" t="str">
        <f t="shared" si="6"/>
        <v/>
      </c>
      <c r="AR290" s="86"/>
      <c r="AT290" s="86"/>
      <c r="AV290" s="86"/>
      <c r="AX290" s="78"/>
    </row>
    <row r="291" spans="41:50">
      <c r="AO291" s="26" t="str">
        <f t="shared" si="6"/>
        <v/>
      </c>
      <c r="AR291" s="86"/>
      <c r="AT291" s="86"/>
      <c r="AV291" s="86"/>
      <c r="AX291" s="78"/>
    </row>
    <row r="292" spans="41:50">
      <c r="AO292" s="26" t="str">
        <f t="shared" si="6"/>
        <v/>
      </c>
      <c r="AR292" s="86"/>
      <c r="AT292" s="86"/>
      <c r="AV292" s="86"/>
      <c r="AX292" s="78"/>
    </row>
    <row r="293" spans="41:50">
      <c r="AO293" s="26" t="str">
        <f t="shared" si="6"/>
        <v/>
      </c>
      <c r="AR293" s="86"/>
      <c r="AT293" s="86"/>
      <c r="AV293" s="86"/>
      <c r="AX293" s="78"/>
    </row>
    <row r="294" spans="41:50">
      <c r="AO294" s="26" t="str">
        <f t="shared" si="6"/>
        <v/>
      </c>
      <c r="AR294" s="86"/>
      <c r="AT294" s="86"/>
      <c r="AV294" s="86"/>
      <c r="AX294" s="78"/>
    </row>
    <row r="295" spans="41:50">
      <c r="AO295" s="26" t="str">
        <f t="shared" si="6"/>
        <v/>
      </c>
      <c r="AR295" s="86"/>
      <c r="AT295" s="86"/>
      <c r="AV295" s="86"/>
      <c r="AX295" s="78"/>
    </row>
    <row r="296" spans="41:50">
      <c r="AO296" s="26" t="str">
        <f t="shared" si="6"/>
        <v/>
      </c>
      <c r="AR296" s="86"/>
      <c r="AT296" s="86"/>
      <c r="AV296" s="86"/>
      <c r="AX296" s="78"/>
    </row>
    <row r="297" spans="41:50">
      <c r="AO297" s="26" t="str">
        <f t="shared" si="6"/>
        <v/>
      </c>
      <c r="AR297" s="86"/>
      <c r="AT297" s="86"/>
      <c r="AV297" s="86"/>
      <c r="AX297" s="78"/>
    </row>
    <row r="298" spans="41:50">
      <c r="AO298" s="26" t="str">
        <f t="shared" si="6"/>
        <v/>
      </c>
      <c r="AR298" s="86"/>
      <c r="AT298" s="86"/>
      <c r="AV298" s="86"/>
      <c r="AX298" s="78"/>
    </row>
    <row r="299" spans="41:50">
      <c r="AO299" s="26" t="str">
        <f t="shared" si="6"/>
        <v/>
      </c>
      <c r="AR299" s="86"/>
      <c r="AT299" s="86"/>
      <c r="AV299" s="86"/>
      <c r="AX299" s="78"/>
    </row>
    <row r="300" spans="41:50">
      <c r="AO300" s="26" t="str">
        <f t="shared" si="6"/>
        <v/>
      </c>
      <c r="AR300" s="86"/>
      <c r="AT300" s="86"/>
      <c r="AV300" s="86"/>
      <c r="AX300" s="78"/>
    </row>
    <row r="301" spans="41:50">
      <c r="AO301" s="26" t="str">
        <f t="shared" si="6"/>
        <v/>
      </c>
      <c r="AR301" s="86"/>
      <c r="AT301" s="86"/>
      <c r="AV301" s="86"/>
      <c r="AX301" s="78"/>
    </row>
    <row r="302" spans="41:50">
      <c r="AO302" s="26" t="str">
        <f t="shared" si="6"/>
        <v/>
      </c>
      <c r="AR302" s="86"/>
      <c r="AT302" s="86"/>
      <c r="AV302" s="86"/>
      <c r="AX302" s="78"/>
    </row>
    <row r="303" spans="41:50">
      <c r="AO303" s="26" t="str">
        <f t="shared" si="6"/>
        <v/>
      </c>
      <c r="AR303" s="86"/>
      <c r="AT303" s="86"/>
      <c r="AV303" s="86"/>
      <c r="AX303" s="78"/>
    </row>
    <row r="304" spans="41:50">
      <c r="AO304" s="26" t="str">
        <f t="shared" si="6"/>
        <v/>
      </c>
      <c r="AR304" s="86"/>
      <c r="AT304" s="86"/>
      <c r="AV304" s="86"/>
      <c r="AX304" s="78"/>
    </row>
    <row r="305" spans="41:50">
      <c r="AO305" s="26" t="str">
        <f t="shared" si="6"/>
        <v/>
      </c>
      <c r="AR305" s="86"/>
      <c r="AT305" s="86"/>
      <c r="AV305" s="86"/>
      <c r="AX305" s="78"/>
    </row>
    <row r="306" spans="41:50">
      <c r="AO306" s="26" t="str">
        <f t="shared" si="6"/>
        <v/>
      </c>
      <c r="AR306" s="86"/>
      <c r="AT306" s="86"/>
      <c r="AV306" s="86"/>
      <c r="AX306" s="78"/>
    </row>
    <row r="307" spans="41:50">
      <c r="AO307" s="26" t="str">
        <f t="shared" si="6"/>
        <v/>
      </c>
      <c r="AR307" s="86"/>
      <c r="AT307" s="86"/>
      <c r="AV307" s="86"/>
      <c r="AX307" s="78"/>
    </row>
    <row r="308" spans="41:50">
      <c r="AO308" s="26" t="str">
        <f t="shared" si="6"/>
        <v/>
      </c>
      <c r="AR308" s="86"/>
      <c r="AT308" s="86"/>
      <c r="AV308" s="86"/>
      <c r="AX308" s="78"/>
    </row>
    <row r="309" spans="41:50">
      <c r="AO309" s="26" t="str">
        <f t="shared" si="6"/>
        <v/>
      </c>
      <c r="AR309" s="86"/>
      <c r="AT309" s="86"/>
      <c r="AV309" s="86"/>
      <c r="AX309" s="78"/>
    </row>
    <row r="310" spans="41:50">
      <c r="AO310" s="26" t="str">
        <f t="shared" si="6"/>
        <v/>
      </c>
      <c r="AR310" s="86"/>
      <c r="AT310" s="86"/>
      <c r="AV310" s="86"/>
      <c r="AX310" s="78"/>
    </row>
    <row r="311" spans="41:50">
      <c r="AO311" s="26" t="str">
        <f t="shared" si="6"/>
        <v/>
      </c>
      <c r="AR311" s="86"/>
      <c r="AT311" s="86"/>
      <c r="AV311" s="86"/>
      <c r="AX311" s="78"/>
    </row>
    <row r="312" spans="41:50">
      <c r="AO312" s="26" t="str">
        <f t="shared" si="6"/>
        <v/>
      </c>
      <c r="AR312" s="86"/>
      <c r="AT312" s="86"/>
      <c r="AV312" s="86"/>
      <c r="AX312" s="78"/>
    </row>
    <row r="313" spans="41:50">
      <c r="AO313" s="26" t="str">
        <f t="shared" si="6"/>
        <v/>
      </c>
      <c r="AR313" s="86"/>
      <c r="AT313" s="86"/>
      <c r="AV313" s="86"/>
      <c r="AX313" s="78"/>
    </row>
    <row r="314" spans="41:50">
      <c r="AO314" s="26" t="str">
        <f t="shared" si="6"/>
        <v/>
      </c>
      <c r="AR314" s="86"/>
      <c r="AT314" s="86"/>
      <c r="AV314" s="86"/>
      <c r="AX314" s="78"/>
    </row>
    <row r="315" spans="41:50">
      <c r="AO315" s="26" t="str">
        <f t="shared" si="6"/>
        <v/>
      </c>
      <c r="AR315" s="86"/>
      <c r="AT315" s="86"/>
      <c r="AV315" s="86"/>
      <c r="AX315" s="78"/>
    </row>
    <row r="316" spans="41:50">
      <c r="AO316" s="26" t="str">
        <f t="shared" si="6"/>
        <v/>
      </c>
      <c r="AR316" s="86"/>
      <c r="AT316" s="86"/>
      <c r="AV316" s="86"/>
      <c r="AX316" s="78"/>
    </row>
    <row r="317" spans="41:50">
      <c r="AO317" s="26" t="str">
        <f t="shared" si="6"/>
        <v/>
      </c>
      <c r="AR317" s="86"/>
      <c r="AT317" s="86"/>
      <c r="AV317" s="86"/>
      <c r="AX317" s="78"/>
    </row>
    <row r="318" spans="41:50">
      <c r="AO318" s="26" t="str">
        <f t="shared" si="6"/>
        <v/>
      </c>
      <c r="AR318" s="86"/>
      <c r="AT318" s="86"/>
      <c r="AV318" s="86"/>
      <c r="AX318" s="78"/>
    </row>
    <row r="319" spans="41:50">
      <c r="AO319" s="26" t="str">
        <f t="shared" si="6"/>
        <v/>
      </c>
      <c r="AR319" s="86"/>
      <c r="AT319" s="86"/>
      <c r="AV319" s="86"/>
      <c r="AX319" s="78"/>
    </row>
    <row r="320" spans="41:50">
      <c r="AO320" s="26" t="str">
        <f t="shared" si="6"/>
        <v/>
      </c>
      <c r="AR320" s="86"/>
      <c r="AT320" s="86"/>
      <c r="AV320" s="86"/>
      <c r="AX320" s="78"/>
    </row>
    <row r="321" spans="41:50">
      <c r="AO321" s="26" t="str">
        <f t="shared" si="6"/>
        <v/>
      </c>
      <c r="AR321" s="86"/>
      <c r="AT321" s="86"/>
      <c r="AV321" s="86"/>
      <c r="AX321" s="78"/>
    </row>
    <row r="322" spans="41:50">
      <c r="AO322" s="26" t="str">
        <f t="shared" si="6"/>
        <v/>
      </c>
      <c r="AR322" s="86"/>
      <c r="AT322" s="86"/>
      <c r="AV322" s="86"/>
      <c r="AX322" s="78"/>
    </row>
    <row r="323" spans="41:50">
      <c r="AO323" s="26" t="str">
        <f t="shared" si="6"/>
        <v/>
      </c>
      <c r="AR323" s="86"/>
      <c r="AT323" s="86"/>
      <c r="AV323" s="86"/>
      <c r="AX323" s="78"/>
    </row>
    <row r="324" spans="41:50">
      <c r="AO324" s="26" t="str">
        <f t="shared" si="6"/>
        <v/>
      </c>
      <c r="AR324" s="86"/>
      <c r="AT324" s="86"/>
      <c r="AV324" s="86"/>
      <c r="AX324" s="78"/>
    </row>
    <row r="325" spans="41:50">
      <c r="AO325" s="26" t="str">
        <f t="shared" si="6"/>
        <v/>
      </c>
      <c r="AR325" s="86"/>
      <c r="AT325" s="86"/>
      <c r="AV325" s="86"/>
      <c r="AX325" s="78"/>
    </row>
    <row r="326" spans="41:50">
      <c r="AO326" s="26" t="str">
        <f t="shared" si="6"/>
        <v/>
      </c>
      <c r="AR326" s="86"/>
      <c r="AT326" s="86"/>
      <c r="AV326" s="86"/>
      <c r="AX326" s="78"/>
    </row>
    <row r="327" spans="41:50">
      <c r="AO327" s="26" t="str">
        <f t="shared" si="6"/>
        <v/>
      </c>
      <c r="AR327" s="86"/>
      <c r="AT327" s="86"/>
      <c r="AV327" s="86"/>
      <c r="AX327" s="78"/>
    </row>
    <row r="328" spans="41:50">
      <c r="AO328" s="26" t="str">
        <f t="shared" si="6"/>
        <v/>
      </c>
      <c r="AR328" s="86"/>
      <c r="AT328" s="86"/>
      <c r="AV328" s="86"/>
      <c r="AX328" s="78"/>
    </row>
    <row r="329" spans="41:50">
      <c r="AO329" s="26" t="str">
        <f t="shared" si="6"/>
        <v/>
      </c>
      <c r="AR329" s="86"/>
      <c r="AT329" s="86"/>
      <c r="AV329" s="86"/>
      <c r="AX329" s="78"/>
    </row>
    <row r="330" spans="41:50">
      <c r="AO330" s="26" t="str">
        <f t="shared" si="6"/>
        <v/>
      </c>
      <c r="AR330" s="86"/>
      <c r="AT330" s="86"/>
      <c r="AV330" s="86"/>
      <c r="AX330" s="78"/>
    </row>
    <row r="331" spans="41:50">
      <c r="AO331" s="26" t="str">
        <f t="shared" si="6"/>
        <v/>
      </c>
      <c r="AR331" s="86"/>
      <c r="AT331" s="86"/>
      <c r="AV331" s="86"/>
      <c r="AX331" s="78"/>
    </row>
    <row r="332" spans="41:50">
      <c r="AO332" s="26" t="str">
        <f t="shared" si="6"/>
        <v/>
      </c>
      <c r="AR332" s="86"/>
      <c r="AT332" s="86"/>
      <c r="AV332" s="86"/>
      <c r="AX332" s="78"/>
    </row>
    <row r="333" spans="41:50">
      <c r="AO333" s="26" t="str">
        <f t="shared" si="6"/>
        <v/>
      </c>
      <c r="AR333" s="86"/>
      <c r="AT333" s="86"/>
      <c r="AV333" s="86"/>
      <c r="AX333" s="78"/>
    </row>
    <row r="334" spans="41:50">
      <c r="AO334" s="26" t="str">
        <f t="shared" ref="AO334:AO397" si="7">IF(AN331="","",VLOOKUP(AN331,SEGUIMIENTOS,2,FALSE))</f>
        <v/>
      </c>
      <c r="AR334" s="86"/>
      <c r="AT334" s="86"/>
      <c r="AV334" s="86"/>
      <c r="AX334" s="78"/>
    </row>
    <row r="335" spans="41:50">
      <c r="AO335" s="26" t="str">
        <f t="shared" si="7"/>
        <v/>
      </c>
      <c r="AR335" s="86"/>
      <c r="AT335" s="86"/>
      <c r="AV335" s="86"/>
      <c r="AX335" s="78"/>
    </row>
    <row r="336" spans="41:50">
      <c r="AO336" s="26" t="str">
        <f t="shared" si="7"/>
        <v/>
      </c>
      <c r="AR336" s="86"/>
      <c r="AT336" s="86"/>
      <c r="AV336" s="86"/>
      <c r="AX336" s="78"/>
    </row>
    <row r="337" spans="41:50">
      <c r="AO337" s="26" t="str">
        <f t="shared" si="7"/>
        <v/>
      </c>
      <c r="AR337" s="86"/>
      <c r="AT337" s="86"/>
      <c r="AV337" s="86"/>
      <c r="AX337" s="78"/>
    </row>
    <row r="338" spans="41:50">
      <c r="AO338" s="26" t="str">
        <f t="shared" si="7"/>
        <v/>
      </c>
      <c r="AR338" s="86"/>
      <c r="AT338" s="86"/>
      <c r="AV338" s="86"/>
      <c r="AX338" s="78"/>
    </row>
    <row r="339" spans="41:50">
      <c r="AO339" s="26" t="str">
        <f t="shared" si="7"/>
        <v/>
      </c>
      <c r="AR339" s="86"/>
      <c r="AT339" s="86"/>
      <c r="AV339" s="86"/>
      <c r="AX339" s="78"/>
    </row>
    <row r="340" spans="41:50">
      <c r="AO340" s="26" t="str">
        <f t="shared" si="7"/>
        <v/>
      </c>
      <c r="AR340" s="86"/>
      <c r="AT340" s="86"/>
      <c r="AV340" s="86"/>
      <c r="AX340" s="78"/>
    </row>
    <row r="341" spans="41:50">
      <c r="AO341" s="26" t="str">
        <f t="shared" si="7"/>
        <v/>
      </c>
      <c r="AR341" s="86"/>
      <c r="AT341" s="86"/>
      <c r="AV341" s="86"/>
      <c r="AX341" s="78"/>
    </row>
    <row r="342" spans="41:50">
      <c r="AO342" s="26" t="str">
        <f t="shared" si="7"/>
        <v/>
      </c>
      <c r="AR342" s="86"/>
      <c r="AT342" s="86"/>
      <c r="AV342" s="86"/>
      <c r="AX342" s="78"/>
    </row>
    <row r="343" spans="41:50">
      <c r="AO343" s="26" t="str">
        <f t="shared" si="7"/>
        <v/>
      </c>
      <c r="AR343" s="86"/>
      <c r="AT343" s="86"/>
      <c r="AV343" s="86"/>
      <c r="AX343" s="78"/>
    </row>
    <row r="344" spans="41:50">
      <c r="AO344" s="26" t="str">
        <f t="shared" si="7"/>
        <v/>
      </c>
      <c r="AR344" s="86"/>
      <c r="AT344" s="86"/>
      <c r="AV344" s="86"/>
      <c r="AX344" s="78"/>
    </row>
    <row r="345" spans="41:50">
      <c r="AO345" s="26" t="str">
        <f t="shared" si="7"/>
        <v/>
      </c>
      <c r="AR345" s="86"/>
      <c r="AT345" s="86"/>
      <c r="AV345" s="86"/>
      <c r="AX345" s="78"/>
    </row>
    <row r="346" spans="41:50">
      <c r="AO346" s="26" t="str">
        <f t="shared" si="7"/>
        <v/>
      </c>
      <c r="AR346" s="86"/>
      <c r="AT346" s="86"/>
      <c r="AV346" s="86"/>
      <c r="AX346" s="78"/>
    </row>
    <row r="347" spans="41:50">
      <c r="AO347" s="26" t="str">
        <f t="shared" si="7"/>
        <v/>
      </c>
      <c r="AR347" s="86"/>
      <c r="AT347" s="86"/>
      <c r="AV347" s="86"/>
      <c r="AX347" s="78"/>
    </row>
    <row r="348" spans="41:50">
      <c r="AO348" s="26" t="str">
        <f t="shared" si="7"/>
        <v/>
      </c>
      <c r="AR348" s="86"/>
      <c r="AT348" s="86"/>
      <c r="AV348" s="86"/>
      <c r="AX348" s="78"/>
    </row>
    <row r="349" spans="41:50">
      <c r="AO349" s="26" t="str">
        <f t="shared" si="7"/>
        <v/>
      </c>
      <c r="AR349" s="86"/>
      <c r="AT349" s="86"/>
      <c r="AV349" s="86"/>
      <c r="AX349" s="78"/>
    </row>
    <row r="350" spans="41:50">
      <c r="AO350" s="26" t="str">
        <f t="shared" si="7"/>
        <v/>
      </c>
      <c r="AR350" s="86"/>
      <c r="AT350" s="86"/>
      <c r="AV350" s="86"/>
      <c r="AX350" s="78"/>
    </row>
    <row r="351" spans="41:50">
      <c r="AO351" s="26" t="str">
        <f t="shared" si="7"/>
        <v/>
      </c>
      <c r="AR351" s="86"/>
      <c r="AT351" s="86"/>
      <c r="AV351" s="86"/>
      <c r="AX351" s="78"/>
    </row>
    <row r="352" spans="41:50">
      <c r="AO352" s="26" t="str">
        <f t="shared" si="7"/>
        <v/>
      </c>
      <c r="AR352" s="86"/>
      <c r="AT352" s="86"/>
      <c r="AV352" s="86"/>
      <c r="AX352" s="78"/>
    </row>
    <row r="353" spans="41:50">
      <c r="AO353" s="26" t="str">
        <f t="shared" si="7"/>
        <v/>
      </c>
      <c r="AR353" s="86"/>
      <c r="AT353" s="86"/>
      <c r="AV353" s="86"/>
      <c r="AX353" s="78"/>
    </row>
    <row r="354" spans="41:50">
      <c r="AO354" s="26" t="str">
        <f t="shared" si="7"/>
        <v/>
      </c>
      <c r="AR354" s="86"/>
      <c r="AT354" s="86"/>
      <c r="AV354" s="86"/>
      <c r="AX354" s="78"/>
    </row>
    <row r="355" spans="41:50">
      <c r="AO355" s="26" t="str">
        <f t="shared" si="7"/>
        <v/>
      </c>
      <c r="AR355" s="86"/>
      <c r="AT355" s="86"/>
      <c r="AV355" s="86"/>
      <c r="AX355" s="78"/>
    </row>
    <row r="356" spans="41:50">
      <c r="AO356" s="26" t="str">
        <f t="shared" si="7"/>
        <v/>
      </c>
      <c r="AR356" s="86"/>
      <c r="AT356" s="86"/>
      <c r="AV356" s="86"/>
      <c r="AX356" s="78"/>
    </row>
    <row r="357" spans="41:50">
      <c r="AO357" s="26" t="str">
        <f t="shared" si="7"/>
        <v/>
      </c>
      <c r="AR357" s="86"/>
      <c r="AT357" s="86"/>
      <c r="AV357" s="86"/>
      <c r="AX357" s="78"/>
    </row>
    <row r="358" spans="41:50">
      <c r="AO358" s="26" t="str">
        <f t="shared" si="7"/>
        <v/>
      </c>
      <c r="AR358" s="86"/>
      <c r="AT358" s="86"/>
      <c r="AV358" s="86"/>
      <c r="AX358" s="78"/>
    </row>
    <row r="359" spans="41:50">
      <c r="AO359" s="26" t="str">
        <f t="shared" si="7"/>
        <v/>
      </c>
      <c r="AR359" s="86"/>
      <c r="AT359" s="86"/>
      <c r="AV359" s="86"/>
      <c r="AX359" s="78"/>
    </row>
    <row r="360" spans="41:50">
      <c r="AO360" s="26" t="str">
        <f t="shared" si="7"/>
        <v/>
      </c>
      <c r="AR360" s="86"/>
      <c r="AT360" s="86"/>
      <c r="AV360" s="86"/>
      <c r="AX360" s="78"/>
    </row>
    <row r="361" spans="41:50">
      <c r="AO361" s="26" t="str">
        <f t="shared" si="7"/>
        <v/>
      </c>
      <c r="AR361" s="86"/>
      <c r="AT361" s="86"/>
      <c r="AV361" s="86"/>
      <c r="AX361" s="78"/>
    </row>
    <row r="362" spans="41:50">
      <c r="AO362" s="26" t="str">
        <f t="shared" si="7"/>
        <v/>
      </c>
      <c r="AR362" s="86"/>
      <c r="AT362" s="86"/>
      <c r="AV362" s="86"/>
      <c r="AX362" s="78"/>
    </row>
    <row r="363" spans="41:50">
      <c r="AO363" s="26" t="str">
        <f t="shared" si="7"/>
        <v/>
      </c>
      <c r="AR363" s="86"/>
      <c r="AT363" s="86"/>
      <c r="AV363" s="86"/>
      <c r="AX363" s="78"/>
    </row>
    <row r="364" spans="41:50">
      <c r="AO364" s="26" t="str">
        <f t="shared" si="7"/>
        <v/>
      </c>
      <c r="AR364" s="86"/>
      <c r="AT364" s="86"/>
      <c r="AV364" s="86"/>
      <c r="AX364" s="78"/>
    </row>
    <row r="365" spans="41:50">
      <c r="AO365" s="26" t="str">
        <f t="shared" si="7"/>
        <v/>
      </c>
      <c r="AR365" s="86"/>
      <c r="AT365" s="86"/>
      <c r="AV365" s="86"/>
      <c r="AX365" s="78"/>
    </row>
    <row r="366" spans="41:50">
      <c r="AO366" s="26" t="str">
        <f t="shared" si="7"/>
        <v/>
      </c>
      <c r="AR366" s="86"/>
      <c r="AT366" s="86"/>
      <c r="AV366" s="86"/>
      <c r="AX366" s="78"/>
    </row>
    <row r="367" spans="41:50">
      <c r="AO367" s="26" t="str">
        <f t="shared" si="7"/>
        <v/>
      </c>
      <c r="AR367" s="86"/>
      <c r="AT367" s="86"/>
      <c r="AV367" s="86"/>
      <c r="AX367" s="78"/>
    </row>
    <row r="368" spans="41:50">
      <c r="AO368" s="26" t="str">
        <f t="shared" si="7"/>
        <v/>
      </c>
      <c r="AR368" s="86"/>
      <c r="AT368" s="86"/>
      <c r="AV368" s="86"/>
      <c r="AX368" s="78"/>
    </row>
    <row r="369" spans="41:50">
      <c r="AO369" s="26" t="str">
        <f t="shared" si="7"/>
        <v/>
      </c>
      <c r="AR369" s="86"/>
      <c r="AT369" s="86"/>
      <c r="AV369" s="86"/>
      <c r="AX369" s="78"/>
    </row>
    <row r="370" spans="41:50">
      <c r="AO370" s="26" t="str">
        <f t="shared" si="7"/>
        <v/>
      </c>
      <c r="AR370" s="86"/>
      <c r="AT370" s="86"/>
      <c r="AV370" s="86"/>
      <c r="AX370" s="78"/>
    </row>
    <row r="371" spans="41:50">
      <c r="AO371" s="26" t="str">
        <f t="shared" si="7"/>
        <v/>
      </c>
      <c r="AR371" s="86"/>
      <c r="AT371" s="86"/>
      <c r="AV371" s="86"/>
      <c r="AX371" s="78"/>
    </row>
    <row r="372" spans="41:50">
      <c r="AO372" s="26" t="str">
        <f t="shared" si="7"/>
        <v/>
      </c>
      <c r="AR372" s="86"/>
      <c r="AT372" s="86"/>
      <c r="AV372" s="86"/>
      <c r="AX372" s="78"/>
    </row>
    <row r="373" spans="41:50">
      <c r="AO373" s="26" t="str">
        <f t="shared" si="7"/>
        <v/>
      </c>
      <c r="AR373" s="86"/>
      <c r="AT373" s="86"/>
      <c r="AV373" s="86"/>
      <c r="AX373" s="78"/>
    </row>
    <row r="374" spans="41:50">
      <c r="AO374" s="26" t="str">
        <f t="shared" si="7"/>
        <v/>
      </c>
      <c r="AR374" s="86"/>
      <c r="AT374" s="86"/>
      <c r="AV374" s="86"/>
      <c r="AX374" s="78"/>
    </row>
    <row r="375" spans="41:50">
      <c r="AO375" s="26" t="str">
        <f t="shared" si="7"/>
        <v/>
      </c>
      <c r="AR375" s="86"/>
      <c r="AT375" s="86"/>
      <c r="AV375" s="86"/>
      <c r="AX375" s="78"/>
    </row>
    <row r="376" spans="41:50">
      <c r="AO376" s="26" t="str">
        <f t="shared" si="7"/>
        <v/>
      </c>
      <c r="AR376" s="86"/>
      <c r="AT376" s="86"/>
      <c r="AV376" s="86"/>
      <c r="AX376" s="78"/>
    </row>
    <row r="377" spans="41:50">
      <c r="AO377" s="26" t="str">
        <f t="shared" si="7"/>
        <v/>
      </c>
      <c r="AR377" s="86"/>
      <c r="AT377" s="86"/>
      <c r="AV377" s="86"/>
      <c r="AX377" s="78"/>
    </row>
    <row r="378" spans="41:50">
      <c r="AO378" s="26" t="str">
        <f t="shared" si="7"/>
        <v/>
      </c>
      <c r="AR378" s="86"/>
      <c r="AT378" s="86"/>
      <c r="AV378" s="86"/>
      <c r="AX378" s="78"/>
    </row>
    <row r="379" spans="41:50">
      <c r="AO379" s="26" t="str">
        <f t="shared" si="7"/>
        <v/>
      </c>
      <c r="AR379" s="86"/>
      <c r="AT379" s="86"/>
      <c r="AV379" s="86"/>
      <c r="AX379" s="78"/>
    </row>
    <row r="380" spans="41:50">
      <c r="AO380" s="26" t="str">
        <f t="shared" si="7"/>
        <v/>
      </c>
      <c r="AR380" s="86"/>
      <c r="AT380" s="86"/>
      <c r="AV380" s="86"/>
      <c r="AX380" s="78"/>
    </row>
    <row r="381" spans="41:50">
      <c r="AO381" s="26" t="str">
        <f t="shared" si="7"/>
        <v/>
      </c>
      <c r="AR381" s="86"/>
      <c r="AT381" s="86"/>
      <c r="AV381" s="86"/>
      <c r="AX381" s="78"/>
    </row>
    <row r="382" spans="41:50">
      <c r="AO382" s="26" t="str">
        <f t="shared" si="7"/>
        <v/>
      </c>
      <c r="AR382" s="86"/>
      <c r="AT382" s="86"/>
      <c r="AV382" s="86"/>
      <c r="AX382" s="78"/>
    </row>
    <row r="383" spans="41:50">
      <c r="AO383" s="26" t="str">
        <f t="shared" si="7"/>
        <v/>
      </c>
      <c r="AR383" s="86"/>
      <c r="AT383" s="86"/>
      <c r="AV383" s="86"/>
      <c r="AX383" s="78"/>
    </row>
    <row r="384" spans="41:50">
      <c r="AO384" s="26" t="str">
        <f t="shared" si="7"/>
        <v/>
      </c>
      <c r="AR384" s="86"/>
      <c r="AT384" s="86"/>
      <c r="AV384" s="86"/>
      <c r="AX384" s="78"/>
    </row>
    <row r="385" spans="41:50">
      <c r="AO385" s="26" t="str">
        <f t="shared" si="7"/>
        <v/>
      </c>
      <c r="AR385" s="86"/>
      <c r="AT385" s="86"/>
      <c r="AV385" s="86"/>
      <c r="AX385" s="78"/>
    </row>
    <row r="386" spans="41:50">
      <c r="AO386" s="26" t="str">
        <f t="shared" si="7"/>
        <v/>
      </c>
      <c r="AR386" s="86"/>
      <c r="AT386" s="86"/>
      <c r="AV386" s="86"/>
      <c r="AX386" s="78"/>
    </row>
    <row r="387" spans="41:50">
      <c r="AO387" s="26" t="str">
        <f t="shared" si="7"/>
        <v/>
      </c>
      <c r="AR387" s="86"/>
      <c r="AT387" s="86"/>
      <c r="AV387" s="86"/>
      <c r="AX387" s="78"/>
    </row>
    <row r="388" spans="41:50">
      <c r="AO388" s="26" t="str">
        <f t="shared" si="7"/>
        <v/>
      </c>
      <c r="AR388" s="86"/>
      <c r="AT388" s="86"/>
      <c r="AV388" s="86"/>
      <c r="AX388" s="78"/>
    </row>
    <row r="389" spans="41:50">
      <c r="AO389" s="26" t="str">
        <f t="shared" si="7"/>
        <v/>
      </c>
      <c r="AR389" s="86"/>
      <c r="AT389" s="86"/>
      <c r="AV389" s="86"/>
      <c r="AX389" s="78"/>
    </row>
    <row r="390" spans="41:50">
      <c r="AO390" s="26" t="str">
        <f t="shared" si="7"/>
        <v/>
      </c>
      <c r="AR390" s="86"/>
      <c r="AT390" s="86"/>
      <c r="AV390" s="86"/>
      <c r="AX390" s="78"/>
    </row>
    <row r="391" spans="41:50">
      <c r="AO391" s="26" t="str">
        <f t="shared" si="7"/>
        <v/>
      </c>
      <c r="AR391" s="86"/>
      <c r="AT391" s="86"/>
      <c r="AV391" s="86"/>
      <c r="AX391" s="78"/>
    </row>
    <row r="392" spans="41:50">
      <c r="AO392" s="26" t="str">
        <f t="shared" si="7"/>
        <v/>
      </c>
      <c r="AR392" s="86"/>
      <c r="AT392" s="86"/>
      <c r="AV392" s="86"/>
      <c r="AX392" s="78"/>
    </row>
    <row r="393" spans="41:50">
      <c r="AO393" s="26" t="str">
        <f t="shared" si="7"/>
        <v/>
      </c>
      <c r="AR393" s="86"/>
      <c r="AT393" s="86"/>
      <c r="AV393" s="86"/>
      <c r="AX393" s="78"/>
    </row>
    <row r="394" spans="41:50">
      <c r="AO394" s="26" t="str">
        <f t="shared" si="7"/>
        <v/>
      </c>
      <c r="AR394" s="86"/>
      <c r="AT394" s="86"/>
      <c r="AV394" s="86"/>
      <c r="AX394" s="78"/>
    </row>
    <row r="395" spans="41:50">
      <c r="AO395" s="26" t="str">
        <f t="shared" si="7"/>
        <v/>
      </c>
      <c r="AR395" s="86"/>
      <c r="AT395" s="86"/>
      <c r="AV395" s="86"/>
      <c r="AX395" s="78"/>
    </row>
    <row r="396" spans="41:50">
      <c r="AO396" s="26" t="str">
        <f t="shared" si="7"/>
        <v/>
      </c>
      <c r="AR396" s="86"/>
      <c r="AT396" s="86"/>
      <c r="AV396" s="86"/>
      <c r="AX396" s="78"/>
    </row>
    <row r="397" spans="41:50">
      <c r="AO397" s="26" t="str">
        <f t="shared" si="7"/>
        <v/>
      </c>
      <c r="AR397" s="86"/>
      <c r="AT397" s="86"/>
      <c r="AV397" s="86"/>
      <c r="AX397" s="78"/>
    </row>
    <row r="398" spans="41:50">
      <c r="AO398" s="26" t="str">
        <f t="shared" ref="AO398:AO461" si="8">IF(AN395="","",VLOOKUP(AN395,SEGUIMIENTOS,2,FALSE))</f>
        <v/>
      </c>
      <c r="AR398" s="86"/>
      <c r="AT398" s="86"/>
      <c r="AV398" s="86"/>
      <c r="AX398" s="78"/>
    </row>
    <row r="399" spans="41:50">
      <c r="AO399" s="26" t="str">
        <f t="shared" si="8"/>
        <v/>
      </c>
      <c r="AR399" s="86"/>
      <c r="AT399" s="86"/>
      <c r="AV399" s="86"/>
      <c r="AX399" s="78"/>
    </row>
    <row r="400" spans="41:50">
      <c r="AO400" s="26" t="str">
        <f t="shared" si="8"/>
        <v/>
      </c>
      <c r="AR400" s="86"/>
      <c r="AT400" s="86"/>
      <c r="AV400" s="86"/>
      <c r="AX400" s="78"/>
    </row>
    <row r="401" spans="41:50">
      <c r="AO401" s="26" t="str">
        <f t="shared" si="8"/>
        <v/>
      </c>
      <c r="AR401" s="86"/>
      <c r="AT401" s="86"/>
      <c r="AV401" s="86"/>
      <c r="AX401" s="78"/>
    </row>
    <row r="402" spans="41:50">
      <c r="AO402" s="26" t="str">
        <f t="shared" si="8"/>
        <v/>
      </c>
      <c r="AR402" s="86"/>
      <c r="AT402" s="86"/>
      <c r="AV402" s="86"/>
      <c r="AX402" s="78"/>
    </row>
    <row r="403" spans="41:50">
      <c r="AO403" s="26" t="str">
        <f t="shared" si="8"/>
        <v/>
      </c>
      <c r="AR403" s="86"/>
      <c r="AT403" s="86"/>
      <c r="AV403" s="86"/>
      <c r="AX403" s="78"/>
    </row>
    <row r="404" spans="41:50">
      <c r="AO404" s="26" t="str">
        <f t="shared" si="8"/>
        <v/>
      </c>
      <c r="AR404" s="86"/>
      <c r="AT404" s="86"/>
      <c r="AV404" s="86"/>
      <c r="AX404" s="78"/>
    </row>
    <row r="405" spans="41:50">
      <c r="AO405" s="26" t="str">
        <f t="shared" si="8"/>
        <v/>
      </c>
      <c r="AR405" s="86"/>
      <c r="AT405" s="86"/>
      <c r="AV405" s="86"/>
      <c r="AX405" s="78"/>
    </row>
    <row r="406" spans="41:50">
      <c r="AO406" s="26" t="str">
        <f t="shared" si="8"/>
        <v/>
      </c>
      <c r="AR406" s="86"/>
      <c r="AT406" s="86"/>
      <c r="AV406" s="86"/>
      <c r="AX406" s="78"/>
    </row>
    <row r="407" spans="41:50">
      <c r="AO407" s="26" t="str">
        <f t="shared" si="8"/>
        <v/>
      </c>
      <c r="AR407" s="86"/>
      <c r="AT407" s="86"/>
      <c r="AV407" s="86"/>
      <c r="AX407" s="78"/>
    </row>
    <row r="408" spans="41:50">
      <c r="AO408" s="26" t="str">
        <f t="shared" si="8"/>
        <v/>
      </c>
      <c r="AR408" s="86"/>
      <c r="AT408" s="86"/>
      <c r="AV408" s="86"/>
      <c r="AX408" s="78"/>
    </row>
    <row r="409" spans="41:50">
      <c r="AO409" s="26" t="str">
        <f t="shared" si="8"/>
        <v/>
      </c>
      <c r="AR409" s="86"/>
      <c r="AT409" s="86"/>
      <c r="AV409" s="86"/>
      <c r="AX409" s="78"/>
    </row>
    <row r="410" spans="41:50">
      <c r="AO410" s="26" t="str">
        <f t="shared" si="8"/>
        <v/>
      </c>
      <c r="AR410" s="86"/>
      <c r="AT410" s="86"/>
      <c r="AV410" s="86"/>
      <c r="AX410" s="78"/>
    </row>
    <row r="411" spans="41:50">
      <c r="AO411" s="26" t="str">
        <f t="shared" si="8"/>
        <v/>
      </c>
      <c r="AR411" s="86"/>
      <c r="AT411" s="86"/>
      <c r="AV411" s="86"/>
      <c r="AX411" s="78"/>
    </row>
    <row r="412" spans="41:50">
      <c r="AO412" s="26" t="str">
        <f t="shared" si="8"/>
        <v/>
      </c>
      <c r="AR412" s="86"/>
      <c r="AT412" s="86"/>
      <c r="AV412" s="86"/>
      <c r="AX412" s="78"/>
    </row>
    <row r="413" spans="41:50">
      <c r="AO413" s="26" t="str">
        <f t="shared" si="8"/>
        <v/>
      </c>
      <c r="AR413" s="86"/>
      <c r="AT413" s="86"/>
      <c r="AV413" s="86"/>
      <c r="AX413" s="78"/>
    </row>
    <row r="414" spans="41:50">
      <c r="AO414" s="26" t="str">
        <f t="shared" si="8"/>
        <v/>
      </c>
      <c r="AR414" s="86"/>
      <c r="AT414" s="86"/>
      <c r="AV414" s="86"/>
      <c r="AX414" s="78"/>
    </row>
    <row r="415" spans="41:50">
      <c r="AO415" s="26" t="str">
        <f t="shared" si="8"/>
        <v/>
      </c>
      <c r="AR415" s="86"/>
      <c r="AT415" s="86"/>
      <c r="AV415" s="86"/>
      <c r="AX415" s="78"/>
    </row>
    <row r="416" spans="41:50">
      <c r="AO416" s="26" t="str">
        <f t="shared" si="8"/>
        <v/>
      </c>
      <c r="AR416" s="86"/>
      <c r="AT416" s="86"/>
      <c r="AV416" s="86"/>
      <c r="AX416" s="78"/>
    </row>
    <row r="417" spans="41:50">
      <c r="AO417" s="26" t="str">
        <f t="shared" si="8"/>
        <v/>
      </c>
      <c r="AR417" s="86"/>
      <c r="AT417" s="86"/>
      <c r="AV417" s="86"/>
      <c r="AX417" s="78"/>
    </row>
    <row r="418" spans="41:50">
      <c r="AO418" s="26" t="str">
        <f t="shared" si="8"/>
        <v/>
      </c>
      <c r="AR418" s="86"/>
      <c r="AT418" s="86"/>
      <c r="AV418" s="86"/>
      <c r="AX418" s="78"/>
    </row>
    <row r="419" spans="41:50">
      <c r="AO419" s="26" t="str">
        <f t="shared" si="8"/>
        <v/>
      </c>
      <c r="AR419" s="86"/>
      <c r="AT419" s="86"/>
      <c r="AV419" s="86"/>
      <c r="AX419" s="78"/>
    </row>
    <row r="420" spans="41:50">
      <c r="AO420" s="26" t="str">
        <f t="shared" si="8"/>
        <v/>
      </c>
      <c r="AR420" s="86"/>
      <c r="AT420" s="86"/>
      <c r="AV420" s="86"/>
      <c r="AX420" s="78"/>
    </row>
    <row r="421" spans="41:50">
      <c r="AO421" s="26" t="str">
        <f t="shared" si="8"/>
        <v/>
      </c>
      <c r="AR421" s="86"/>
      <c r="AT421" s="86"/>
      <c r="AV421" s="86"/>
      <c r="AX421" s="78"/>
    </row>
    <row r="422" spans="41:50">
      <c r="AO422" s="26" t="str">
        <f t="shared" si="8"/>
        <v/>
      </c>
      <c r="AR422" s="86"/>
      <c r="AT422" s="86"/>
      <c r="AV422" s="86"/>
      <c r="AX422" s="78"/>
    </row>
    <row r="423" spans="41:50">
      <c r="AO423" s="26" t="str">
        <f t="shared" si="8"/>
        <v/>
      </c>
      <c r="AR423" s="86"/>
      <c r="AT423" s="86"/>
      <c r="AV423" s="86"/>
      <c r="AX423" s="78"/>
    </row>
    <row r="424" spans="41:50">
      <c r="AO424" s="26" t="str">
        <f t="shared" si="8"/>
        <v/>
      </c>
      <c r="AR424" s="86"/>
      <c r="AT424" s="86"/>
      <c r="AV424" s="86"/>
      <c r="AX424" s="78"/>
    </row>
    <row r="425" spans="41:50">
      <c r="AO425" s="26" t="str">
        <f t="shared" si="8"/>
        <v/>
      </c>
      <c r="AR425" s="86"/>
      <c r="AT425" s="86"/>
      <c r="AV425" s="86"/>
      <c r="AX425" s="78"/>
    </row>
    <row r="426" spans="41:50">
      <c r="AO426" s="26" t="str">
        <f t="shared" si="8"/>
        <v/>
      </c>
      <c r="AR426" s="86"/>
      <c r="AT426" s="86"/>
      <c r="AV426" s="86"/>
      <c r="AX426" s="78"/>
    </row>
    <row r="427" spans="41:50">
      <c r="AO427" s="26" t="str">
        <f t="shared" si="8"/>
        <v/>
      </c>
      <c r="AR427" s="86"/>
      <c r="AT427" s="86"/>
      <c r="AV427" s="86"/>
      <c r="AX427" s="78"/>
    </row>
    <row r="428" spans="41:50">
      <c r="AO428" s="26" t="str">
        <f t="shared" si="8"/>
        <v/>
      </c>
      <c r="AR428" s="86"/>
      <c r="AT428" s="86"/>
      <c r="AV428" s="86"/>
      <c r="AX428" s="78"/>
    </row>
    <row r="429" spans="41:50">
      <c r="AO429" s="26" t="str">
        <f t="shared" si="8"/>
        <v/>
      </c>
      <c r="AR429" s="86"/>
      <c r="AT429" s="86"/>
      <c r="AV429" s="86"/>
      <c r="AX429" s="78"/>
    </row>
    <row r="430" spans="41:50">
      <c r="AO430" s="26" t="str">
        <f t="shared" si="8"/>
        <v/>
      </c>
      <c r="AR430" s="86"/>
      <c r="AT430" s="86"/>
      <c r="AV430" s="86"/>
      <c r="AX430" s="78"/>
    </row>
    <row r="431" spans="41:50">
      <c r="AO431" s="26" t="str">
        <f t="shared" si="8"/>
        <v/>
      </c>
      <c r="AR431" s="86"/>
      <c r="AT431" s="86"/>
      <c r="AV431" s="86"/>
      <c r="AX431" s="78"/>
    </row>
    <row r="432" spans="41:50">
      <c r="AO432" s="26" t="str">
        <f t="shared" si="8"/>
        <v/>
      </c>
      <c r="AR432" s="86"/>
      <c r="AT432" s="86"/>
      <c r="AV432" s="86"/>
      <c r="AX432" s="78"/>
    </row>
    <row r="433" spans="41:50">
      <c r="AO433" s="26" t="str">
        <f t="shared" si="8"/>
        <v/>
      </c>
      <c r="AR433" s="86"/>
      <c r="AT433" s="86"/>
      <c r="AV433" s="86"/>
      <c r="AX433" s="78"/>
    </row>
    <row r="434" spans="41:50">
      <c r="AO434" s="26" t="str">
        <f t="shared" si="8"/>
        <v/>
      </c>
      <c r="AR434" s="86"/>
      <c r="AT434" s="86"/>
      <c r="AV434" s="86"/>
      <c r="AX434" s="78"/>
    </row>
    <row r="435" spans="41:50">
      <c r="AO435" s="26" t="str">
        <f t="shared" si="8"/>
        <v/>
      </c>
      <c r="AR435" s="86"/>
      <c r="AT435" s="86"/>
      <c r="AV435" s="86"/>
      <c r="AX435" s="78"/>
    </row>
    <row r="436" spans="41:50">
      <c r="AO436" s="26" t="str">
        <f t="shared" si="8"/>
        <v/>
      </c>
      <c r="AR436" s="86"/>
      <c r="AT436" s="86"/>
      <c r="AV436" s="86"/>
      <c r="AX436" s="78"/>
    </row>
    <row r="437" spans="41:50">
      <c r="AO437" s="26" t="str">
        <f t="shared" si="8"/>
        <v/>
      </c>
      <c r="AR437" s="86"/>
      <c r="AT437" s="86"/>
      <c r="AV437" s="86"/>
      <c r="AX437" s="78"/>
    </row>
    <row r="438" spans="41:50">
      <c r="AO438" s="26" t="str">
        <f t="shared" si="8"/>
        <v/>
      </c>
      <c r="AR438" s="86"/>
      <c r="AT438" s="86"/>
      <c r="AV438" s="86"/>
      <c r="AX438" s="78"/>
    </row>
    <row r="439" spans="41:50">
      <c r="AO439" s="26" t="str">
        <f t="shared" si="8"/>
        <v/>
      </c>
      <c r="AR439" s="86"/>
      <c r="AT439" s="86"/>
      <c r="AV439" s="86"/>
      <c r="AX439" s="78"/>
    </row>
    <row r="440" spans="41:50">
      <c r="AO440" s="26" t="str">
        <f t="shared" si="8"/>
        <v/>
      </c>
      <c r="AR440" s="86"/>
      <c r="AT440" s="86"/>
      <c r="AV440" s="86"/>
      <c r="AX440" s="78"/>
    </row>
    <row r="441" spans="41:50">
      <c r="AO441" s="26" t="str">
        <f t="shared" si="8"/>
        <v/>
      </c>
      <c r="AR441" s="86"/>
      <c r="AT441" s="86"/>
      <c r="AV441" s="86"/>
      <c r="AX441" s="78"/>
    </row>
    <row r="442" spans="41:50">
      <c r="AO442" s="26" t="str">
        <f t="shared" si="8"/>
        <v/>
      </c>
      <c r="AR442" s="86"/>
      <c r="AT442" s="86"/>
      <c r="AV442" s="86"/>
      <c r="AX442" s="78"/>
    </row>
    <row r="443" spans="41:50">
      <c r="AO443" s="26" t="str">
        <f t="shared" si="8"/>
        <v/>
      </c>
      <c r="AR443" s="86"/>
      <c r="AT443" s="86"/>
      <c r="AV443" s="86"/>
      <c r="AX443" s="78"/>
    </row>
    <row r="444" spans="41:50">
      <c r="AO444" s="26" t="str">
        <f t="shared" si="8"/>
        <v/>
      </c>
      <c r="AR444" s="86"/>
      <c r="AT444" s="86"/>
      <c r="AV444" s="86"/>
      <c r="AX444" s="78"/>
    </row>
    <row r="445" spans="41:50">
      <c r="AO445" s="26" t="str">
        <f t="shared" si="8"/>
        <v/>
      </c>
      <c r="AR445" s="86"/>
      <c r="AT445" s="86"/>
      <c r="AV445" s="86"/>
      <c r="AX445" s="78"/>
    </row>
    <row r="446" spans="41:50">
      <c r="AO446" s="26" t="str">
        <f t="shared" si="8"/>
        <v/>
      </c>
      <c r="AR446" s="86"/>
      <c r="AT446" s="86"/>
      <c r="AV446" s="86"/>
      <c r="AX446" s="78"/>
    </row>
    <row r="447" spans="41:50">
      <c r="AO447" s="26" t="str">
        <f t="shared" si="8"/>
        <v/>
      </c>
      <c r="AR447" s="86"/>
      <c r="AT447" s="86"/>
      <c r="AV447" s="86"/>
      <c r="AX447" s="78"/>
    </row>
    <row r="448" spans="41:50">
      <c r="AO448" s="26" t="str">
        <f t="shared" si="8"/>
        <v/>
      </c>
      <c r="AR448" s="86"/>
      <c r="AT448" s="86"/>
      <c r="AV448" s="86"/>
      <c r="AX448" s="78"/>
    </row>
    <row r="449" spans="41:50">
      <c r="AO449" s="26" t="str">
        <f t="shared" si="8"/>
        <v/>
      </c>
      <c r="AR449" s="86"/>
      <c r="AT449" s="86"/>
      <c r="AV449" s="86"/>
      <c r="AX449" s="78"/>
    </row>
    <row r="450" spans="41:50">
      <c r="AO450" s="26" t="str">
        <f t="shared" si="8"/>
        <v/>
      </c>
      <c r="AR450" s="86"/>
      <c r="AT450" s="86"/>
      <c r="AV450" s="86"/>
      <c r="AX450" s="78"/>
    </row>
    <row r="451" spans="41:50">
      <c r="AO451" s="26" t="str">
        <f t="shared" si="8"/>
        <v/>
      </c>
      <c r="AR451" s="86"/>
      <c r="AT451" s="86"/>
      <c r="AV451" s="86"/>
      <c r="AX451" s="78"/>
    </row>
    <row r="452" spans="41:50">
      <c r="AO452" s="26" t="str">
        <f t="shared" si="8"/>
        <v/>
      </c>
      <c r="AR452" s="86"/>
      <c r="AT452" s="86"/>
      <c r="AV452" s="86"/>
      <c r="AX452" s="78"/>
    </row>
    <row r="453" spans="41:50">
      <c r="AO453" s="26" t="str">
        <f t="shared" si="8"/>
        <v/>
      </c>
      <c r="AR453" s="86"/>
      <c r="AT453" s="86"/>
      <c r="AV453" s="86"/>
      <c r="AX453" s="78"/>
    </row>
    <row r="454" spans="41:50">
      <c r="AO454" s="26" t="str">
        <f t="shared" si="8"/>
        <v/>
      </c>
      <c r="AR454" s="86"/>
      <c r="AT454" s="86"/>
      <c r="AV454" s="86"/>
      <c r="AX454" s="78"/>
    </row>
    <row r="455" spans="41:50">
      <c r="AO455" s="26" t="str">
        <f t="shared" si="8"/>
        <v/>
      </c>
      <c r="AR455" s="86"/>
      <c r="AT455" s="86"/>
      <c r="AV455" s="86"/>
      <c r="AX455" s="78"/>
    </row>
    <row r="456" spans="41:50">
      <c r="AO456" s="26" t="str">
        <f t="shared" si="8"/>
        <v/>
      </c>
      <c r="AR456" s="86"/>
      <c r="AT456" s="86"/>
      <c r="AV456" s="86"/>
      <c r="AX456" s="78"/>
    </row>
    <row r="457" spans="41:50">
      <c r="AO457" s="26" t="str">
        <f t="shared" si="8"/>
        <v/>
      </c>
      <c r="AR457" s="86"/>
      <c r="AT457" s="86"/>
      <c r="AV457" s="86"/>
      <c r="AX457" s="78"/>
    </row>
    <row r="458" spans="41:50">
      <c r="AO458" s="26" t="str">
        <f t="shared" si="8"/>
        <v/>
      </c>
      <c r="AR458" s="86"/>
      <c r="AT458" s="86"/>
      <c r="AV458" s="86"/>
      <c r="AX458" s="78"/>
    </row>
    <row r="459" spans="41:50">
      <c r="AO459" s="26" t="str">
        <f t="shared" si="8"/>
        <v/>
      </c>
      <c r="AR459" s="86"/>
      <c r="AT459" s="86"/>
      <c r="AV459" s="86"/>
      <c r="AX459" s="78"/>
    </row>
    <row r="460" spans="41:50">
      <c r="AO460" s="26" t="str">
        <f t="shared" si="8"/>
        <v/>
      </c>
      <c r="AR460" s="86"/>
      <c r="AT460" s="86"/>
      <c r="AV460" s="86"/>
      <c r="AX460" s="78"/>
    </row>
    <row r="461" spans="41:50">
      <c r="AO461" s="26" t="str">
        <f t="shared" si="8"/>
        <v/>
      </c>
      <c r="AR461" s="86"/>
      <c r="AT461" s="86"/>
      <c r="AV461" s="86"/>
      <c r="AX461" s="78"/>
    </row>
    <row r="462" spans="41:50">
      <c r="AO462" s="26" t="str">
        <f t="shared" ref="AO462:AO500" si="9">IF(AN459="","",VLOOKUP(AN459,SEGUIMIENTOS,2,FALSE))</f>
        <v/>
      </c>
      <c r="AR462" s="86"/>
      <c r="AT462" s="86"/>
      <c r="AV462" s="86"/>
      <c r="AX462" s="78"/>
    </row>
    <row r="463" spans="41:50">
      <c r="AO463" s="26" t="str">
        <f t="shared" si="9"/>
        <v/>
      </c>
      <c r="AR463" s="86"/>
      <c r="AT463" s="86"/>
      <c r="AV463" s="86"/>
      <c r="AX463" s="78"/>
    </row>
    <row r="464" spans="41:50">
      <c r="AO464" s="26" t="str">
        <f t="shared" si="9"/>
        <v/>
      </c>
      <c r="AR464" s="86"/>
      <c r="AT464" s="86"/>
      <c r="AV464" s="86"/>
      <c r="AX464" s="78"/>
    </row>
    <row r="465" spans="41:50">
      <c r="AO465" s="26" t="str">
        <f t="shared" si="9"/>
        <v/>
      </c>
      <c r="AR465" s="86"/>
      <c r="AT465" s="86"/>
      <c r="AV465" s="86"/>
      <c r="AX465" s="78"/>
    </row>
    <row r="466" spans="41:50">
      <c r="AO466" s="26" t="str">
        <f t="shared" si="9"/>
        <v/>
      </c>
      <c r="AR466" s="86"/>
      <c r="AT466" s="86"/>
      <c r="AV466" s="86"/>
      <c r="AX466" s="78"/>
    </row>
    <row r="467" spans="41:50">
      <c r="AO467" s="26" t="str">
        <f t="shared" si="9"/>
        <v/>
      </c>
      <c r="AR467" s="86"/>
      <c r="AT467" s="86"/>
      <c r="AV467" s="86"/>
      <c r="AX467" s="78"/>
    </row>
    <row r="468" spans="41:50">
      <c r="AO468" s="26" t="str">
        <f t="shared" si="9"/>
        <v/>
      </c>
      <c r="AR468" s="86"/>
      <c r="AT468" s="86"/>
      <c r="AV468" s="86"/>
      <c r="AX468" s="78"/>
    </row>
    <row r="469" spans="41:50">
      <c r="AO469" s="26" t="str">
        <f t="shared" si="9"/>
        <v/>
      </c>
      <c r="AR469" s="86"/>
      <c r="AT469" s="86"/>
      <c r="AV469" s="86"/>
      <c r="AX469" s="78"/>
    </row>
    <row r="470" spans="41:50">
      <c r="AO470" s="26" t="str">
        <f t="shared" si="9"/>
        <v/>
      </c>
      <c r="AR470" s="86"/>
      <c r="AT470" s="86"/>
      <c r="AV470" s="86"/>
      <c r="AX470" s="78"/>
    </row>
    <row r="471" spans="41:50">
      <c r="AO471" s="26" t="str">
        <f t="shared" si="9"/>
        <v/>
      </c>
      <c r="AR471" s="86"/>
      <c r="AT471" s="86"/>
      <c r="AV471" s="86"/>
      <c r="AX471" s="78"/>
    </row>
    <row r="472" spans="41:50">
      <c r="AO472" s="26" t="str">
        <f t="shared" si="9"/>
        <v/>
      </c>
      <c r="AR472" s="86"/>
      <c r="AT472" s="86"/>
      <c r="AV472" s="86"/>
      <c r="AX472" s="78"/>
    </row>
    <row r="473" spans="41:50">
      <c r="AO473" s="26" t="str">
        <f t="shared" si="9"/>
        <v/>
      </c>
      <c r="AR473" s="86"/>
      <c r="AT473" s="86"/>
      <c r="AV473" s="86"/>
      <c r="AX473" s="78"/>
    </row>
    <row r="474" spans="41:50">
      <c r="AO474" s="26" t="str">
        <f t="shared" si="9"/>
        <v/>
      </c>
      <c r="AR474" s="86"/>
      <c r="AT474" s="86"/>
      <c r="AV474" s="86"/>
      <c r="AX474" s="78"/>
    </row>
    <row r="475" spans="41:50">
      <c r="AO475" s="26" t="str">
        <f t="shared" si="9"/>
        <v/>
      </c>
      <c r="AR475" s="86"/>
      <c r="AT475" s="86"/>
      <c r="AV475" s="86"/>
      <c r="AX475" s="78"/>
    </row>
    <row r="476" spans="41:50">
      <c r="AO476" s="26" t="str">
        <f t="shared" si="9"/>
        <v/>
      </c>
      <c r="AR476" s="86"/>
      <c r="AT476" s="86"/>
      <c r="AV476" s="86"/>
      <c r="AX476" s="78"/>
    </row>
    <row r="477" spans="41:50">
      <c r="AO477" s="26" t="str">
        <f t="shared" si="9"/>
        <v/>
      </c>
      <c r="AR477" s="86"/>
      <c r="AT477" s="86"/>
      <c r="AV477" s="86"/>
      <c r="AX477" s="78"/>
    </row>
    <row r="478" spans="41:50">
      <c r="AO478" s="26" t="str">
        <f t="shared" si="9"/>
        <v/>
      </c>
      <c r="AR478" s="86"/>
      <c r="AT478" s="86"/>
      <c r="AV478" s="86"/>
      <c r="AX478" s="78"/>
    </row>
    <row r="479" spans="41:50">
      <c r="AO479" s="26" t="str">
        <f t="shared" si="9"/>
        <v/>
      </c>
      <c r="AR479" s="86"/>
      <c r="AT479" s="86"/>
      <c r="AV479" s="86"/>
      <c r="AX479" s="78"/>
    </row>
    <row r="480" spans="41:50">
      <c r="AO480" s="26" t="str">
        <f t="shared" si="9"/>
        <v/>
      </c>
      <c r="AR480" s="86"/>
      <c r="AT480" s="86"/>
      <c r="AV480" s="86"/>
      <c r="AX480" s="78"/>
    </row>
    <row r="481" spans="41:50">
      <c r="AO481" s="26" t="str">
        <f t="shared" si="9"/>
        <v/>
      </c>
      <c r="AR481" s="86"/>
      <c r="AT481" s="86"/>
      <c r="AV481" s="86"/>
      <c r="AX481" s="78"/>
    </row>
    <row r="482" spans="41:50">
      <c r="AO482" s="26" t="str">
        <f t="shared" si="9"/>
        <v/>
      </c>
      <c r="AR482" s="86"/>
      <c r="AT482" s="86"/>
      <c r="AV482" s="86"/>
      <c r="AX482" s="78"/>
    </row>
    <row r="483" spans="41:50">
      <c r="AO483" s="26" t="str">
        <f t="shared" si="9"/>
        <v/>
      </c>
      <c r="AR483" s="86"/>
      <c r="AT483" s="86"/>
      <c r="AV483" s="86"/>
      <c r="AX483" s="78"/>
    </row>
    <row r="484" spans="41:50">
      <c r="AO484" s="26" t="str">
        <f t="shared" si="9"/>
        <v/>
      </c>
      <c r="AR484" s="86"/>
      <c r="AT484" s="86"/>
      <c r="AV484" s="86"/>
      <c r="AX484" s="78"/>
    </row>
    <row r="485" spans="41:50">
      <c r="AO485" s="26" t="str">
        <f t="shared" si="9"/>
        <v/>
      </c>
      <c r="AR485" s="86"/>
      <c r="AT485" s="86"/>
      <c r="AV485" s="86"/>
      <c r="AX485" s="78"/>
    </row>
    <row r="486" spans="41:50">
      <c r="AO486" s="26" t="str">
        <f t="shared" si="9"/>
        <v/>
      </c>
      <c r="AR486" s="86"/>
      <c r="AT486" s="86"/>
      <c r="AV486" s="86"/>
      <c r="AX486" s="78"/>
    </row>
    <row r="487" spans="41:50">
      <c r="AO487" s="26" t="str">
        <f t="shared" si="9"/>
        <v/>
      </c>
      <c r="AR487" s="86"/>
      <c r="AT487" s="86"/>
      <c r="AV487" s="86"/>
      <c r="AX487" s="78"/>
    </row>
    <row r="488" spans="41:50">
      <c r="AO488" s="26" t="str">
        <f t="shared" si="9"/>
        <v/>
      </c>
      <c r="AR488" s="86"/>
      <c r="AT488" s="86"/>
      <c r="AV488" s="86"/>
      <c r="AX488" s="78"/>
    </row>
    <row r="489" spans="41:50">
      <c r="AO489" s="26" t="str">
        <f t="shared" si="9"/>
        <v/>
      </c>
      <c r="AR489" s="86"/>
      <c r="AT489" s="86"/>
      <c r="AV489" s="86"/>
      <c r="AX489" s="78"/>
    </row>
    <row r="490" spans="41:50">
      <c r="AO490" s="26" t="str">
        <f t="shared" si="9"/>
        <v/>
      </c>
      <c r="AR490" s="86"/>
      <c r="AT490" s="86"/>
      <c r="AV490" s="86"/>
      <c r="AX490" s="78"/>
    </row>
    <row r="491" spans="41:50">
      <c r="AO491" s="26" t="str">
        <f t="shared" si="9"/>
        <v/>
      </c>
      <c r="AR491" s="86"/>
      <c r="AT491" s="86"/>
      <c r="AV491" s="86"/>
      <c r="AX491" s="78"/>
    </row>
    <row r="492" spans="41:50">
      <c r="AO492" s="26" t="str">
        <f t="shared" si="9"/>
        <v/>
      </c>
      <c r="AR492" s="86"/>
      <c r="AT492" s="86"/>
      <c r="AV492" s="86"/>
      <c r="AX492" s="78"/>
    </row>
    <row r="493" spans="41:50">
      <c r="AO493" s="26" t="str">
        <f t="shared" si="9"/>
        <v/>
      </c>
      <c r="AR493" s="86"/>
      <c r="AT493" s="86"/>
      <c r="AV493" s="86"/>
      <c r="AX493" s="78"/>
    </row>
    <row r="494" spans="41:50">
      <c r="AO494" s="26" t="str">
        <f t="shared" si="9"/>
        <v/>
      </c>
      <c r="AR494" s="86"/>
      <c r="AT494" s="86"/>
      <c r="AV494" s="86"/>
      <c r="AX494" s="78"/>
    </row>
    <row r="495" spans="41:50">
      <c r="AO495" s="26" t="str">
        <f t="shared" si="9"/>
        <v/>
      </c>
      <c r="AR495" s="86"/>
      <c r="AT495" s="86"/>
      <c r="AV495" s="86"/>
      <c r="AX495" s="78"/>
    </row>
    <row r="496" spans="41:50">
      <c r="AO496" s="26" t="str">
        <f t="shared" si="9"/>
        <v/>
      </c>
      <c r="AR496" s="86"/>
      <c r="AT496" s="86"/>
      <c r="AV496" s="86"/>
      <c r="AX496" s="78"/>
    </row>
    <row r="497" spans="41:50">
      <c r="AO497" s="26" t="str">
        <f t="shared" si="9"/>
        <v/>
      </c>
      <c r="AR497" s="86"/>
      <c r="AT497" s="86"/>
      <c r="AV497" s="86"/>
      <c r="AX497" s="78"/>
    </row>
    <row r="498" spans="41:50">
      <c r="AO498" s="26" t="str">
        <f t="shared" si="9"/>
        <v/>
      </c>
      <c r="AR498" s="86"/>
      <c r="AT498" s="86"/>
      <c r="AV498" s="86"/>
      <c r="AX498" s="78"/>
    </row>
    <row r="499" spans="41:50">
      <c r="AO499" s="26" t="str">
        <f t="shared" si="9"/>
        <v/>
      </c>
      <c r="AR499" s="86"/>
      <c r="AT499" s="86"/>
      <c r="AV499" s="86"/>
      <c r="AX499" s="78"/>
    </row>
    <row r="500" spans="41:50">
      <c r="AO500" s="26" t="str">
        <f t="shared" si="9"/>
        <v/>
      </c>
      <c r="AR500" s="86"/>
      <c r="AT500" s="86"/>
      <c r="AV500" s="86"/>
      <c r="AX500" s="78"/>
    </row>
    <row r="501" spans="41:50">
      <c r="AR501" s="86"/>
      <c r="AT501" s="86"/>
      <c r="AV501" s="86"/>
      <c r="AX501" s="78"/>
    </row>
    <row r="502" spans="41:50">
      <c r="AR502" s="86"/>
      <c r="AT502" s="86"/>
      <c r="AV502" s="86"/>
      <c r="AX502" s="78"/>
    </row>
    <row r="503" spans="41:50">
      <c r="AR503" s="86"/>
      <c r="AT503" s="86"/>
      <c r="AV503" s="86"/>
      <c r="AX503" s="78"/>
    </row>
    <row r="504" spans="41:50">
      <c r="AR504" s="86"/>
      <c r="AT504" s="86"/>
      <c r="AV504" s="86"/>
      <c r="AX504" s="78"/>
    </row>
    <row r="505" spans="41:50">
      <c r="AR505" s="86"/>
      <c r="AT505" s="86"/>
      <c r="AV505" s="86"/>
      <c r="AX505" s="78"/>
    </row>
    <row r="506" spans="41:50">
      <c r="AR506" s="86"/>
      <c r="AT506" s="86"/>
      <c r="AV506" s="86"/>
      <c r="AX506" s="78"/>
    </row>
    <row r="507" spans="41:50">
      <c r="AR507" s="86"/>
      <c r="AT507" s="86"/>
      <c r="AV507" s="86"/>
      <c r="AX507" s="78"/>
    </row>
    <row r="508" spans="41:50">
      <c r="AR508" s="86"/>
      <c r="AT508" s="86"/>
      <c r="AV508" s="86"/>
      <c r="AX508" s="78"/>
    </row>
    <row r="509" spans="41:50">
      <c r="AR509" s="86"/>
      <c r="AT509" s="86"/>
      <c r="AV509" s="86"/>
      <c r="AX509" s="78"/>
    </row>
    <row r="510" spans="41:50">
      <c r="AR510" s="86"/>
      <c r="AT510" s="86"/>
      <c r="AV510" s="86"/>
      <c r="AX510" s="78"/>
    </row>
    <row r="511" spans="41:50">
      <c r="AR511" s="86"/>
      <c r="AT511" s="86"/>
      <c r="AV511" s="86"/>
      <c r="AX511" s="78"/>
    </row>
    <row r="512" spans="41:50">
      <c r="AR512" s="86"/>
      <c r="AT512" s="86"/>
      <c r="AV512" s="86"/>
      <c r="AX512" s="78"/>
    </row>
    <row r="513" spans="44:50">
      <c r="AR513" s="86"/>
      <c r="AT513" s="86"/>
      <c r="AV513" s="86"/>
      <c r="AX513" s="78"/>
    </row>
    <row r="514" spans="44:50">
      <c r="AR514" s="86"/>
      <c r="AT514" s="86"/>
      <c r="AV514" s="86"/>
      <c r="AX514" s="78"/>
    </row>
    <row r="515" spans="44:50">
      <c r="AR515" s="86"/>
      <c r="AT515" s="86"/>
      <c r="AV515" s="86"/>
      <c r="AX515" s="78"/>
    </row>
    <row r="516" spans="44:50">
      <c r="AR516" s="86"/>
      <c r="AT516" s="86"/>
      <c r="AV516" s="86"/>
      <c r="AX516" s="78"/>
    </row>
    <row r="517" spans="44:50">
      <c r="AR517" s="86"/>
      <c r="AT517" s="86"/>
      <c r="AV517" s="86"/>
      <c r="AX517" s="78"/>
    </row>
    <row r="518" spans="44:50">
      <c r="AR518" s="86"/>
      <c r="AT518" s="86"/>
      <c r="AV518" s="86"/>
      <c r="AX518" s="78"/>
    </row>
    <row r="519" spans="44:50">
      <c r="AR519" s="86"/>
      <c r="AT519" s="86"/>
      <c r="AV519" s="86"/>
      <c r="AX519" s="78"/>
    </row>
    <row r="520" spans="44:50">
      <c r="AR520" s="86"/>
      <c r="AT520" s="86"/>
      <c r="AV520" s="86"/>
      <c r="AX520" s="78"/>
    </row>
    <row r="521" spans="44:50">
      <c r="AR521" s="86"/>
      <c r="AT521" s="86"/>
      <c r="AV521" s="86"/>
      <c r="AX521" s="78"/>
    </row>
    <row r="522" spans="44:50">
      <c r="AR522" s="86"/>
      <c r="AT522" s="86"/>
      <c r="AV522" s="86"/>
      <c r="AX522" s="78"/>
    </row>
    <row r="523" spans="44:50">
      <c r="AR523" s="86"/>
      <c r="AT523" s="86"/>
      <c r="AV523" s="86"/>
      <c r="AX523" s="78"/>
    </row>
    <row r="524" spans="44:50">
      <c r="AR524" s="86"/>
      <c r="AT524" s="86"/>
      <c r="AV524" s="86"/>
      <c r="AX524" s="78"/>
    </row>
    <row r="525" spans="44:50">
      <c r="AR525" s="86"/>
      <c r="AT525" s="86"/>
      <c r="AV525" s="86"/>
      <c r="AX525" s="78"/>
    </row>
    <row r="526" spans="44:50">
      <c r="AR526" s="86"/>
      <c r="AT526" s="86"/>
      <c r="AV526" s="86"/>
      <c r="AX526" s="78"/>
    </row>
    <row r="527" spans="44:50">
      <c r="AR527" s="86"/>
      <c r="AT527" s="86"/>
      <c r="AV527" s="86"/>
      <c r="AX527" s="78"/>
    </row>
    <row r="528" spans="44:50">
      <c r="AR528" s="86"/>
      <c r="AT528" s="86"/>
      <c r="AV528" s="86"/>
      <c r="AX528" s="78"/>
    </row>
    <row r="529" spans="44:50">
      <c r="AR529" s="86"/>
      <c r="AT529" s="86"/>
      <c r="AV529" s="86"/>
      <c r="AX529" s="78"/>
    </row>
    <row r="530" spans="44:50">
      <c r="AR530" s="86"/>
      <c r="AT530" s="86"/>
      <c r="AV530" s="86"/>
      <c r="AX530" s="78"/>
    </row>
    <row r="531" spans="44:50">
      <c r="AR531" s="86"/>
      <c r="AT531" s="86"/>
      <c r="AV531" s="86"/>
      <c r="AX531" s="78"/>
    </row>
    <row r="532" spans="44:50">
      <c r="AR532" s="86"/>
      <c r="AT532" s="86"/>
      <c r="AV532" s="86"/>
      <c r="AX532" s="78"/>
    </row>
    <row r="533" spans="44:50">
      <c r="AR533" s="86"/>
      <c r="AT533" s="86"/>
      <c r="AV533" s="86"/>
      <c r="AX533" s="78"/>
    </row>
    <row r="534" spans="44:50">
      <c r="AR534" s="86"/>
      <c r="AT534" s="86"/>
      <c r="AV534" s="86"/>
      <c r="AX534" s="78"/>
    </row>
    <row r="535" spans="44:50">
      <c r="AR535" s="86"/>
      <c r="AT535" s="86"/>
      <c r="AV535" s="86"/>
      <c r="AX535" s="78"/>
    </row>
    <row r="536" spans="44:50">
      <c r="AR536" s="86"/>
      <c r="AT536" s="86"/>
      <c r="AV536" s="86"/>
      <c r="AX536" s="78"/>
    </row>
    <row r="537" spans="44:50">
      <c r="AR537" s="86"/>
      <c r="AT537" s="86"/>
      <c r="AV537" s="86"/>
      <c r="AX537" s="78"/>
    </row>
    <row r="538" spans="44:50">
      <c r="AR538" s="86"/>
      <c r="AT538" s="86"/>
      <c r="AV538" s="86"/>
      <c r="AX538" s="78"/>
    </row>
    <row r="539" spans="44:50">
      <c r="AR539" s="86"/>
      <c r="AT539" s="86"/>
      <c r="AV539" s="86"/>
      <c r="AX539" s="78"/>
    </row>
    <row r="540" spans="44:50">
      <c r="AR540" s="86"/>
      <c r="AT540" s="86"/>
      <c r="AV540" s="86"/>
      <c r="AX540" s="78"/>
    </row>
    <row r="541" spans="44:50">
      <c r="AR541" s="86"/>
      <c r="AT541" s="86"/>
      <c r="AV541" s="86"/>
      <c r="AX541" s="78"/>
    </row>
    <row r="542" spans="44:50">
      <c r="AR542" s="86"/>
      <c r="AT542" s="86"/>
      <c r="AV542" s="86"/>
      <c r="AX542" s="78"/>
    </row>
    <row r="543" spans="44:50">
      <c r="AR543" s="86"/>
      <c r="AT543" s="86"/>
      <c r="AV543" s="86"/>
      <c r="AX543" s="78"/>
    </row>
    <row r="544" spans="44:50">
      <c r="AR544" s="86"/>
      <c r="AT544" s="86"/>
      <c r="AV544" s="86"/>
      <c r="AX544" s="78"/>
    </row>
    <row r="545" spans="44:50">
      <c r="AR545" s="86"/>
      <c r="AT545" s="86"/>
      <c r="AV545" s="86"/>
      <c r="AX545" s="78"/>
    </row>
    <row r="546" spans="44:50">
      <c r="AR546" s="86"/>
      <c r="AT546" s="86"/>
      <c r="AV546" s="86"/>
      <c r="AX546" s="78"/>
    </row>
    <row r="547" spans="44:50">
      <c r="AR547" s="86"/>
      <c r="AT547" s="86"/>
      <c r="AV547" s="86"/>
      <c r="AX547" s="78"/>
    </row>
    <row r="548" spans="44:50">
      <c r="AR548" s="86"/>
      <c r="AT548" s="86"/>
      <c r="AV548" s="86"/>
      <c r="AX548" s="78"/>
    </row>
    <row r="549" spans="44:50">
      <c r="AR549" s="86"/>
      <c r="AT549" s="86"/>
      <c r="AV549" s="86"/>
      <c r="AX549" s="78"/>
    </row>
    <row r="550" spans="44:50">
      <c r="AR550" s="86"/>
      <c r="AT550" s="86"/>
      <c r="AV550" s="86"/>
      <c r="AX550" s="78"/>
    </row>
    <row r="551" spans="44:50">
      <c r="AR551" s="86"/>
      <c r="AT551" s="86"/>
      <c r="AV551" s="86"/>
      <c r="AX551" s="78"/>
    </row>
    <row r="552" spans="44:50">
      <c r="AR552" s="86"/>
      <c r="AT552" s="86"/>
      <c r="AV552" s="86"/>
      <c r="AX552" s="78"/>
    </row>
    <row r="553" spans="44:50">
      <c r="AR553" s="86"/>
      <c r="AT553" s="86"/>
      <c r="AV553" s="86"/>
      <c r="AX553" s="78"/>
    </row>
    <row r="554" spans="44:50">
      <c r="AR554" s="86"/>
      <c r="AT554" s="86"/>
      <c r="AV554" s="86"/>
      <c r="AX554" s="78"/>
    </row>
    <row r="555" spans="44:50">
      <c r="AR555" s="86"/>
      <c r="AT555" s="86"/>
      <c r="AV555" s="86"/>
      <c r="AX555" s="78"/>
    </row>
    <row r="556" spans="44:50">
      <c r="AR556" s="86"/>
      <c r="AT556" s="86"/>
      <c r="AV556" s="86"/>
      <c r="AX556" s="78"/>
    </row>
    <row r="557" spans="44:50">
      <c r="AR557" s="86"/>
      <c r="AT557" s="86"/>
      <c r="AV557" s="86"/>
      <c r="AX557" s="78"/>
    </row>
    <row r="558" spans="44:50">
      <c r="AR558" s="86"/>
      <c r="AT558" s="86"/>
      <c r="AV558" s="86"/>
      <c r="AX558" s="78"/>
    </row>
    <row r="559" spans="44:50">
      <c r="AR559" s="86"/>
      <c r="AT559" s="86"/>
      <c r="AV559" s="86"/>
      <c r="AX559" s="78"/>
    </row>
    <row r="560" spans="44:50">
      <c r="AR560" s="86"/>
      <c r="AT560" s="86"/>
      <c r="AV560" s="86"/>
      <c r="AX560" s="78"/>
    </row>
    <row r="561" spans="44:50">
      <c r="AR561" s="86"/>
      <c r="AT561" s="86"/>
      <c r="AV561" s="86"/>
      <c r="AX561" s="78"/>
    </row>
    <row r="562" spans="44:50">
      <c r="AR562" s="86"/>
      <c r="AT562" s="86"/>
      <c r="AV562" s="86"/>
      <c r="AX562" s="78"/>
    </row>
    <row r="563" spans="44:50">
      <c r="AR563" s="86"/>
      <c r="AT563" s="86"/>
      <c r="AV563" s="86"/>
      <c r="AX563" s="78"/>
    </row>
    <row r="564" spans="44:50">
      <c r="AR564" s="86"/>
      <c r="AT564" s="86"/>
      <c r="AV564" s="86"/>
      <c r="AX564" s="78"/>
    </row>
    <row r="565" spans="44:50">
      <c r="AR565" s="86"/>
      <c r="AT565" s="86"/>
      <c r="AV565" s="86"/>
      <c r="AX565" s="78"/>
    </row>
    <row r="566" spans="44:50">
      <c r="AR566" s="86"/>
      <c r="AT566" s="86"/>
      <c r="AV566" s="86"/>
      <c r="AX566" s="78"/>
    </row>
    <row r="567" spans="44:50">
      <c r="AR567" s="86"/>
      <c r="AT567" s="86"/>
      <c r="AV567" s="86"/>
      <c r="AX567" s="78"/>
    </row>
    <row r="568" spans="44:50">
      <c r="AR568" s="86"/>
      <c r="AT568" s="86"/>
      <c r="AV568" s="86"/>
      <c r="AX568" s="78"/>
    </row>
    <row r="569" spans="44:50">
      <c r="AR569" s="86"/>
      <c r="AT569" s="86"/>
      <c r="AV569" s="86"/>
      <c r="AX569" s="78"/>
    </row>
    <row r="570" spans="44:50">
      <c r="AR570" s="86"/>
      <c r="AT570" s="86"/>
      <c r="AV570" s="86"/>
      <c r="AX570" s="78"/>
    </row>
    <row r="571" spans="44:50">
      <c r="AR571" s="86"/>
      <c r="AT571" s="86"/>
      <c r="AV571" s="86"/>
      <c r="AX571" s="78"/>
    </row>
    <row r="572" spans="44:50">
      <c r="AR572" s="86"/>
      <c r="AT572" s="86"/>
      <c r="AV572" s="86"/>
      <c r="AX572" s="78"/>
    </row>
    <row r="573" spans="44:50">
      <c r="AR573" s="86"/>
      <c r="AT573" s="86"/>
      <c r="AV573" s="86"/>
      <c r="AX573" s="78"/>
    </row>
    <row r="574" spans="44:50">
      <c r="AR574" s="86"/>
      <c r="AT574" s="86"/>
      <c r="AV574" s="86"/>
      <c r="AX574" s="78"/>
    </row>
    <row r="575" spans="44:50">
      <c r="AR575" s="86"/>
      <c r="AT575" s="86"/>
      <c r="AV575" s="86"/>
      <c r="AX575" s="78"/>
    </row>
    <row r="576" spans="44:50">
      <c r="AR576" s="86"/>
      <c r="AT576" s="86"/>
      <c r="AV576" s="86"/>
      <c r="AX576" s="78"/>
    </row>
    <row r="577" spans="44:50">
      <c r="AR577" s="86"/>
      <c r="AT577" s="86"/>
      <c r="AV577" s="86"/>
      <c r="AX577" s="78"/>
    </row>
    <row r="578" spans="44:50">
      <c r="AR578" s="86"/>
      <c r="AT578" s="86"/>
      <c r="AV578" s="86"/>
      <c r="AX578" s="78"/>
    </row>
    <row r="579" spans="44:50">
      <c r="AR579" s="86"/>
      <c r="AT579" s="86"/>
      <c r="AV579" s="86"/>
      <c r="AX579" s="78"/>
    </row>
    <row r="580" spans="44:50">
      <c r="AR580" s="86"/>
      <c r="AT580" s="86"/>
      <c r="AV580" s="86"/>
      <c r="AX580" s="78"/>
    </row>
    <row r="581" spans="44:50">
      <c r="AR581" s="86"/>
      <c r="AT581" s="86"/>
      <c r="AV581" s="86"/>
      <c r="AX581" s="78"/>
    </row>
    <row r="582" spans="44:50">
      <c r="AR582" s="86"/>
      <c r="AT582" s="86"/>
      <c r="AV582" s="86"/>
      <c r="AX582" s="78"/>
    </row>
    <row r="583" spans="44:50">
      <c r="AR583" s="86"/>
      <c r="AT583" s="86"/>
      <c r="AV583" s="86"/>
      <c r="AX583" s="78"/>
    </row>
    <row r="584" spans="44:50">
      <c r="AR584" s="86"/>
      <c r="AT584" s="86"/>
      <c r="AV584" s="86"/>
      <c r="AX584" s="78"/>
    </row>
    <row r="585" spans="44:50">
      <c r="AR585" s="86"/>
      <c r="AT585" s="86"/>
      <c r="AV585" s="86"/>
      <c r="AX585" s="78"/>
    </row>
    <row r="586" spans="44:50">
      <c r="AR586" s="86"/>
      <c r="AT586" s="86"/>
      <c r="AV586" s="86"/>
      <c r="AX586" s="78"/>
    </row>
    <row r="587" spans="44:50">
      <c r="AR587" s="86"/>
      <c r="AT587" s="86"/>
      <c r="AV587" s="86"/>
      <c r="AX587" s="78"/>
    </row>
    <row r="588" spans="44:50">
      <c r="AR588" s="86"/>
      <c r="AT588" s="86"/>
      <c r="AV588" s="86"/>
      <c r="AX588" s="78"/>
    </row>
    <row r="589" spans="44:50">
      <c r="AR589" s="86"/>
      <c r="AT589" s="86"/>
      <c r="AV589" s="86"/>
      <c r="AX589" s="78"/>
    </row>
    <row r="590" spans="44:50">
      <c r="AR590" s="86"/>
      <c r="AT590" s="86"/>
      <c r="AV590" s="86"/>
      <c r="AX590" s="78"/>
    </row>
    <row r="591" spans="44:50">
      <c r="AR591" s="86"/>
      <c r="AT591" s="86"/>
      <c r="AV591" s="86"/>
      <c r="AX591" s="78"/>
    </row>
    <row r="592" spans="44:50">
      <c r="AR592" s="86"/>
      <c r="AT592" s="86"/>
      <c r="AV592" s="86"/>
      <c r="AX592" s="78"/>
    </row>
    <row r="593" spans="44:50">
      <c r="AR593" s="86"/>
      <c r="AT593" s="86"/>
      <c r="AV593" s="86"/>
      <c r="AX593" s="78"/>
    </row>
    <row r="594" spans="44:50">
      <c r="AR594" s="86"/>
      <c r="AT594" s="86"/>
      <c r="AV594" s="86"/>
      <c r="AX594" s="78"/>
    </row>
    <row r="595" spans="44:50">
      <c r="AR595" s="86"/>
      <c r="AT595" s="86"/>
      <c r="AV595" s="86"/>
      <c r="AX595" s="78"/>
    </row>
    <row r="596" spans="44:50">
      <c r="AR596" s="86"/>
      <c r="AT596" s="86"/>
      <c r="AV596" s="86"/>
      <c r="AX596" s="78"/>
    </row>
    <row r="597" spans="44:50">
      <c r="AR597" s="86"/>
      <c r="AT597" s="86"/>
      <c r="AV597" s="86"/>
      <c r="AX597" s="78"/>
    </row>
    <row r="598" spans="44:50">
      <c r="AR598" s="86"/>
      <c r="AT598" s="86"/>
      <c r="AV598" s="86"/>
      <c r="AX598" s="78"/>
    </row>
    <row r="599" spans="44:50">
      <c r="AR599" s="86"/>
      <c r="AT599" s="86"/>
      <c r="AV599" s="86"/>
      <c r="AX599" s="78"/>
    </row>
    <row r="600" spans="44:50">
      <c r="AR600" s="86"/>
      <c r="AT600" s="86"/>
      <c r="AV600" s="86"/>
      <c r="AX600" s="78"/>
    </row>
    <row r="601" spans="44:50">
      <c r="AR601" s="86"/>
      <c r="AT601" s="86"/>
      <c r="AV601" s="86"/>
      <c r="AX601" s="78"/>
    </row>
    <row r="602" spans="44:50">
      <c r="AR602" s="86"/>
      <c r="AT602" s="86"/>
      <c r="AV602" s="86"/>
      <c r="AX602" s="78"/>
    </row>
    <row r="603" spans="44:50">
      <c r="AR603" s="86"/>
      <c r="AT603" s="86"/>
      <c r="AV603" s="86"/>
      <c r="AX603" s="78"/>
    </row>
    <row r="604" spans="44:50">
      <c r="AR604" s="86"/>
      <c r="AT604" s="86"/>
      <c r="AV604" s="86"/>
      <c r="AX604" s="78"/>
    </row>
    <row r="605" spans="44:50">
      <c r="AR605" s="86"/>
      <c r="AT605" s="86"/>
      <c r="AV605" s="86"/>
      <c r="AX605" s="78"/>
    </row>
    <row r="606" spans="44:50">
      <c r="AR606" s="86"/>
      <c r="AT606" s="86"/>
      <c r="AV606" s="86"/>
      <c r="AX606" s="78"/>
    </row>
    <row r="607" spans="44:50">
      <c r="AR607" s="86"/>
      <c r="AT607" s="86"/>
      <c r="AV607" s="86"/>
      <c r="AX607" s="78"/>
    </row>
    <row r="608" spans="44:50">
      <c r="AR608" s="86"/>
      <c r="AT608" s="86"/>
      <c r="AV608" s="86"/>
      <c r="AX608" s="78"/>
    </row>
    <row r="609" spans="44:50">
      <c r="AR609" s="86"/>
      <c r="AT609" s="86"/>
      <c r="AV609" s="86"/>
      <c r="AX609" s="78"/>
    </row>
    <row r="610" spans="44:50">
      <c r="AR610" s="86"/>
      <c r="AT610" s="86"/>
      <c r="AV610" s="86"/>
      <c r="AX610" s="78"/>
    </row>
    <row r="611" spans="44:50">
      <c r="AR611" s="86"/>
      <c r="AT611" s="86"/>
      <c r="AV611" s="86"/>
      <c r="AX611" s="78"/>
    </row>
    <row r="612" spans="44:50">
      <c r="AR612" s="86"/>
      <c r="AT612" s="86"/>
      <c r="AV612" s="86"/>
      <c r="AX612" s="78"/>
    </row>
    <row r="613" spans="44:50">
      <c r="AR613" s="86"/>
      <c r="AT613" s="86"/>
      <c r="AV613" s="86"/>
      <c r="AX613" s="78"/>
    </row>
    <row r="614" spans="44:50">
      <c r="AR614" s="86"/>
      <c r="AT614" s="86"/>
      <c r="AV614" s="86"/>
      <c r="AX614" s="78"/>
    </row>
    <row r="615" spans="44:50">
      <c r="AR615" s="86"/>
      <c r="AT615" s="86"/>
      <c r="AV615" s="86"/>
      <c r="AX615" s="78"/>
    </row>
    <row r="616" spans="44:50">
      <c r="AR616" s="86"/>
      <c r="AT616" s="86"/>
      <c r="AV616" s="86"/>
      <c r="AX616" s="78"/>
    </row>
    <row r="617" spans="44:50">
      <c r="AR617" s="86"/>
      <c r="AT617" s="86"/>
      <c r="AV617" s="86"/>
      <c r="AX617" s="78"/>
    </row>
    <row r="618" spans="44:50">
      <c r="AR618" s="86"/>
      <c r="AT618" s="86"/>
      <c r="AV618" s="86"/>
      <c r="AX618" s="78"/>
    </row>
    <row r="619" spans="44:50">
      <c r="AR619" s="86"/>
      <c r="AT619" s="86"/>
      <c r="AV619" s="86"/>
      <c r="AX619" s="78"/>
    </row>
    <row r="620" spans="44:50">
      <c r="AR620" s="86"/>
      <c r="AT620" s="86"/>
      <c r="AV620" s="86"/>
      <c r="AX620" s="78"/>
    </row>
    <row r="621" spans="44:50">
      <c r="AR621" s="86"/>
      <c r="AT621" s="86"/>
      <c r="AV621" s="86"/>
      <c r="AX621" s="78"/>
    </row>
    <row r="622" spans="44:50">
      <c r="AR622" s="86"/>
      <c r="AT622" s="86"/>
      <c r="AV622" s="86"/>
      <c r="AX622" s="78"/>
    </row>
    <row r="623" spans="44:50">
      <c r="AR623" s="86"/>
      <c r="AT623" s="86"/>
      <c r="AV623" s="86"/>
      <c r="AX623" s="78"/>
    </row>
    <row r="624" spans="44:50">
      <c r="AR624" s="86"/>
      <c r="AT624" s="86"/>
      <c r="AV624" s="86"/>
      <c r="AX624" s="78"/>
    </row>
    <row r="625" spans="44:50">
      <c r="AR625" s="86"/>
      <c r="AT625" s="86"/>
      <c r="AV625" s="86"/>
      <c r="AX625" s="78"/>
    </row>
    <row r="626" spans="44:50">
      <c r="AR626" s="86"/>
      <c r="AT626" s="86"/>
      <c r="AV626" s="86"/>
      <c r="AX626" s="78"/>
    </row>
    <row r="627" spans="44:50">
      <c r="AR627" s="86"/>
      <c r="AT627" s="86"/>
      <c r="AV627" s="86"/>
      <c r="AX627" s="78"/>
    </row>
    <row r="628" spans="44:50">
      <c r="AR628" s="86"/>
      <c r="AT628" s="86"/>
      <c r="AV628" s="86"/>
      <c r="AX628" s="78"/>
    </row>
    <row r="629" spans="44:50">
      <c r="AR629" s="86"/>
      <c r="AT629" s="86"/>
      <c r="AV629" s="86"/>
      <c r="AX629" s="78"/>
    </row>
    <row r="630" spans="44:50">
      <c r="AR630" s="86"/>
      <c r="AT630" s="86"/>
      <c r="AV630" s="86"/>
      <c r="AX630" s="78"/>
    </row>
    <row r="631" spans="44:50">
      <c r="AR631" s="86"/>
      <c r="AT631" s="86"/>
      <c r="AV631" s="86"/>
      <c r="AX631" s="78"/>
    </row>
    <row r="632" spans="44:50">
      <c r="AR632" s="86"/>
      <c r="AT632" s="86"/>
      <c r="AV632" s="86"/>
      <c r="AX632" s="78"/>
    </row>
    <row r="633" spans="44:50">
      <c r="AR633" s="86"/>
      <c r="AT633" s="86"/>
      <c r="AV633" s="86"/>
      <c r="AX633" s="78"/>
    </row>
    <row r="634" spans="44:50">
      <c r="AR634" s="86"/>
      <c r="AT634" s="86"/>
      <c r="AV634" s="86"/>
      <c r="AX634" s="78"/>
    </row>
    <row r="635" spans="44:50">
      <c r="AR635" s="86"/>
      <c r="AT635" s="86"/>
      <c r="AV635" s="86"/>
      <c r="AX635" s="78"/>
    </row>
    <row r="636" spans="44:50">
      <c r="AR636" s="86"/>
      <c r="AT636" s="86"/>
      <c r="AV636" s="86"/>
      <c r="AX636" s="78"/>
    </row>
    <row r="637" spans="44:50">
      <c r="AR637" s="86"/>
      <c r="AT637" s="86"/>
      <c r="AV637" s="86"/>
      <c r="AX637" s="78"/>
    </row>
    <row r="638" spans="44:50">
      <c r="AR638" s="86"/>
      <c r="AT638" s="86"/>
      <c r="AV638" s="86"/>
      <c r="AX638" s="78"/>
    </row>
    <row r="639" spans="44:50">
      <c r="AR639" s="86"/>
      <c r="AT639" s="86"/>
      <c r="AV639" s="86"/>
      <c r="AX639" s="78"/>
    </row>
    <row r="640" spans="44:50">
      <c r="AR640" s="86"/>
      <c r="AT640" s="86"/>
      <c r="AV640" s="86"/>
      <c r="AX640" s="78"/>
    </row>
    <row r="641" spans="44:50">
      <c r="AR641" s="86"/>
      <c r="AT641" s="86"/>
      <c r="AV641" s="86"/>
      <c r="AX641" s="78"/>
    </row>
    <row r="642" spans="44:50">
      <c r="AR642" s="86"/>
      <c r="AT642" s="86"/>
      <c r="AV642" s="86"/>
      <c r="AX642" s="78"/>
    </row>
    <row r="643" spans="44:50">
      <c r="AR643" s="86"/>
      <c r="AT643" s="86"/>
      <c r="AV643" s="86"/>
      <c r="AX643" s="78"/>
    </row>
    <row r="644" spans="44:50">
      <c r="AR644" s="86"/>
      <c r="AT644" s="86"/>
      <c r="AV644" s="86"/>
      <c r="AX644" s="78"/>
    </row>
    <row r="645" spans="44:50">
      <c r="AR645" s="86"/>
      <c r="AT645" s="86"/>
      <c r="AV645" s="86"/>
      <c r="AX645" s="78"/>
    </row>
    <row r="646" spans="44:50">
      <c r="AR646" s="86"/>
      <c r="AT646" s="86"/>
      <c r="AV646" s="86"/>
      <c r="AX646" s="78"/>
    </row>
    <row r="647" spans="44:50">
      <c r="AR647" s="86"/>
      <c r="AT647" s="86"/>
      <c r="AV647" s="86"/>
      <c r="AX647" s="78"/>
    </row>
    <row r="648" spans="44:50">
      <c r="AR648" s="86"/>
      <c r="AT648" s="86"/>
      <c r="AV648" s="86"/>
      <c r="AX648" s="78"/>
    </row>
    <row r="649" spans="44:50">
      <c r="AR649" s="86"/>
      <c r="AT649" s="86"/>
      <c r="AV649" s="86"/>
      <c r="AX649" s="78"/>
    </row>
    <row r="650" spans="44:50">
      <c r="AR650" s="86"/>
      <c r="AT650" s="86"/>
      <c r="AV650" s="86"/>
      <c r="AX650" s="78"/>
    </row>
    <row r="651" spans="44:50">
      <c r="AR651" s="86"/>
      <c r="AT651" s="86"/>
      <c r="AV651" s="86"/>
      <c r="AX651" s="78"/>
    </row>
    <row r="652" spans="44:50">
      <c r="AR652" s="86"/>
      <c r="AT652" s="86"/>
      <c r="AV652" s="86"/>
      <c r="AX652" s="78"/>
    </row>
    <row r="653" spans="44:50">
      <c r="AR653" s="86"/>
      <c r="AT653" s="86"/>
      <c r="AV653" s="86"/>
      <c r="AX653" s="78"/>
    </row>
    <row r="654" spans="44:50">
      <c r="AR654" s="86"/>
      <c r="AT654" s="86"/>
      <c r="AV654" s="86"/>
      <c r="AX654" s="78"/>
    </row>
    <row r="655" spans="44:50">
      <c r="AR655" s="86"/>
      <c r="AT655" s="86"/>
      <c r="AV655" s="86"/>
      <c r="AX655" s="78"/>
    </row>
    <row r="656" spans="44:50">
      <c r="AR656" s="86"/>
      <c r="AT656" s="86"/>
      <c r="AV656" s="86"/>
      <c r="AX656" s="78"/>
    </row>
    <row r="657" spans="44:50">
      <c r="AR657" s="86"/>
      <c r="AT657" s="86"/>
      <c r="AV657" s="86"/>
      <c r="AX657" s="78"/>
    </row>
    <row r="658" spans="44:50">
      <c r="AR658" s="86"/>
      <c r="AT658" s="86"/>
      <c r="AV658" s="86"/>
      <c r="AX658" s="78"/>
    </row>
    <row r="659" spans="44:50">
      <c r="AR659" s="86"/>
      <c r="AT659" s="86"/>
      <c r="AV659" s="86"/>
      <c r="AX659" s="78"/>
    </row>
    <row r="660" spans="44:50">
      <c r="AR660" s="86"/>
      <c r="AT660" s="86"/>
      <c r="AV660" s="86"/>
      <c r="AX660" s="78"/>
    </row>
    <row r="661" spans="44:50">
      <c r="AR661" s="86"/>
      <c r="AT661" s="86"/>
      <c r="AV661" s="86"/>
      <c r="AX661" s="78"/>
    </row>
    <row r="662" spans="44:50">
      <c r="AR662" s="86"/>
      <c r="AT662" s="86"/>
      <c r="AV662" s="86"/>
      <c r="AX662" s="78"/>
    </row>
    <row r="663" spans="44:50">
      <c r="AR663" s="86"/>
      <c r="AT663" s="86"/>
      <c r="AV663" s="86"/>
      <c r="AX663" s="78"/>
    </row>
    <row r="664" spans="44:50">
      <c r="AR664" s="86"/>
      <c r="AT664" s="86"/>
      <c r="AV664" s="86"/>
      <c r="AX664" s="78"/>
    </row>
    <row r="665" spans="44:50">
      <c r="AR665" s="86"/>
      <c r="AT665" s="86"/>
      <c r="AV665" s="86"/>
      <c r="AX665" s="78"/>
    </row>
    <row r="666" spans="44:50">
      <c r="AR666" s="86"/>
      <c r="AT666" s="86"/>
      <c r="AV666" s="86"/>
      <c r="AX666" s="78"/>
    </row>
    <row r="667" spans="44:50">
      <c r="AR667" s="86"/>
      <c r="AT667" s="86"/>
      <c r="AV667" s="86"/>
      <c r="AX667" s="78"/>
    </row>
    <row r="668" spans="44:50">
      <c r="AR668" s="86"/>
      <c r="AT668" s="86"/>
      <c r="AV668" s="86"/>
      <c r="AX668" s="78"/>
    </row>
    <row r="669" spans="44:50">
      <c r="AR669" s="86"/>
      <c r="AT669" s="86"/>
      <c r="AV669" s="86"/>
      <c r="AX669" s="78"/>
    </row>
    <row r="670" spans="44:50">
      <c r="AR670" s="86"/>
      <c r="AT670" s="86"/>
      <c r="AV670" s="86"/>
      <c r="AX670" s="78"/>
    </row>
    <row r="671" spans="44:50">
      <c r="AR671" s="86"/>
      <c r="AT671" s="86"/>
      <c r="AV671" s="86"/>
      <c r="AX671" s="78"/>
    </row>
    <row r="672" spans="44:50">
      <c r="AR672" s="86"/>
      <c r="AT672" s="86"/>
      <c r="AV672" s="86"/>
      <c r="AX672" s="78"/>
    </row>
    <row r="673" spans="44:50">
      <c r="AR673" s="86"/>
      <c r="AT673" s="86"/>
      <c r="AV673" s="86"/>
      <c r="AX673" s="78"/>
    </row>
    <row r="674" spans="44:50">
      <c r="AR674" s="86"/>
      <c r="AT674" s="86"/>
      <c r="AV674" s="86"/>
      <c r="AX674" s="78"/>
    </row>
    <row r="675" spans="44:50">
      <c r="AR675" s="86"/>
      <c r="AT675" s="86"/>
      <c r="AV675" s="86"/>
      <c r="AX675" s="78"/>
    </row>
    <row r="676" spans="44:50">
      <c r="AR676" s="86"/>
      <c r="AT676" s="86"/>
      <c r="AV676" s="86"/>
      <c r="AX676" s="78"/>
    </row>
    <row r="677" spans="44:50">
      <c r="AR677" s="86"/>
      <c r="AT677" s="86"/>
      <c r="AV677" s="86"/>
      <c r="AX677" s="78"/>
    </row>
    <row r="678" spans="44:50">
      <c r="AR678" s="86"/>
      <c r="AT678" s="86"/>
      <c r="AV678" s="86"/>
      <c r="AX678" s="78"/>
    </row>
    <row r="679" spans="44:50">
      <c r="AR679" s="86"/>
      <c r="AT679" s="86"/>
      <c r="AV679" s="86"/>
      <c r="AX679" s="78"/>
    </row>
    <row r="680" spans="44:50">
      <c r="AR680" s="86"/>
      <c r="AT680" s="86"/>
      <c r="AV680" s="86"/>
      <c r="AX680" s="78"/>
    </row>
    <row r="681" spans="44:50">
      <c r="AR681" s="86"/>
      <c r="AT681" s="86"/>
      <c r="AV681" s="86"/>
      <c r="AX681" s="78"/>
    </row>
    <row r="682" spans="44:50">
      <c r="AR682" s="86"/>
      <c r="AT682" s="86"/>
      <c r="AV682" s="86"/>
      <c r="AX682" s="78"/>
    </row>
    <row r="683" spans="44:50">
      <c r="AR683" s="86"/>
      <c r="AT683" s="86"/>
      <c r="AV683" s="86"/>
      <c r="AX683" s="78"/>
    </row>
    <row r="684" spans="44:50">
      <c r="AR684" s="86"/>
      <c r="AT684" s="86"/>
      <c r="AV684" s="86"/>
      <c r="AX684" s="78"/>
    </row>
    <row r="685" spans="44:50">
      <c r="AR685" s="86"/>
      <c r="AT685" s="86"/>
      <c r="AV685" s="86"/>
      <c r="AX685" s="78"/>
    </row>
    <row r="686" spans="44:50">
      <c r="AR686" s="86"/>
      <c r="AT686" s="86"/>
      <c r="AV686" s="86"/>
      <c r="AX686" s="78"/>
    </row>
    <row r="687" spans="44:50">
      <c r="AR687" s="86"/>
      <c r="AT687" s="86"/>
      <c r="AV687" s="86"/>
      <c r="AX687" s="78"/>
    </row>
    <row r="688" spans="44:50">
      <c r="AR688" s="86"/>
      <c r="AT688" s="86"/>
      <c r="AV688" s="86"/>
      <c r="AX688" s="78"/>
    </row>
    <row r="689" spans="44:50">
      <c r="AR689" s="86"/>
      <c r="AT689" s="86"/>
      <c r="AV689" s="86"/>
      <c r="AX689" s="78"/>
    </row>
    <row r="690" spans="44:50">
      <c r="AR690" s="86"/>
      <c r="AT690" s="86"/>
      <c r="AV690" s="86"/>
      <c r="AX690" s="78"/>
    </row>
    <row r="691" spans="44:50">
      <c r="AR691" s="86"/>
      <c r="AT691" s="86"/>
      <c r="AV691" s="86"/>
      <c r="AX691" s="78"/>
    </row>
    <row r="692" spans="44:50">
      <c r="AR692" s="86"/>
      <c r="AT692" s="86"/>
      <c r="AV692" s="86"/>
      <c r="AX692" s="78"/>
    </row>
    <row r="693" spans="44:50">
      <c r="AR693" s="86"/>
      <c r="AT693" s="86"/>
      <c r="AV693" s="86"/>
      <c r="AX693" s="78"/>
    </row>
    <row r="694" spans="44:50">
      <c r="AR694" s="86"/>
      <c r="AT694" s="86"/>
      <c r="AV694" s="86"/>
      <c r="AX694" s="78"/>
    </row>
    <row r="695" spans="44:50">
      <c r="AR695" s="86"/>
      <c r="AT695" s="86"/>
      <c r="AV695" s="86"/>
      <c r="AX695" s="78"/>
    </row>
    <row r="696" spans="44:50">
      <c r="AR696" s="86"/>
      <c r="AT696" s="86"/>
      <c r="AV696" s="86"/>
      <c r="AX696" s="78"/>
    </row>
    <row r="697" spans="44:50">
      <c r="AR697" s="86"/>
      <c r="AT697" s="86"/>
      <c r="AV697" s="86"/>
      <c r="AX697" s="78"/>
    </row>
    <row r="698" spans="44:50">
      <c r="AR698" s="86"/>
      <c r="AT698" s="86"/>
      <c r="AV698" s="86"/>
      <c r="AX698" s="78"/>
    </row>
    <row r="699" spans="44:50">
      <c r="AR699" s="86"/>
      <c r="AT699" s="86"/>
      <c r="AV699" s="86"/>
      <c r="AX699" s="78"/>
    </row>
    <row r="700" spans="44:50">
      <c r="AR700" s="86"/>
      <c r="AT700" s="86"/>
      <c r="AV700" s="86"/>
      <c r="AX700" s="78"/>
    </row>
    <row r="701" spans="44:50">
      <c r="AR701" s="86"/>
      <c r="AT701" s="86"/>
      <c r="AV701" s="86"/>
      <c r="AX701" s="78"/>
    </row>
    <row r="702" spans="44:50">
      <c r="AR702" s="86"/>
      <c r="AT702" s="86"/>
      <c r="AV702" s="86"/>
      <c r="AX702" s="78"/>
    </row>
    <row r="703" spans="44:50">
      <c r="AR703" s="86"/>
      <c r="AT703" s="86"/>
      <c r="AV703" s="86"/>
      <c r="AX703" s="78"/>
    </row>
    <row r="704" spans="44:50">
      <c r="AR704" s="86"/>
      <c r="AT704" s="86"/>
      <c r="AV704" s="86"/>
      <c r="AX704" s="78"/>
    </row>
    <row r="705" spans="44:50">
      <c r="AR705" s="86"/>
      <c r="AT705" s="86"/>
      <c r="AV705" s="86"/>
      <c r="AX705" s="78"/>
    </row>
    <row r="706" spans="44:50">
      <c r="AR706" s="86"/>
      <c r="AT706" s="86"/>
      <c r="AV706" s="86"/>
      <c r="AX706" s="78"/>
    </row>
    <row r="707" spans="44:50">
      <c r="AR707" s="86"/>
      <c r="AT707" s="86"/>
      <c r="AV707" s="86"/>
      <c r="AX707" s="78"/>
    </row>
    <row r="708" spans="44:50">
      <c r="AR708" s="86"/>
      <c r="AT708" s="86"/>
      <c r="AV708" s="86"/>
      <c r="AX708" s="78"/>
    </row>
    <row r="709" spans="44:50">
      <c r="AR709" s="86"/>
      <c r="AT709" s="86"/>
      <c r="AV709" s="86"/>
      <c r="AX709" s="78"/>
    </row>
    <row r="710" spans="44:50">
      <c r="AR710" s="86"/>
      <c r="AT710" s="86"/>
      <c r="AV710" s="86"/>
      <c r="AX710" s="78"/>
    </row>
    <row r="711" spans="44:50">
      <c r="AR711" s="86"/>
      <c r="AT711" s="86"/>
      <c r="AV711" s="86"/>
      <c r="AX711" s="78"/>
    </row>
    <row r="712" spans="44:50">
      <c r="AR712" s="86"/>
      <c r="AT712" s="86"/>
      <c r="AV712" s="86"/>
      <c r="AX712" s="78"/>
    </row>
    <row r="713" spans="44:50">
      <c r="AR713" s="86"/>
      <c r="AT713" s="86"/>
      <c r="AV713" s="86"/>
      <c r="AX713" s="78"/>
    </row>
    <row r="714" spans="44:50">
      <c r="AR714" s="86"/>
      <c r="AT714" s="86"/>
      <c r="AV714" s="86"/>
      <c r="AX714" s="78"/>
    </row>
    <row r="715" spans="44:50">
      <c r="AR715" s="86"/>
      <c r="AT715" s="86"/>
      <c r="AV715" s="86"/>
      <c r="AX715" s="78"/>
    </row>
    <row r="716" spans="44:50">
      <c r="AR716" s="86"/>
      <c r="AT716" s="86"/>
      <c r="AV716" s="86"/>
      <c r="AX716" s="78"/>
    </row>
    <row r="717" spans="44:50">
      <c r="AR717" s="86"/>
      <c r="AT717" s="86"/>
      <c r="AV717" s="86"/>
      <c r="AX717" s="78"/>
    </row>
    <row r="718" spans="44:50">
      <c r="AR718" s="86"/>
      <c r="AT718" s="86"/>
      <c r="AV718" s="86"/>
      <c r="AX718" s="78"/>
    </row>
    <row r="719" spans="44:50">
      <c r="AR719" s="86"/>
      <c r="AT719" s="86"/>
      <c r="AV719" s="86"/>
      <c r="AX719" s="78"/>
    </row>
    <row r="720" spans="44:50">
      <c r="AR720" s="86"/>
      <c r="AT720" s="86"/>
      <c r="AV720" s="86"/>
      <c r="AX720" s="78"/>
    </row>
    <row r="721" spans="44:50">
      <c r="AR721" s="86"/>
      <c r="AT721" s="86"/>
      <c r="AV721" s="86"/>
      <c r="AX721" s="78"/>
    </row>
    <row r="722" spans="44:50">
      <c r="AR722" s="86"/>
      <c r="AT722" s="86"/>
      <c r="AV722" s="86"/>
      <c r="AX722" s="78"/>
    </row>
    <row r="723" spans="44:50">
      <c r="AR723" s="86"/>
      <c r="AT723" s="86"/>
      <c r="AV723" s="86"/>
      <c r="AX723" s="78"/>
    </row>
    <row r="724" spans="44:50">
      <c r="AR724" s="86"/>
      <c r="AT724" s="86"/>
      <c r="AV724" s="86"/>
      <c r="AX724" s="78"/>
    </row>
    <row r="725" spans="44:50">
      <c r="AR725" s="86"/>
      <c r="AT725" s="86"/>
      <c r="AV725" s="86"/>
      <c r="AX725" s="78"/>
    </row>
    <row r="726" spans="44:50">
      <c r="AR726" s="86"/>
      <c r="AT726" s="86"/>
      <c r="AV726" s="86"/>
      <c r="AX726" s="78"/>
    </row>
    <row r="727" spans="44:50">
      <c r="AR727" s="86"/>
      <c r="AT727" s="86"/>
      <c r="AV727" s="86"/>
      <c r="AX727" s="78"/>
    </row>
    <row r="728" spans="44:50">
      <c r="AR728" s="86"/>
      <c r="AT728" s="86"/>
      <c r="AV728" s="86"/>
      <c r="AX728" s="78"/>
    </row>
    <row r="729" spans="44:50">
      <c r="AR729" s="86"/>
      <c r="AT729" s="86"/>
      <c r="AV729" s="86"/>
      <c r="AX729" s="78"/>
    </row>
    <row r="730" spans="44:50">
      <c r="AR730" s="86"/>
      <c r="AT730" s="86"/>
      <c r="AV730" s="86"/>
      <c r="AX730" s="78"/>
    </row>
    <row r="731" spans="44:50">
      <c r="AR731" s="86"/>
      <c r="AT731" s="86"/>
      <c r="AV731" s="86"/>
      <c r="AX731" s="78"/>
    </row>
    <row r="732" spans="44:50">
      <c r="AR732" s="86"/>
      <c r="AT732" s="86"/>
      <c r="AV732" s="86"/>
      <c r="AX732" s="78"/>
    </row>
    <row r="733" spans="44:50">
      <c r="AR733" s="86"/>
      <c r="AT733" s="86"/>
      <c r="AV733" s="86"/>
      <c r="AX733" s="78"/>
    </row>
    <row r="734" spans="44:50">
      <c r="AR734" s="86"/>
      <c r="AT734" s="86"/>
      <c r="AV734" s="86"/>
      <c r="AX734" s="78"/>
    </row>
    <row r="735" spans="44:50">
      <c r="AR735" s="86"/>
      <c r="AT735" s="86"/>
      <c r="AV735" s="86"/>
      <c r="AX735" s="78"/>
    </row>
    <row r="736" spans="44:50">
      <c r="AR736" s="86"/>
      <c r="AT736" s="86"/>
      <c r="AV736" s="86"/>
      <c r="AX736" s="78"/>
    </row>
    <row r="737" spans="44:50">
      <c r="AR737" s="86"/>
      <c r="AT737" s="86"/>
      <c r="AV737" s="86"/>
      <c r="AX737" s="78"/>
    </row>
    <row r="738" spans="44:50">
      <c r="AR738" s="86"/>
      <c r="AT738" s="86"/>
      <c r="AV738" s="86"/>
      <c r="AX738" s="78"/>
    </row>
    <row r="739" spans="44:50">
      <c r="AR739" s="86"/>
      <c r="AT739" s="86"/>
      <c r="AV739" s="86"/>
      <c r="AX739" s="78"/>
    </row>
    <row r="740" spans="44:50">
      <c r="AR740" s="86"/>
      <c r="AT740" s="86"/>
      <c r="AV740" s="86"/>
      <c r="AX740" s="78"/>
    </row>
    <row r="741" spans="44:50">
      <c r="AR741" s="86"/>
      <c r="AT741" s="86"/>
      <c r="AV741" s="86"/>
      <c r="AX741" s="78"/>
    </row>
    <row r="742" spans="44:50">
      <c r="AR742" s="86"/>
      <c r="AT742" s="86"/>
      <c r="AV742" s="86"/>
      <c r="AX742" s="78"/>
    </row>
    <row r="743" spans="44:50">
      <c r="AR743" s="86"/>
      <c r="AT743" s="86"/>
      <c r="AV743" s="86"/>
      <c r="AX743" s="78"/>
    </row>
    <row r="744" spans="44:50">
      <c r="AR744" s="86"/>
      <c r="AT744" s="86"/>
      <c r="AV744" s="86"/>
      <c r="AX744" s="78"/>
    </row>
    <row r="745" spans="44:50">
      <c r="AR745" s="86"/>
      <c r="AT745" s="86"/>
      <c r="AV745" s="86"/>
      <c r="AX745" s="78"/>
    </row>
    <row r="746" spans="44:50">
      <c r="AR746" s="86"/>
      <c r="AT746" s="86"/>
      <c r="AV746" s="86"/>
      <c r="AX746" s="78"/>
    </row>
    <row r="747" spans="44:50">
      <c r="AR747" s="86"/>
      <c r="AT747" s="86"/>
      <c r="AV747" s="86"/>
      <c r="AX747" s="78"/>
    </row>
    <row r="748" spans="44:50">
      <c r="AR748" s="86"/>
      <c r="AT748" s="86"/>
      <c r="AV748" s="86"/>
      <c r="AX748" s="78"/>
    </row>
    <row r="749" spans="44:50">
      <c r="AR749" s="86"/>
      <c r="AT749" s="86"/>
      <c r="AV749" s="86"/>
      <c r="AX749" s="78"/>
    </row>
    <row r="750" spans="44:50">
      <c r="AR750" s="86"/>
      <c r="AT750" s="86"/>
      <c r="AV750" s="86"/>
      <c r="AX750" s="78"/>
    </row>
    <row r="751" spans="44:50">
      <c r="AR751" s="86"/>
      <c r="AT751" s="86"/>
      <c r="AV751" s="86"/>
      <c r="AX751" s="78"/>
    </row>
    <row r="752" spans="44:50">
      <c r="AR752" s="86"/>
      <c r="AT752" s="86"/>
      <c r="AV752" s="86"/>
      <c r="AX752" s="78"/>
    </row>
    <row r="753" spans="44:50">
      <c r="AR753" s="86"/>
      <c r="AT753" s="86"/>
      <c r="AV753" s="86"/>
      <c r="AX753" s="78"/>
    </row>
    <row r="754" spans="44:50">
      <c r="AR754" s="86"/>
      <c r="AT754" s="86"/>
      <c r="AV754" s="86"/>
      <c r="AX754" s="78"/>
    </row>
    <row r="755" spans="44:50">
      <c r="AR755" s="86"/>
      <c r="AT755" s="86"/>
      <c r="AV755" s="86"/>
      <c r="AX755" s="78"/>
    </row>
    <row r="756" spans="44:50">
      <c r="AR756" s="86"/>
      <c r="AT756" s="86"/>
      <c r="AV756" s="86"/>
      <c r="AX756" s="78"/>
    </row>
    <row r="757" spans="44:50">
      <c r="AR757" s="86"/>
      <c r="AT757" s="86"/>
      <c r="AV757" s="86"/>
      <c r="AX757" s="78"/>
    </row>
    <row r="758" spans="44:50">
      <c r="AR758" s="86"/>
      <c r="AT758" s="86"/>
      <c r="AV758" s="86"/>
      <c r="AX758" s="78"/>
    </row>
    <row r="759" spans="44:50">
      <c r="AR759" s="86"/>
      <c r="AT759" s="86"/>
      <c r="AV759" s="86"/>
      <c r="AX759" s="78"/>
    </row>
    <row r="760" spans="44:50">
      <c r="AR760" s="86"/>
      <c r="AT760" s="86"/>
      <c r="AV760" s="86"/>
      <c r="AX760" s="78"/>
    </row>
    <row r="761" spans="44:50">
      <c r="AR761" s="86"/>
      <c r="AT761" s="86"/>
      <c r="AV761" s="86"/>
      <c r="AX761" s="78"/>
    </row>
    <row r="762" spans="44:50">
      <c r="AR762" s="86"/>
      <c r="AT762" s="86"/>
      <c r="AV762" s="86"/>
      <c r="AX762" s="78"/>
    </row>
    <row r="763" spans="44:50">
      <c r="AR763" s="86"/>
      <c r="AT763" s="86"/>
      <c r="AV763" s="86"/>
      <c r="AX763" s="78"/>
    </row>
    <row r="764" spans="44:50">
      <c r="AR764" s="86"/>
      <c r="AT764" s="86"/>
      <c r="AV764" s="86"/>
      <c r="AX764" s="78"/>
    </row>
    <row r="765" spans="44:50">
      <c r="AR765" s="86"/>
      <c r="AT765" s="86"/>
      <c r="AV765" s="86"/>
      <c r="AX765" s="78"/>
    </row>
    <row r="766" spans="44:50">
      <c r="AR766" s="86"/>
      <c r="AT766" s="86"/>
      <c r="AV766" s="86"/>
      <c r="AX766" s="78"/>
    </row>
    <row r="767" spans="44:50">
      <c r="AR767" s="86"/>
      <c r="AT767" s="86"/>
      <c r="AV767" s="86"/>
      <c r="AX767" s="78"/>
    </row>
    <row r="768" spans="44:50">
      <c r="AR768" s="86"/>
      <c r="AT768" s="86"/>
      <c r="AV768" s="86"/>
      <c r="AX768" s="78"/>
    </row>
    <row r="769" spans="44:50">
      <c r="AR769" s="86"/>
      <c r="AT769" s="86"/>
      <c r="AV769" s="86"/>
      <c r="AX769" s="78"/>
    </row>
    <row r="770" spans="44:50">
      <c r="AR770" s="86"/>
      <c r="AT770" s="86"/>
      <c r="AV770" s="86"/>
      <c r="AX770" s="78"/>
    </row>
    <row r="771" spans="44:50">
      <c r="AR771" s="86"/>
      <c r="AT771" s="86"/>
      <c r="AV771" s="86"/>
      <c r="AX771" s="78"/>
    </row>
    <row r="772" spans="44:50">
      <c r="AR772" s="86"/>
      <c r="AT772" s="86"/>
      <c r="AV772" s="86"/>
      <c r="AX772" s="78"/>
    </row>
    <row r="773" spans="44:50">
      <c r="AR773" s="86"/>
      <c r="AT773" s="86"/>
      <c r="AV773" s="86"/>
      <c r="AX773" s="78"/>
    </row>
    <row r="774" spans="44:50">
      <c r="AR774" s="86"/>
      <c r="AT774" s="86"/>
      <c r="AV774" s="86"/>
      <c r="AX774" s="78"/>
    </row>
    <row r="775" spans="44:50">
      <c r="AR775" s="86"/>
      <c r="AT775" s="86"/>
      <c r="AV775" s="86"/>
      <c r="AX775" s="78"/>
    </row>
    <row r="776" spans="44:50">
      <c r="AR776" s="86"/>
      <c r="AT776" s="86"/>
      <c r="AV776" s="86"/>
      <c r="AX776" s="78"/>
    </row>
    <row r="777" spans="44:50">
      <c r="AR777" s="86"/>
      <c r="AT777" s="86"/>
      <c r="AV777" s="86"/>
      <c r="AX777" s="78"/>
    </row>
    <row r="778" spans="44:50">
      <c r="AR778" s="86"/>
      <c r="AT778" s="86"/>
      <c r="AV778" s="86"/>
      <c r="AX778" s="78"/>
    </row>
    <row r="779" spans="44:50">
      <c r="AR779" s="86"/>
      <c r="AT779" s="86"/>
      <c r="AV779" s="86"/>
      <c r="AX779" s="78"/>
    </row>
    <row r="780" spans="44:50">
      <c r="AR780" s="86"/>
      <c r="AT780" s="86"/>
      <c r="AV780" s="86"/>
      <c r="AX780" s="78"/>
    </row>
    <row r="781" spans="44:50">
      <c r="AR781" s="86"/>
      <c r="AT781" s="86"/>
      <c r="AV781" s="86"/>
      <c r="AX781" s="78"/>
    </row>
    <row r="782" spans="44:50">
      <c r="AR782" s="86"/>
      <c r="AT782" s="86"/>
      <c r="AV782" s="86"/>
      <c r="AX782" s="78"/>
    </row>
    <row r="783" spans="44:50">
      <c r="AR783" s="86"/>
      <c r="AT783" s="86"/>
      <c r="AV783" s="86"/>
      <c r="AX783" s="78"/>
    </row>
    <row r="784" spans="44:50">
      <c r="AR784" s="86"/>
      <c r="AT784" s="86"/>
      <c r="AV784" s="86"/>
      <c r="AX784" s="78"/>
    </row>
    <row r="785" spans="44:50">
      <c r="AR785" s="86"/>
      <c r="AT785" s="86"/>
      <c r="AV785" s="86"/>
      <c r="AX785" s="78"/>
    </row>
    <row r="786" spans="44:50">
      <c r="AR786" s="86"/>
      <c r="AT786" s="86"/>
      <c r="AV786" s="86"/>
      <c r="AX786" s="78"/>
    </row>
    <row r="787" spans="44:50">
      <c r="AR787" s="86"/>
      <c r="AT787" s="86"/>
      <c r="AV787" s="86"/>
      <c r="AX787" s="78"/>
    </row>
    <row r="788" spans="44:50">
      <c r="AR788" s="86"/>
      <c r="AT788" s="86"/>
      <c r="AV788" s="86"/>
      <c r="AX788" s="78"/>
    </row>
    <row r="789" spans="44:50">
      <c r="AR789" s="86"/>
      <c r="AT789" s="86"/>
      <c r="AV789" s="86"/>
      <c r="AX789" s="78"/>
    </row>
    <row r="790" spans="44:50">
      <c r="AR790" s="86"/>
      <c r="AT790" s="86"/>
      <c r="AV790" s="86"/>
      <c r="AX790" s="78"/>
    </row>
    <row r="791" spans="44:50">
      <c r="AR791" s="86"/>
      <c r="AT791" s="86"/>
      <c r="AV791" s="86"/>
      <c r="AX791" s="78"/>
    </row>
    <row r="792" spans="44:50">
      <c r="AR792" s="86"/>
      <c r="AT792" s="86"/>
      <c r="AV792" s="86"/>
      <c r="AX792" s="78"/>
    </row>
    <row r="793" spans="44:50">
      <c r="AR793" s="86"/>
      <c r="AT793" s="86"/>
      <c r="AV793" s="86"/>
      <c r="AX793" s="78"/>
    </row>
    <row r="794" spans="44:50">
      <c r="AR794" s="86"/>
      <c r="AT794" s="86"/>
      <c r="AV794" s="86"/>
      <c r="AX794" s="78"/>
    </row>
    <row r="795" spans="44:50">
      <c r="AR795" s="86"/>
      <c r="AT795" s="86"/>
      <c r="AV795" s="86"/>
      <c r="AX795" s="78"/>
    </row>
    <row r="796" spans="44:50">
      <c r="AR796" s="86"/>
      <c r="AT796" s="86"/>
      <c r="AV796" s="86"/>
      <c r="AX796" s="78"/>
    </row>
    <row r="797" spans="44:50">
      <c r="AR797" s="86"/>
      <c r="AT797" s="86"/>
      <c r="AV797" s="86"/>
      <c r="AX797" s="78"/>
    </row>
    <row r="798" spans="44:50">
      <c r="AR798" s="86"/>
      <c r="AT798" s="86"/>
      <c r="AV798" s="86"/>
      <c r="AX798" s="78"/>
    </row>
    <row r="799" spans="44:50">
      <c r="AR799" s="86"/>
      <c r="AT799" s="86"/>
      <c r="AV799" s="86"/>
      <c r="AX799" s="78"/>
    </row>
    <row r="800" spans="44:50">
      <c r="AR800" s="86"/>
      <c r="AT800" s="86"/>
      <c r="AV800" s="86"/>
      <c r="AX800" s="78"/>
    </row>
    <row r="801" spans="44:50">
      <c r="AR801" s="86"/>
      <c r="AT801" s="86"/>
      <c r="AV801" s="86"/>
      <c r="AX801" s="78"/>
    </row>
    <row r="802" spans="44:50">
      <c r="AR802" s="86"/>
      <c r="AT802" s="86"/>
      <c r="AV802" s="86"/>
      <c r="AX802" s="78"/>
    </row>
    <row r="803" spans="44:50">
      <c r="AR803" s="86"/>
      <c r="AT803" s="86"/>
      <c r="AV803" s="86"/>
      <c r="AX803" s="78"/>
    </row>
    <row r="804" spans="44:50">
      <c r="AR804" s="86"/>
      <c r="AT804" s="86"/>
      <c r="AV804" s="86"/>
      <c r="AX804" s="78"/>
    </row>
    <row r="805" spans="44:50">
      <c r="AR805" s="86"/>
      <c r="AT805" s="86"/>
      <c r="AV805" s="86"/>
      <c r="AX805" s="78"/>
    </row>
    <row r="806" spans="44:50">
      <c r="AR806" s="86"/>
      <c r="AT806" s="86"/>
      <c r="AV806" s="86"/>
      <c r="AX806" s="78"/>
    </row>
    <row r="807" spans="44:50">
      <c r="AR807" s="86"/>
      <c r="AT807" s="86"/>
      <c r="AV807" s="86"/>
      <c r="AX807" s="78"/>
    </row>
    <row r="808" spans="44:50">
      <c r="AR808" s="86"/>
      <c r="AT808" s="86"/>
      <c r="AV808" s="86"/>
      <c r="AX808" s="78"/>
    </row>
    <row r="809" spans="44:50">
      <c r="AR809" s="86"/>
      <c r="AT809" s="86"/>
      <c r="AV809" s="86"/>
      <c r="AX809" s="78"/>
    </row>
    <row r="810" spans="44:50">
      <c r="AR810" s="86"/>
      <c r="AT810" s="86"/>
      <c r="AV810" s="86"/>
      <c r="AX810" s="78"/>
    </row>
    <row r="811" spans="44:50">
      <c r="AR811" s="86"/>
      <c r="AT811" s="86"/>
      <c r="AV811" s="86"/>
      <c r="AX811" s="78"/>
    </row>
    <row r="812" spans="44:50">
      <c r="AR812" s="86"/>
      <c r="AT812" s="86"/>
      <c r="AV812" s="86"/>
      <c r="AX812" s="78"/>
    </row>
    <row r="813" spans="44:50">
      <c r="AR813" s="86"/>
      <c r="AT813" s="86"/>
      <c r="AV813" s="86"/>
      <c r="AX813" s="78"/>
    </row>
    <row r="814" spans="44:50">
      <c r="AR814" s="86"/>
      <c r="AT814" s="86"/>
      <c r="AV814" s="86"/>
      <c r="AX814" s="78"/>
    </row>
    <row r="815" spans="44:50">
      <c r="AR815" s="86"/>
      <c r="AT815" s="86"/>
      <c r="AV815" s="86"/>
      <c r="AX815" s="78"/>
    </row>
    <row r="816" spans="44:50">
      <c r="AR816" s="86"/>
      <c r="AT816" s="86"/>
      <c r="AV816" s="86"/>
      <c r="AX816" s="78"/>
    </row>
    <row r="817" spans="44:50">
      <c r="AR817" s="86"/>
      <c r="AT817" s="86"/>
      <c r="AV817" s="86"/>
      <c r="AX817" s="78"/>
    </row>
    <row r="818" spans="44:50">
      <c r="AR818" s="86"/>
      <c r="AT818" s="86"/>
      <c r="AV818" s="86"/>
      <c r="AX818" s="78"/>
    </row>
    <row r="819" spans="44:50">
      <c r="AR819" s="86"/>
      <c r="AT819" s="86"/>
      <c r="AV819" s="86"/>
      <c r="AX819" s="78"/>
    </row>
    <row r="820" spans="44:50">
      <c r="AR820" s="86"/>
      <c r="AT820" s="86"/>
      <c r="AV820" s="86"/>
      <c r="AX820" s="78"/>
    </row>
    <row r="821" spans="44:50">
      <c r="AR821" s="86"/>
      <c r="AT821" s="86"/>
      <c r="AV821" s="86"/>
      <c r="AX821" s="78"/>
    </row>
    <row r="822" spans="44:50">
      <c r="AR822" s="86"/>
      <c r="AT822" s="86"/>
      <c r="AV822" s="86"/>
      <c r="AX822" s="78"/>
    </row>
    <row r="823" spans="44:50">
      <c r="AR823" s="86"/>
      <c r="AT823" s="86"/>
      <c r="AV823" s="86"/>
      <c r="AX823" s="78"/>
    </row>
    <row r="824" spans="44:50">
      <c r="AR824" s="86"/>
      <c r="AT824" s="86"/>
      <c r="AV824" s="86"/>
      <c r="AX824" s="78"/>
    </row>
    <row r="825" spans="44:50">
      <c r="AR825" s="86"/>
      <c r="AT825" s="86"/>
      <c r="AV825" s="86"/>
      <c r="AX825" s="78"/>
    </row>
    <row r="826" spans="44:50">
      <c r="AR826" s="86"/>
      <c r="AT826" s="86"/>
      <c r="AV826" s="86"/>
      <c r="AX826" s="78"/>
    </row>
    <row r="827" spans="44:50">
      <c r="AR827" s="86"/>
      <c r="AT827" s="86"/>
      <c r="AV827" s="86"/>
      <c r="AX827" s="78"/>
    </row>
    <row r="828" spans="44:50">
      <c r="AR828" s="86"/>
      <c r="AT828" s="86"/>
      <c r="AV828" s="86"/>
      <c r="AX828" s="78"/>
    </row>
    <row r="829" spans="44:50">
      <c r="AR829" s="86"/>
      <c r="AT829" s="86"/>
      <c r="AV829" s="86"/>
      <c r="AX829" s="78"/>
    </row>
    <row r="830" spans="44:50">
      <c r="AR830" s="86"/>
      <c r="AT830" s="86"/>
      <c r="AV830" s="86"/>
      <c r="AX830" s="78"/>
    </row>
    <row r="831" spans="44:50">
      <c r="AR831" s="86"/>
      <c r="AT831" s="86"/>
      <c r="AV831" s="86"/>
      <c r="AX831" s="78"/>
    </row>
    <row r="832" spans="44:50">
      <c r="AR832" s="86"/>
      <c r="AT832" s="86"/>
      <c r="AV832" s="86"/>
      <c r="AX832" s="78"/>
    </row>
    <row r="833" spans="44:50">
      <c r="AR833" s="86"/>
      <c r="AT833" s="86"/>
      <c r="AV833" s="86"/>
      <c r="AX833" s="78"/>
    </row>
    <row r="834" spans="44:50">
      <c r="AR834" s="86"/>
      <c r="AT834" s="86"/>
      <c r="AV834" s="86"/>
      <c r="AX834" s="78"/>
    </row>
    <row r="835" spans="44:50">
      <c r="AR835" s="86"/>
      <c r="AT835" s="86"/>
      <c r="AV835" s="86"/>
      <c r="AX835" s="78"/>
    </row>
    <row r="836" spans="44:50">
      <c r="AR836" s="86"/>
      <c r="AT836" s="86"/>
      <c r="AV836" s="86"/>
      <c r="AX836" s="78"/>
    </row>
    <row r="837" spans="44:50">
      <c r="AR837" s="86"/>
      <c r="AT837" s="86"/>
      <c r="AV837" s="86"/>
      <c r="AX837" s="78"/>
    </row>
    <row r="838" spans="44:50">
      <c r="AR838" s="86"/>
      <c r="AT838" s="86"/>
      <c r="AV838" s="86"/>
      <c r="AX838" s="78"/>
    </row>
    <row r="839" spans="44:50">
      <c r="AR839" s="86"/>
      <c r="AT839" s="86"/>
      <c r="AV839" s="86"/>
      <c r="AX839" s="78"/>
    </row>
    <row r="840" spans="44:50">
      <c r="AR840" s="86"/>
      <c r="AT840" s="86"/>
      <c r="AV840" s="86"/>
      <c r="AX840" s="78"/>
    </row>
    <row r="841" spans="44:50">
      <c r="AR841" s="86"/>
      <c r="AT841" s="86"/>
      <c r="AV841" s="86"/>
      <c r="AX841" s="78"/>
    </row>
    <row r="842" spans="44:50">
      <c r="AR842" s="86"/>
      <c r="AT842" s="86"/>
      <c r="AV842" s="86"/>
      <c r="AX842" s="78"/>
    </row>
    <row r="843" spans="44:50">
      <c r="AR843" s="86"/>
      <c r="AT843" s="86"/>
      <c r="AV843" s="86"/>
      <c r="AX843" s="78"/>
    </row>
    <row r="844" spans="44:50">
      <c r="AR844" s="86"/>
      <c r="AT844" s="86"/>
      <c r="AV844" s="86"/>
      <c r="AX844" s="78"/>
    </row>
    <row r="845" spans="44:50">
      <c r="AR845" s="86"/>
      <c r="AT845" s="86"/>
      <c r="AV845" s="86"/>
      <c r="AX845" s="78"/>
    </row>
    <row r="846" spans="44:50">
      <c r="AR846" s="86"/>
      <c r="AT846" s="86"/>
      <c r="AV846" s="86"/>
      <c r="AX846" s="78"/>
    </row>
    <row r="847" spans="44:50">
      <c r="AR847" s="86"/>
      <c r="AT847" s="86"/>
      <c r="AV847" s="86"/>
      <c r="AX847" s="78"/>
    </row>
    <row r="848" spans="44:50">
      <c r="AR848" s="86"/>
      <c r="AT848" s="86"/>
      <c r="AV848" s="86"/>
      <c r="AX848" s="78"/>
    </row>
    <row r="849" spans="44:50">
      <c r="AR849" s="86"/>
      <c r="AT849" s="86"/>
      <c r="AV849" s="86"/>
      <c r="AX849" s="78"/>
    </row>
    <row r="850" spans="44:50">
      <c r="AR850" s="86"/>
      <c r="AT850" s="86"/>
      <c r="AV850" s="86"/>
      <c r="AX850" s="78"/>
    </row>
    <row r="851" spans="44:50">
      <c r="AR851" s="86"/>
      <c r="AT851" s="86"/>
      <c r="AV851" s="86"/>
      <c r="AX851" s="78"/>
    </row>
    <row r="852" spans="44:50">
      <c r="AR852" s="86"/>
      <c r="AT852" s="86"/>
      <c r="AV852" s="86"/>
      <c r="AX852" s="78"/>
    </row>
    <row r="853" spans="44:50">
      <c r="AR853" s="86"/>
      <c r="AT853" s="86"/>
      <c r="AV853" s="86"/>
      <c r="AX853" s="78"/>
    </row>
    <row r="854" spans="44:50">
      <c r="AR854" s="86"/>
      <c r="AT854" s="86"/>
      <c r="AV854" s="86"/>
      <c r="AX854" s="78"/>
    </row>
    <row r="855" spans="44:50">
      <c r="AR855" s="86"/>
      <c r="AT855" s="86"/>
      <c r="AV855" s="86"/>
      <c r="AX855" s="78"/>
    </row>
    <row r="856" spans="44:50">
      <c r="AR856" s="86"/>
      <c r="AT856" s="86"/>
      <c r="AV856" s="86"/>
      <c r="AX856" s="78"/>
    </row>
    <row r="857" spans="44:50">
      <c r="AR857" s="86"/>
      <c r="AT857" s="86"/>
      <c r="AV857" s="86"/>
      <c r="AX857" s="78"/>
    </row>
    <row r="858" spans="44:50">
      <c r="AR858" s="86"/>
      <c r="AT858" s="86"/>
      <c r="AV858" s="86"/>
      <c r="AX858" s="78"/>
    </row>
    <row r="859" spans="44:50">
      <c r="AR859" s="86"/>
      <c r="AT859" s="86"/>
      <c r="AV859" s="86"/>
      <c r="AX859" s="78"/>
    </row>
    <row r="860" spans="44:50">
      <c r="AR860" s="86"/>
      <c r="AT860" s="86"/>
      <c r="AV860" s="86"/>
      <c r="AX860" s="78"/>
    </row>
    <row r="861" spans="44:50">
      <c r="AR861" s="86"/>
      <c r="AT861" s="86"/>
      <c r="AV861" s="86"/>
      <c r="AX861" s="78"/>
    </row>
    <row r="862" spans="44:50">
      <c r="AR862" s="86"/>
      <c r="AT862" s="86"/>
      <c r="AV862" s="86"/>
      <c r="AX862" s="78"/>
    </row>
    <row r="863" spans="44:50">
      <c r="AR863" s="86"/>
      <c r="AT863" s="86"/>
      <c r="AV863" s="86"/>
      <c r="AX863" s="78"/>
    </row>
    <row r="864" spans="44:50">
      <c r="AR864" s="86"/>
      <c r="AT864" s="86"/>
      <c r="AV864" s="86"/>
      <c r="AX864" s="78"/>
    </row>
    <row r="865" spans="44:50">
      <c r="AR865" s="86"/>
      <c r="AT865" s="86"/>
      <c r="AV865" s="86"/>
      <c r="AX865" s="78"/>
    </row>
    <row r="866" spans="44:50">
      <c r="AR866" s="86"/>
      <c r="AT866" s="86"/>
      <c r="AV866" s="86"/>
      <c r="AX866" s="78"/>
    </row>
    <row r="867" spans="44:50">
      <c r="AR867" s="86"/>
      <c r="AT867" s="86"/>
      <c r="AV867" s="86"/>
      <c r="AX867" s="78"/>
    </row>
    <row r="868" spans="44:50">
      <c r="AR868" s="86"/>
      <c r="AT868" s="86"/>
      <c r="AV868" s="86"/>
      <c r="AX868" s="78"/>
    </row>
    <row r="869" spans="44:50">
      <c r="AR869" s="86"/>
      <c r="AT869" s="86"/>
      <c r="AV869" s="86"/>
      <c r="AX869" s="78"/>
    </row>
    <row r="870" spans="44:50">
      <c r="AR870" s="86"/>
      <c r="AT870" s="86"/>
      <c r="AV870" s="86"/>
      <c r="AX870" s="78"/>
    </row>
    <row r="871" spans="44:50">
      <c r="AR871" s="86"/>
      <c r="AT871" s="86"/>
      <c r="AV871" s="86"/>
      <c r="AX871" s="78"/>
    </row>
    <row r="872" spans="44:50">
      <c r="AR872" s="86"/>
      <c r="AT872" s="86"/>
      <c r="AV872" s="86"/>
      <c r="AX872" s="78"/>
    </row>
    <row r="873" spans="44:50">
      <c r="AR873" s="86"/>
      <c r="AT873" s="86"/>
      <c r="AV873" s="86"/>
      <c r="AX873" s="78"/>
    </row>
    <row r="874" spans="44:50">
      <c r="AR874" s="86"/>
      <c r="AT874" s="86"/>
      <c r="AV874" s="86"/>
      <c r="AX874" s="78"/>
    </row>
    <row r="875" spans="44:50">
      <c r="AR875" s="86"/>
      <c r="AT875" s="86"/>
      <c r="AV875" s="86"/>
      <c r="AX875" s="78"/>
    </row>
    <row r="876" spans="44:50">
      <c r="AR876" s="86"/>
      <c r="AT876" s="86"/>
      <c r="AV876" s="86"/>
      <c r="AX876" s="78"/>
    </row>
    <row r="877" spans="44:50">
      <c r="AR877" s="86"/>
      <c r="AT877" s="86"/>
      <c r="AV877" s="86"/>
      <c r="AX877" s="78"/>
    </row>
    <row r="878" spans="44:50">
      <c r="AR878" s="86"/>
      <c r="AT878" s="86"/>
      <c r="AV878" s="86"/>
      <c r="AX878" s="78"/>
    </row>
    <row r="879" spans="44:50">
      <c r="AR879" s="86"/>
      <c r="AT879" s="86"/>
      <c r="AV879" s="86"/>
      <c r="AX879" s="78"/>
    </row>
    <row r="880" spans="44:50">
      <c r="AR880" s="86"/>
      <c r="AT880" s="86"/>
      <c r="AV880" s="86"/>
      <c r="AX880" s="78"/>
    </row>
    <row r="881" spans="44:50">
      <c r="AR881" s="86"/>
      <c r="AT881" s="86"/>
      <c r="AV881" s="86"/>
      <c r="AX881" s="78"/>
    </row>
    <row r="882" spans="44:50">
      <c r="AR882" s="86"/>
      <c r="AT882" s="86"/>
      <c r="AV882" s="86"/>
      <c r="AX882" s="78"/>
    </row>
    <row r="883" spans="44:50">
      <c r="AR883" s="86"/>
      <c r="AT883" s="86"/>
      <c r="AV883" s="86"/>
      <c r="AX883" s="78"/>
    </row>
    <row r="884" spans="44:50">
      <c r="AR884" s="86"/>
      <c r="AT884" s="86"/>
      <c r="AV884" s="86"/>
      <c r="AX884" s="78"/>
    </row>
    <row r="885" spans="44:50">
      <c r="AR885" s="86"/>
      <c r="AT885" s="86"/>
      <c r="AV885" s="86"/>
      <c r="AX885" s="78"/>
    </row>
    <row r="886" spans="44:50">
      <c r="AR886" s="86"/>
      <c r="AT886" s="86"/>
      <c r="AV886" s="86"/>
      <c r="AX886" s="78"/>
    </row>
    <row r="887" spans="44:50">
      <c r="AR887" s="86"/>
      <c r="AT887" s="86"/>
      <c r="AV887" s="86"/>
      <c r="AX887" s="78"/>
    </row>
    <row r="888" spans="44:50">
      <c r="AR888" s="86"/>
      <c r="AT888" s="86"/>
      <c r="AV888" s="86"/>
      <c r="AX888" s="78"/>
    </row>
    <row r="889" spans="44:50">
      <c r="AR889" s="86"/>
      <c r="AT889" s="86"/>
      <c r="AV889" s="86"/>
      <c r="AX889" s="78"/>
    </row>
    <row r="890" spans="44:50">
      <c r="AR890" s="86"/>
      <c r="AT890" s="86"/>
      <c r="AV890" s="86"/>
      <c r="AX890" s="78"/>
    </row>
    <row r="891" spans="44:50">
      <c r="AR891" s="86"/>
      <c r="AT891" s="86"/>
      <c r="AV891" s="86"/>
      <c r="AX891" s="78"/>
    </row>
    <row r="892" spans="44:50">
      <c r="AR892" s="86"/>
      <c r="AT892" s="86"/>
      <c r="AV892" s="86"/>
      <c r="AX892" s="78"/>
    </row>
    <row r="893" spans="44:50">
      <c r="AR893" s="86"/>
      <c r="AT893" s="86"/>
      <c r="AV893" s="86"/>
      <c r="AX893" s="78"/>
    </row>
    <row r="894" spans="44:50">
      <c r="AR894" s="86"/>
      <c r="AT894" s="86"/>
      <c r="AV894" s="86"/>
      <c r="AX894" s="78"/>
    </row>
    <row r="895" spans="44:50">
      <c r="AR895" s="86"/>
      <c r="AT895" s="86"/>
      <c r="AV895" s="86"/>
      <c r="AX895" s="78"/>
    </row>
    <row r="896" spans="44:50">
      <c r="AR896" s="86"/>
      <c r="AT896" s="86"/>
      <c r="AV896" s="86"/>
      <c r="AX896" s="78"/>
    </row>
    <row r="897" spans="44:50">
      <c r="AR897" s="86"/>
      <c r="AT897" s="86"/>
      <c r="AV897" s="86"/>
      <c r="AX897" s="78"/>
    </row>
    <row r="898" spans="44:50">
      <c r="AR898" s="86"/>
      <c r="AT898" s="86"/>
      <c r="AV898" s="86"/>
      <c r="AX898" s="78"/>
    </row>
    <row r="899" spans="44:50">
      <c r="AR899" s="86"/>
      <c r="AT899" s="86"/>
      <c r="AV899" s="86"/>
      <c r="AX899" s="78"/>
    </row>
    <row r="900" spans="44:50">
      <c r="AR900" s="86"/>
      <c r="AT900" s="86"/>
      <c r="AV900" s="86"/>
      <c r="AX900" s="78"/>
    </row>
    <row r="901" spans="44:50">
      <c r="AR901" s="86"/>
      <c r="AT901" s="86"/>
      <c r="AV901" s="86"/>
      <c r="AX901" s="78"/>
    </row>
    <row r="902" spans="44:50">
      <c r="AR902" s="86"/>
      <c r="AT902" s="86"/>
      <c r="AV902" s="86"/>
      <c r="AX902" s="78"/>
    </row>
    <row r="903" spans="44:50">
      <c r="AR903" s="86"/>
      <c r="AT903" s="86"/>
      <c r="AV903" s="86"/>
      <c r="AX903" s="78"/>
    </row>
    <row r="904" spans="44:50">
      <c r="AR904" s="86"/>
      <c r="AT904" s="86"/>
      <c r="AV904" s="86"/>
      <c r="AX904" s="78"/>
    </row>
    <row r="905" spans="44:50">
      <c r="AR905" s="86"/>
      <c r="AT905" s="86"/>
      <c r="AV905" s="86"/>
      <c r="AX905" s="78"/>
    </row>
    <row r="906" spans="44:50">
      <c r="AR906" s="86"/>
      <c r="AT906" s="86"/>
      <c r="AV906" s="86"/>
      <c r="AX906" s="78"/>
    </row>
    <row r="907" spans="44:50">
      <c r="AR907" s="86"/>
      <c r="AT907" s="86"/>
      <c r="AV907" s="86"/>
      <c r="AX907" s="78"/>
    </row>
    <row r="908" spans="44:50">
      <c r="AR908" s="86"/>
      <c r="AT908" s="86"/>
      <c r="AV908" s="86"/>
      <c r="AX908" s="78"/>
    </row>
    <row r="909" spans="44:50">
      <c r="AR909" s="86"/>
      <c r="AT909" s="86"/>
      <c r="AV909" s="86"/>
      <c r="AX909" s="78"/>
    </row>
    <row r="910" spans="44:50">
      <c r="AR910" s="86"/>
      <c r="AT910" s="86"/>
      <c r="AV910" s="86"/>
      <c r="AX910" s="78"/>
    </row>
    <row r="911" spans="44:50">
      <c r="AR911" s="86"/>
      <c r="AT911" s="86"/>
      <c r="AV911" s="86"/>
      <c r="AX911" s="78"/>
    </row>
    <row r="912" spans="44:50">
      <c r="AR912" s="86"/>
      <c r="AT912" s="86"/>
      <c r="AV912" s="86"/>
      <c r="AX912" s="78"/>
    </row>
    <row r="913" spans="44:50">
      <c r="AR913" s="86"/>
      <c r="AT913" s="86"/>
      <c r="AV913" s="86"/>
      <c r="AX913" s="78"/>
    </row>
    <row r="914" spans="44:50">
      <c r="AR914" s="86"/>
      <c r="AT914" s="86"/>
      <c r="AV914" s="86"/>
      <c r="AX914" s="78"/>
    </row>
    <row r="915" spans="44:50">
      <c r="AR915" s="86"/>
      <c r="AT915" s="86"/>
      <c r="AV915" s="86"/>
      <c r="AX915" s="78"/>
    </row>
    <row r="916" spans="44:50">
      <c r="AR916" s="86"/>
      <c r="AT916" s="86"/>
      <c r="AV916" s="86"/>
      <c r="AX916" s="78"/>
    </row>
    <row r="917" spans="44:50">
      <c r="AR917" s="86"/>
      <c r="AT917" s="86"/>
      <c r="AV917" s="86"/>
      <c r="AX917" s="78"/>
    </row>
    <row r="918" spans="44:50">
      <c r="AR918" s="86"/>
      <c r="AT918" s="86"/>
      <c r="AV918" s="86"/>
      <c r="AX918" s="78"/>
    </row>
    <row r="919" spans="44:50">
      <c r="AR919" s="86"/>
      <c r="AT919" s="86"/>
      <c r="AV919" s="86"/>
      <c r="AX919" s="78"/>
    </row>
    <row r="920" spans="44:50">
      <c r="AR920" s="86"/>
      <c r="AT920" s="86"/>
      <c r="AV920" s="86"/>
      <c r="AX920" s="78"/>
    </row>
    <row r="921" spans="44:50">
      <c r="AR921" s="86"/>
      <c r="AT921" s="86"/>
      <c r="AV921" s="86"/>
      <c r="AX921" s="78"/>
    </row>
    <row r="922" spans="44:50">
      <c r="AR922" s="86"/>
      <c r="AT922" s="86"/>
      <c r="AV922" s="86"/>
      <c r="AX922" s="78"/>
    </row>
    <row r="923" spans="44:50">
      <c r="AR923" s="86"/>
      <c r="AT923" s="86"/>
      <c r="AV923" s="86"/>
      <c r="AX923" s="78"/>
    </row>
    <row r="924" spans="44:50">
      <c r="AR924" s="86"/>
      <c r="AT924" s="86"/>
      <c r="AV924" s="86"/>
      <c r="AX924" s="78"/>
    </row>
    <row r="925" spans="44:50">
      <c r="AR925" s="86"/>
      <c r="AT925" s="86"/>
      <c r="AV925" s="86"/>
      <c r="AX925" s="78"/>
    </row>
    <row r="926" spans="44:50">
      <c r="AR926" s="86"/>
      <c r="AT926" s="86"/>
      <c r="AV926" s="86"/>
      <c r="AX926" s="78"/>
    </row>
    <row r="927" spans="44:50">
      <c r="AR927" s="86"/>
      <c r="AT927" s="86"/>
      <c r="AV927" s="86"/>
      <c r="AX927" s="78"/>
    </row>
    <row r="928" spans="44:50">
      <c r="AR928" s="86"/>
      <c r="AT928" s="86"/>
      <c r="AV928" s="86"/>
      <c r="AX928" s="78"/>
    </row>
    <row r="929" spans="44:50">
      <c r="AR929" s="86"/>
      <c r="AT929" s="86"/>
      <c r="AV929" s="86"/>
      <c r="AX929" s="78"/>
    </row>
    <row r="930" spans="44:50">
      <c r="AR930" s="86"/>
      <c r="AT930" s="86"/>
      <c r="AV930" s="86"/>
      <c r="AX930" s="78"/>
    </row>
    <row r="931" spans="44:50">
      <c r="AR931" s="86"/>
      <c r="AT931" s="86"/>
      <c r="AV931" s="86"/>
      <c r="AX931" s="78"/>
    </row>
    <row r="932" spans="44:50">
      <c r="AR932" s="86"/>
      <c r="AT932" s="86"/>
      <c r="AV932" s="86"/>
      <c r="AX932" s="78"/>
    </row>
    <row r="933" spans="44:50">
      <c r="AR933" s="86"/>
      <c r="AT933" s="86"/>
      <c r="AV933" s="86"/>
      <c r="AX933" s="78"/>
    </row>
    <row r="934" spans="44:50">
      <c r="AR934" s="86"/>
      <c r="AT934" s="86"/>
      <c r="AV934" s="86"/>
      <c r="AX934" s="78"/>
    </row>
    <row r="935" spans="44:50">
      <c r="AR935" s="86"/>
      <c r="AT935" s="86"/>
      <c r="AV935" s="86"/>
      <c r="AX935" s="78"/>
    </row>
    <row r="936" spans="44:50">
      <c r="AR936" s="86"/>
      <c r="AT936" s="86"/>
      <c r="AV936" s="86"/>
      <c r="AX936" s="78"/>
    </row>
    <row r="937" spans="44:50">
      <c r="AR937" s="86"/>
      <c r="AT937" s="86"/>
      <c r="AV937" s="86"/>
      <c r="AX937" s="78"/>
    </row>
    <row r="938" spans="44:50">
      <c r="AR938" s="86"/>
      <c r="AT938" s="86"/>
      <c r="AV938" s="86"/>
      <c r="AX938" s="78"/>
    </row>
    <row r="939" spans="44:50">
      <c r="AR939" s="86"/>
      <c r="AT939" s="86"/>
      <c r="AV939" s="86"/>
      <c r="AX939" s="78"/>
    </row>
    <row r="940" spans="44:50">
      <c r="AR940" s="86"/>
      <c r="AT940" s="86"/>
      <c r="AV940" s="86"/>
      <c r="AX940" s="78"/>
    </row>
    <row r="941" spans="44:50">
      <c r="AR941" s="86"/>
      <c r="AT941" s="86"/>
      <c r="AV941" s="86"/>
      <c r="AX941" s="78"/>
    </row>
    <row r="942" spans="44:50">
      <c r="AR942" s="86"/>
      <c r="AT942" s="86"/>
      <c r="AV942" s="86"/>
      <c r="AX942" s="78"/>
    </row>
    <row r="943" spans="44:50">
      <c r="AR943" s="86"/>
      <c r="AT943" s="86"/>
      <c r="AV943" s="86"/>
      <c r="AX943" s="78"/>
    </row>
    <row r="944" spans="44:50">
      <c r="AR944" s="86"/>
      <c r="AT944" s="86"/>
      <c r="AV944" s="86"/>
      <c r="AX944" s="78"/>
    </row>
    <row r="945" spans="44:50">
      <c r="AR945" s="86"/>
      <c r="AT945" s="86"/>
      <c r="AV945" s="86"/>
      <c r="AX945" s="78"/>
    </row>
    <row r="946" spans="44:50">
      <c r="AR946" s="86"/>
      <c r="AT946" s="86"/>
      <c r="AV946" s="86"/>
      <c r="AX946" s="78"/>
    </row>
    <row r="947" spans="44:50">
      <c r="AR947" s="86"/>
      <c r="AT947" s="86"/>
      <c r="AV947" s="86"/>
      <c r="AX947" s="78"/>
    </row>
    <row r="948" spans="44:50">
      <c r="AR948" s="86"/>
      <c r="AT948" s="86"/>
      <c r="AV948" s="86"/>
      <c r="AX948" s="78"/>
    </row>
    <row r="949" spans="44:50">
      <c r="AR949" s="86"/>
      <c r="AT949" s="86"/>
      <c r="AV949" s="86"/>
      <c r="AX949" s="78"/>
    </row>
    <row r="950" spans="44:50">
      <c r="AR950" s="86"/>
      <c r="AT950" s="86"/>
      <c r="AV950" s="86"/>
      <c r="AX950" s="78"/>
    </row>
    <row r="951" spans="44:50">
      <c r="AR951" s="86"/>
      <c r="AT951" s="86"/>
      <c r="AV951" s="86"/>
      <c r="AX951" s="78"/>
    </row>
    <row r="952" spans="44:50">
      <c r="AR952" s="86"/>
      <c r="AT952" s="86"/>
      <c r="AV952" s="86"/>
      <c r="AX952" s="78"/>
    </row>
    <row r="953" spans="44:50">
      <c r="AR953" s="86"/>
      <c r="AT953" s="86"/>
      <c r="AV953" s="86"/>
      <c r="AX953" s="78"/>
    </row>
    <row r="954" spans="44:50">
      <c r="AR954" s="86"/>
      <c r="AT954" s="86"/>
      <c r="AV954" s="86"/>
      <c r="AX954" s="78"/>
    </row>
    <row r="955" spans="44:50">
      <c r="AR955" s="86"/>
      <c r="AT955" s="86"/>
      <c r="AV955" s="86"/>
      <c r="AX955" s="78"/>
    </row>
    <row r="956" spans="44:50">
      <c r="AR956" s="86"/>
      <c r="AT956" s="86"/>
      <c r="AV956" s="86"/>
      <c r="AX956" s="78"/>
    </row>
    <row r="957" spans="44:50">
      <c r="AR957" s="86"/>
      <c r="AT957" s="86"/>
      <c r="AV957" s="86"/>
      <c r="AX957" s="78"/>
    </row>
    <row r="958" spans="44:50">
      <c r="AR958" s="86"/>
      <c r="AT958" s="86"/>
      <c r="AV958" s="86"/>
      <c r="AX958" s="78"/>
    </row>
    <row r="959" spans="44:50">
      <c r="AR959" s="86"/>
      <c r="AT959" s="86"/>
      <c r="AV959" s="86"/>
      <c r="AX959" s="78"/>
    </row>
    <row r="960" spans="44:50">
      <c r="AR960" s="86"/>
      <c r="AT960" s="86"/>
      <c r="AV960" s="86"/>
      <c r="AX960" s="78"/>
    </row>
    <row r="961" spans="44:50">
      <c r="AR961" s="86"/>
      <c r="AT961" s="86"/>
      <c r="AV961" s="86"/>
      <c r="AX961" s="78"/>
    </row>
    <row r="962" spans="44:50">
      <c r="AR962" s="86"/>
      <c r="AT962" s="86"/>
      <c r="AV962" s="86"/>
      <c r="AX962" s="78"/>
    </row>
    <row r="963" spans="44:50">
      <c r="AR963" s="86"/>
      <c r="AT963" s="86"/>
      <c r="AV963" s="86"/>
      <c r="AX963" s="78"/>
    </row>
    <row r="964" spans="44:50">
      <c r="AR964" s="86"/>
      <c r="AT964" s="86"/>
      <c r="AV964" s="86"/>
      <c r="AX964" s="78"/>
    </row>
    <row r="965" spans="44:50">
      <c r="AR965" s="86"/>
      <c r="AT965" s="86"/>
      <c r="AV965" s="86"/>
      <c r="AX965" s="78"/>
    </row>
    <row r="966" spans="44:50">
      <c r="AR966" s="86"/>
      <c r="AT966" s="86"/>
      <c r="AV966" s="86"/>
      <c r="AX966" s="78"/>
    </row>
    <row r="967" spans="44:50">
      <c r="AR967" s="86"/>
      <c r="AT967" s="86"/>
      <c r="AV967" s="86"/>
      <c r="AX967" s="78"/>
    </row>
    <row r="968" spans="44:50">
      <c r="AR968" s="86"/>
      <c r="AT968" s="86"/>
      <c r="AV968" s="86"/>
      <c r="AX968" s="78"/>
    </row>
    <row r="969" spans="44:50">
      <c r="AR969" s="86"/>
      <c r="AT969" s="86"/>
      <c r="AV969" s="86"/>
      <c r="AX969" s="78"/>
    </row>
    <row r="970" spans="44:50">
      <c r="AR970" s="86"/>
      <c r="AT970" s="86"/>
      <c r="AV970" s="86"/>
      <c r="AX970" s="78"/>
    </row>
    <row r="971" spans="44:50">
      <c r="AR971" s="86"/>
      <c r="AT971" s="86"/>
      <c r="AV971" s="86"/>
      <c r="AX971" s="78"/>
    </row>
    <row r="972" spans="44:50">
      <c r="AR972" s="86"/>
      <c r="AT972" s="86"/>
      <c r="AV972" s="86"/>
      <c r="AX972" s="78"/>
    </row>
    <row r="973" spans="44:50">
      <c r="AR973" s="86"/>
      <c r="AT973" s="86"/>
      <c r="AV973" s="86"/>
      <c r="AX973" s="78"/>
    </row>
    <row r="974" spans="44:50">
      <c r="AR974" s="86"/>
      <c r="AT974" s="86"/>
      <c r="AV974" s="86"/>
      <c r="AX974" s="78"/>
    </row>
    <row r="975" spans="44:50">
      <c r="AR975" s="86"/>
      <c r="AT975" s="86"/>
      <c r="AV975" s="86"/>
      <c r="AX975" s="78"/>
    </row>
    <row r="976" spans="44:50">
      <c r="AR976" s="86"/>
      <c r="AT976" s="86"/>
      <c r="AV976" s="86"/>
      <c r="AX976" s="78"/>
    </row>
    <row r="977" spans="44:50">
      <c r="AR977" s="86"/>
      <c r="AT977" s="86"/>
      <c r="AV977" s="86"/>
      <c r="AX977" s="78"/>
    </row>
    <row r="978" spans="44:50">
      <c r="AR978" s="86"/>
      <c r="AT978" s="86"/>
      <c r="AV978" s="86"/>
      <c r="AX978" s="78"/>
    </row>
    <row r="979" spans="44:50">
      <c r="AR979" s="86"/>
      <c r="AT979" s="86"/>
      <c r="AV979" s="86"/>
      <c r="AX979" s="78"/>
    </row>
    <row r="980" spans="44:50">
      <c r="AR980" s="86"/>
      <c r="AT980" s="86"/>
      <c r="AV980" s="86"/>
      <c r="AX980" s="78"/>
    </row>
    <row r="981" spans="44:50">
      <c r="AR981" s="86"/>
      <c r="AT981" s="86"/>
      <c r="AV981" s="86"/>
      <c r="AX981" s="78"/>
    </row>
    <row r="982" spans="44:50">
      <c r="AR982" s="86"/>
      <c r="AT982" s="86"/>
      <c r="AV982" s="86"/>
      <c r="AX982" s="78"/>
    </row>
    <row r="983" spans="44:50">
      <c r="AR983" s="86"/>
      <c r="AT983" s="86"/>
      <c r="AV983" s="86"/>
      <c r="AX983" s="78"/>
    </row>
    <row r="984" spans="44:50">
      <c r="AR984" s="86"/>
      <c r="AT984" s="86"/>
      <c r="AV984" s="86"/>
      <c r="AX984" s="78"/>
    </row>
    <row r="985" spans="44:50">
      <c r="AR985" s="86"/>
      <c r="AT985" s="86"/>
      <c r="AV985" s="86"/>
      <c r="AX985" s="78"/>
    </row>
    <row r="986" spans="44:50">
      <c r="AR986" s="86"/>
      <c r="AT986" s="86"/>
      <c r="AV986" s="86"/>
      <c r="AX986" s="78"/>
    </row>
    <row r="987" spans="44:50">
      <c r="AR987" s="86"/>
      <c r="AT987" s="86"/>
      <c r="AV987" s="86"/>
      <c r="AX987" s="78"/>
    </row>
    <row r="988" spans="44:50">
      <c r="AR988" s="86"/>
      <c r="AT988" s="86"/>
      <c r="AV988" s="86"/>
      <c r="AX988" s="78"/>
    </row>
    <row r="989" spans="44:50">
      <c r="AR989" s="86"/>
      <c r="AT989" s="86"/>
      <c r="AV989" s="86"/>
      <c r="AX989" s="78"/>
    </row>
    <row r="990" spans="44:50">
      <c r="AR990" s="86"/>
      <c r="AT990" s="86"/>
      <c r="AV990" s="86"/>
      <c r="AX990" s="78"/>
    </row>
    <row r="991" spans="44:50">
      <c r="AR991" s="86"/>
      <c r="AT991" s="86"/>
      <c r="AV991" s="86"/>
      <c r="AX991" s="78"/>
    </row>
    <row r="992" spans="44:50">
      <c r="AR992" s="86"/>
      <c r="AT992" s="86"/>
      <c r="AV992" s="86"/>
      <c r="AX992" s="78"/>
    </row>
    <row r="993" spans="44:50">
      <c r="AR993" s="86"/>
      <c r="AT993" s="86"/>
      <c r="AV993" s="86"/>
      <c r="AX993" s="78"/>
    </row>
    <row r="994" spans="44:50">
      <c r="AR994" s="86"/>
      <c r="AT994" s="86"/>
      <c r="AV994" s="86"/>
      <c r="AX994" s="78"/>
    </row>
    <row r="995" spans="44:50">
      <c r="AR995" s="86"/>
      <c r="AT995" s="86"/>
      <c r="AV995" s="86"/>
      <c r="AX995" s="78"/>
    </row>
    <row r="996" spans="44:50">
      <c r="AR996" s="86"/>
      <c r="AT996" s="86"/>
      <c r="AV996" s="86"/>
      <c r="AX996" s="78"/>
    </row>
    <row r="997" spans="44:50">
      <c r="AR997" s="86"/>
      <c r="AT997" s="86"/>
      <c r="AV997" s="86"/>
      <c r="AX997" s="78"/>
    </row>
    <row r="998" spans="44:50">
      <c r="AR998" s="86"/>
      <c r="AT998" s="86"/>
      <c r="AV998" s="86"/>
      <c r="AX998" s="78"/>
    </row>
    <row r="999" spans="44:50">
      <c r="AR999" s="86"/>
      <c r="AT999" s="86"/>
      <c r="AV999" s="86"/>
      <c r="AX999" s="78"/>
    </row>
    <row r="1000" spans="44:50">
      <c r="AR1000" s="86"/>
      <c r="AT1000" s="86"/>
      <c r="AV1000" s="86"/>
      <c r="AX1000" s="78"/>
    </row>
    <row r="1001" spans="44:50">
      <c r="AR1001" s="86"/>
      <c r="AT1001" s="86"/>
      <c r="AV1001" s="86"/>
    </row>
    <row r="1002" spans="44:50">
      <c r="AR1002" s="86"/>
    </row>
    <row r="1003" spans="44:50">
      <c r="AR1003" s="86"/>
    </row>
    <row r="1004" spans="44:50">
      <c r="AR1004" s="86"/>
    </row>
    <row r="1005" spans="44:50">
      <c r="AR1005" s="86"/>
    </row>
    <row r="1006" spans="44:50">
      <c r="AR1006" s="86"/>
    </row>
    <row r="1007" spans="44:50">
      <c r="AR1007" s="86"/>
    </row>
    <row r="1008" spans="44:50">
      <c r="AR1008" s="86"/>
    </row>
    <row r="1009" spans="44:44">
      <c r="AR1009" s="86"/>
    </row>
    <row r="1010" spans="44:44">
      <c r="AR1010" s="86"/>
    </row>
    <row r="1011" spans="44:44">
      <c r="AR1011" s="86"/>
    </row>
    <row r="1012" spans="44:44">
      <c r="AR1012" s="86"/>
    </row>
    <row r="1013" spans="44:44">
      <c r="AR1013" s="86"/>
    </row>
    <row r="1014" spans="44:44">
      <c r="AR1014" s="86"/>
    </row>
    <row r="1015" spans="44:44">
      <c r="AR1015" s="86"/>
    </row>
    <row r="1016" spans="44:44">
      <c r="AR1016" s="86"/>
    </row>
    <row r="1017" spans="44:44">
      <c r="AR1017" s="86"/>
    </row>
    <row r="1018" spans="44:44">
      <c r="AR1018" s="86"/>
    </row>
    <row r="1019" spans="44:44">
      <c r="AR1019" s="86"/>
    </row>
    <row r="1020" spans="44:44">
      <c r="AR1020" s="86"/>
    </row>
    <row r="1021" spans="44:44">
      <c r="AR1021" s="86"/>
    </row>
    <row r="1022" spans="44:44">
      <c r="AR1022" s="86"/>
    </row>
    <row r="1023" spans="44:44">
      <c r="AR1023" s="86"/>
    </row>
    <row r="1024" spans="44:44">
      <c r="AR1024" s="86"/>
    </row>
    <row r="1025" spans="44:44">
      <c r="AR1025" s="86"/>
    </row>
    <row r="1026" spans="44:44">
      <c r="AR1026" s="86"/>
    </row>
    <row r="1027" spans="44:44">
      <c r="AR1027" s="86"/>
    </row>
    <row r="1028" spans="44:44">
      <c r="AR1028" s="86"/>
    </row>
    <row r="1029" spans="44:44">
      <c r="AR1029" s="86"/>
    </row>
    <row r="1030" spans="44:44">
      <c r="AR1030" s="86"/>
    </row>
    <row r="1031" spans="44:44">
      <c r="AR1031" s="86"/>
    </row>
    <row r="1032" spans="44:44">
      <c r="AR1032" s="86"/>
    </row>
    <row r="1033" spans="44:44">
      <c r="AR1033" s="86"/>
    </row>
    <row r="1034" spans="44:44">
      <c r="AR1034" s="86"/>
    </row>
    <row r="1035" spans="44:44">
      <c r="AR1035" s="86"/>
    </row>
    <row r="1036" spans="44:44">
      <c r="AR1036" s="86"/>
    </row>
    <row r="1037" spans="44:44">
      <c r="AR1037" s="86"/>
    </row>
    <row r="1038" spans="44:44">
      <c r="AR1038" s="86"/>
    </row>
    <row r="1039" spans="44:44">
      <c r="AR1039" s="86"/>
    </row>
    <row r="1040" spans="44:44">
      <c r="AR1040" s="86"/>
    </row>
    <row r="1041" spans="44:44">
      <c r="AR1041" s="86"/>
    </row>
    <row r="1042" spans="44:44">
      <c r="AR1042" s="86"/>
    </row>
    <row r="1043" spans="44:44">
      <c r="AR1043" s="86"/>
    </row>
    <row r="1044" spans="44:44">
      <c r="AR1044" s="86"/>
    </row>
    <row r="1045" spans="44:44">
      <c r="AR1045" s="86"/>
    </row>
    <row r="1046" spans="44:44">
      <c r="AR1046" s="86"/>
    </row>
    <row r="1047" spans="44:44">
      <c r="AR1047" s="86"/>
    </row>
    <row r="1048" spans="44:44">
      <c r="AR1048" s="86"/>
    </row>
    <row r="1049" spans="44:44">
      <c r="AR1049" s="86"/>
    </row>
    <row r="1050" spans="44:44">
      <c r="AR1050" s="86"/>
    </row>
    <row r="1051" spans="44:44">
      <c r="AR1051" s="86"/>
    </row>
    <row r="1052" spans="44:44">
      <c r="AR1052" s="86"/>
    </row>
    <row r="1053" spans="44:44">
      <c r="AR1053" s="86"/>
    </row>
    <row r="1054" spans="44:44">
      <c r="AR1054" s="86"/>
    </row>
    <row r="1055" spans="44:44">
      <c r="AR1055" s="86"/>
    </row>
    <row r="1056" spans="44:44">
      <c r="AR1056" s="86"/>
    </row>
    <row r="1057" spans="44:44">
      <c r="AR1057" s="86"/>
    </row>
    <row r="1058" spans="44:44">
      <c r="AR1058" s="86"/>
    </row>
    <row r="1059" spans="44:44">
      <c r="AR1059" s="86"/>
    </row>
    <row r="1060" spans="44:44">
      <c r="AR1060" s="86"/>
    </row>
    <row r="1061" spans="44:44">
      <c r="AR1061" s="86"/>
    </row>
    <row r="1062" spans="44:44">
      <c r="AR1062" s="86"/>
    </row>
    <row r="1063" spans="44:44">
      <c r="AR1063" s="86"/>
    </row>
    <row r="1064" spans="44:44">
      <c r="AR1064" s="86"/>
    </row>
    <row r="1065" spans="44:44">
      <c r="AR1065" s="86"/>
    </row>
    <row r="1066" spans="44:44">
      <c r="AR1066" s="86"/>
    </row>
    <row r="1067" spans="44:44">
      <c r="AR1067" s="86"/>
    </row>
    <row r="1068" spans="44:44">
      <c r="AR1068" s="86"/>
    </row>
    <row r="1069" spans="44:44">
      <c r="AR1069" s="86"/>
    </row>
    <row r="1070" spans="44:44">
      <c r="AR1070" s="86"/>
    </row>
    <row r="1071" spans="44:44">
      <c r="AR1071" s="86"/>
    </row>
    <row r="1072" spans="44:44">
      <c r="AR1072" s="86"/>
    </row>
    <row r="1073" spans="44:44">
      <c r="AR1073" s="86"/>
    </row>
    <row r="1074" spans="44:44">
      <c r="AR1074" s="86"/>
    </row>
    <row r="1075" spans="44:44">
      <c r="AR1075" s="86"/>
    </row>
    <row r="1076" spans="44:44">
      <c r="AR1076" s="86"/>
    </row>
    <row r="1077" spans="44:44">
      <c r="AR1077" s="86"/>
    </row>
    <row r="1078" spans="44:44">
      <c r="AR1078" s="86"/>
    </row>
    <row r="1079" spans="44:44">
      <c r="AR1079" s="86"/>
    </row>
    <row r="1080" spans="44:44">
      <c r="AR1080" s="86"/>
    </row>
    <row r="1081" spans="44:44">
      <c r="AR1081" s="86"/>
    </row>
    <row r="1082" spans="44:44">
      <c r="AR1082" s="86"/>
    </row>
    <row r="1083" spans="44:44">
      <c r="AR1083" s="86"/>
    </row>
    <row r="1084" spans="44:44">
      <c r="AR1084" s="86"/>
    </row>
    <row r="1085" spans="44:44">
      <c r="AR1085" s="86"/>
    </row>
    <row r="1086" spans="44:44">
      <c r="AR1086" s="86"/>
    </row>
    <row r="1087" spans="44:44">
      <c r="AR1087" s="86"/>
    </row>
    <row r="1088" spans="44:44">
      <c r="AR1088" s="86"/>
    </row>
    <row r="1089" spans="44:44">
      <c r="AR1089" s="86"/>
    </row>
    <row r="1090" spans="44:44">
      <c r="AR1090" s="86"/>
    </row>
    <row r="1091" spans="44:44">
      <c r="AR1091" s="86"/>
    </row>
    <row r="1092" spans="44:44">
      <c r="AR1092" s="86"/>
    </row>
    <row r="1093" spans="44:44">
      <c r="AR1093" s="86"/>
    </row>
    <row r="1094" spans="44:44">
      <c r="AR1094" s="86"/>
    </row>
    <row r="1095" spans="44:44">
      <c r="AR1095" s="86"/>
    </row>
    <row r="1096" spans="44:44">
      <c r="AR1096" s="86"/>
    </row>
    <row r="1097" spans="44:44">
      <c r="AR1097" s="86"/>
    </row>
    <row r="1098" spans="44:44">
      <c r="AR1098" s="86"/>
    </row>
    <row r="1099" spans="44:44">
      <c r="AR1099" s="86"/>
    </row>
    <row r="1100" spans="44:44">
      <c r="AR1100" s="86"/>
    </row>
    <row r="1101" spans="44:44">
      <c r="AR1101" s="86"/>
    </row>
    <row r="1102" spans="44:44">
      <c r="AR1102" s="86"/>
    </row>
    <row r="1103" spans="44:44">
      <c r="AR1103" s="86"/>
    </row>
    <row r="1104" spans="44:44">
      <c r="AR1104" s="86"/>
    </row>
    <row r="1105" spans="44:44">
      <c r="AR1105" s="86"/>
    </row>
    <row r="1106" spans="44:44">
      <c r="AR1106" s="86"/>
    </row>
    <row r="1107" spans="44:44">
      <c r="AR1107" s="86"/>
    </row>
    <row r="1108" spans="44:44">
      <c r="AR1108" s="86"/>
    </row>
    <row r="1109" spans="44:44">
      <c r="AR1109" s="86"/>
    </row>
    <row r="1110" spans="44:44">
      <c r="AR1110" s="86"/>
    </row>
    <row r="1111" spans="44:44">
      <c r="AR1111" s="86"/>
    </row>
    <row r="1112" spans="44:44">
      <c r="AR1112" s="86"/>
    </row>
    <row r="1113" spans="44:44">
      <c r="AR1113" s="86"/>
    </row>
    <row r="1114" spans="44:44">
      <c r="AR1114" s="86"/>
    </row>
    <row r="1115" spans="44:44">
      <c r="AR1115" s="86"/>
    </row>
    <row r="1116" spans="44:44">
      <c r="AR1116" s="86"/>
    </row>
    <row r="1117" spans="44:44">
      <c r="AR1117" s="86"/>
    </row>
    <row r="1118" spans="44:44">
      <c r="AR1118" s="86"/>
    </row>
    <row r="1119" spans="44:44">
      <c r="AR1119" s="86"/>
    </row>
    <row r="1120" spans="44:44">
      <c r="AR1120" s="86"/>
    </row>
    <row r="1121" spans="44:44">
      <c r="AR1121" s="86"/>
    </row>
    <row r="1122" spans="44:44">
      <c r="AR1122" s="86"/>
    </row>
    <row r="1123" spans="44:44">
      <c r="AR1123" s="86"/>
    </row>
    <row r="1124" spans="44:44">
      <c r="AR1124" s="86"/>
    </row>
    <row r="1125" spans="44:44">
      <c r="AR1125" s="86"/>
    </row>
    <row r="1126" spans="44:44">
      <c r="AR1126" s="86"/>
    </row>
    <row r="1127" spans="44:44">
      <c r="AR1127" s="86"/>
    </row>
    <row r="1128" spans="44:44">
      <c r="AR1128" s="86"/>
    </row>
    <row r="1129" spans="44:44">
      <c r="AR1129" s="86"/>
    </row>
    <row r="1130" spans="44:44">
      <c r="AR1130" s="86"/>
    </row>
    <row r="1131" spans="44:44">
      <c r="AR1131" s="86"/>
    </row>
    <row r="1132" spans="44:44">
      <c r="AR1132" s="86"/>
    </row>
    <row r="1133" spans="44:44">
      <c r="AR1133" s="86"/>
    </row>
    <row r="1134" spans="44:44">
      <c r="AR1134" s="86"/>
    </row>
    <row r="1135" spans="44:44">
      <c r="AR1135" s="86"/>
    </row>
    <row r="1136" spans="44:44">
      <c r="AR1136" s="86"/>
    </row>
    <row r="1137" spans="44:44">
      <c r="AR1137" s="86"/>
    </row>
    <row r="1138" spans="44:44">
      <c r="AR1138" s="86"/>
    </row>
    <row r="1139" spans="44:44">
      <c r="AR1139" s="86"/>
    </row>
    <row r="1140" spans="44:44">
      <c r="AR1140" s="86"/>
    </row>
    <row r="1141" spans="44:44">
      <c r="AR1141" s="86"/>
    </row>
    <row r="1142" spans="44:44">
      <c r="AR1142" s="86"/>
    </row>
    <row r="1143" spans="44:44">
      <c r="AR1143" s="86"/>
    </row>
    <row r="1144" spans="44:44">
      <c r="AR1144" s="86"/>
    </row>
    <row r="1145" spans="44:44">
      <c r="AR1145" s="86"/>
    </row>
    <row r="1146" spans="44:44">
      <c r="AR1146" s="86"/>
    </row>
    <row r="1147" spans="44:44">
      <c r="AR1147" s="86"/>
    </row>
    <row r="1148" spans="44:44">
      <c r="AR1148" s="86"/>
    </row>
    <row r="1149" spans="44:44">
      <c r="AR1149" s="86"/>
    </row>
    <row r="1150" spans="44:44">
      <c r="AR1150" s="86"/>
    </row>
    <row r="1151" spans="44:44">
      <c r="AR1151" s="86"/>
    </row>
    <row r="1152" spans="44:44">
      <c r="AR1152" s="86"/>
    </row>
    <row r="1153" spans="44:44">
      <c r="AR1153" s="86"/>
    </row>
    <row r="1154" spans="44:44">
      <c r="AR1154" s="86"/>
    </row>
    <row r="1155" spans="44:44">
      <c r="AR1155" s="86"/>
    </row>
    <row r="1156" spans="44:44">
      <c r="AR1156" s="86"/>
    </row>
    <row r="1157" spans="44:44">
      <c r="AR1157" s="86"/>
    </row>
    <row r="1158" spans="44:44">
      <c r="AR1158" s="86"/>
    </row>
    <row r="1159" spans="44:44">
      <c r="AR1159" s="86"/>
    </row>
    <row r="1160" spans="44:44">
      <c r="AR1160" s="86"/>
    </row>
    <row r="1161" spans="44:44">
      <c r="AR1161" s="86"/>
    </row>
    <row r="1162" spans="44:44">
      <c r="AR1162" s="86"/>
    </row>
    <row r="1163" spans="44:44">
      <c r="AR1163" s="86"/>
    </row>
    <row r="1164" spans="44:44">
      <c r="AR1164" s="86"/>
    </row>
    <row r="1165" spans="44:44">
      <c r="AR1165" s="86"/>
    </row>
    <row r="1166" spans="44:44">
      <c r="AR1166" s="86"/>
    </row>
    <row r="1167" spans="44:44">
      <c r="AR1167" s="86"/>
    </row>
    <row r="1168" spans="44:44">
      <c r="AR1168" s="86"/>
    </row>
    <row r="1169" spans="44:44">
      <c r="AR1169" s="86"/>
    </row>
    <row r="1170" spans="44:44">
      <c r="AR1170" s="86"/>
    </row>
    <row r="1171" spans="44:44">
      <c r="AR1171" s="86"/>
    </row>
    <row r="1172" spans="44:44">
      <c r="AR1172" s="86"/>
    </row>
    <row r="1173" spans="44:44">
      <c r="AR1173" s="86"/>
    </row>
    <row r="1174" spans="44:44">
      <c r="AR1174" s="86"/>
    </row>
    <row r="1175" spans="44:44">
      <c r="AR1175" s="86"/>
    </row>
    <row r="1176" spans="44:44">
      <c r="AR1176" s="86"/>
    </row>
    <row r="1177" spans="44:44">
      <c r="AR1177" s="86"/>
    </row>
    <row r="1178" spans="44:44">
      <c r="AR1178" s="86"/>
    </row>
    <row r="1179" spans="44:44">
      <c r="AR1179" s="86"/>
    </row>
    <row r="1180" spans="44:44">
      <c r="AR1180" s="86"/>
    </row>
    <row r="1181" spans="44:44">
      <c r="AR1181" s="86"/>
    </row>
    <row r="1182" spans="44:44">
      <c r="AR1182" s="86"/>
    </row>
    <row r="1183" spans="44:44">
      <c r="AR1183" s="86"/>
    </row>
    <row r="1184" spans="44:44">
      <c r="AR1184" s="86"/>
    </row>
    <row r="1185" spans="44:44">
      <c r="AR1185" s="86"/>
    </row>
    <row r="1186" spans="44:44">
      <c r="AR1186" s="86"/>
    </row>
    <row r="1187" spans="44:44">
      <c r="AR1187" s="86"/>
    </row>
    <row r="1188" spans="44:44">
      <c r="AR1188" s="86"/>
    </row>
    <row r="1189" spans="44:44">
      <c r="AR1189" s="86"/>
    </row>
    <row r="1190" spans="44:44">
      <c r="AR1190" s="86"/>
    </row>
    <row r="1191" spans="44:44">
      <c r="AR1191" s="86"/>
    </row>
    <row r="1192" spans="44:44">
      <c r="AR1192" s="86"/>
    </row>
    <row r="1193" spans="44:44">
      <c r="AR1193" s="86"/>
    </row>
    <row r="1194" spans="44:44">
      <c r="AR1194" s="86"/>
    </row>
    <row r="1195" spans="44:44">
      <c r="AR1195" s="86"/>
    </row>
    <row r="1196" spans="44:44">
      <c r="AR1196" s="86"/>
    </row>
    <row r="1197" spans="44:44">
      <c r="AR1197" s="86"/>
    </row>
    <row r="1198" spans="44:44">
      <c r="AR1198" s="86"/>
    </row>
    <row r="1199" spans="44:44">
      <c r="AR1199" s="86"/>
    </row>
    <row r="1200" spans="44:44">
      <c r="AR1200" s="86"/>
    </row>
    <row r="1201" spans="44:44">
      <c r="AR1201" s="86"/>
    </row>
    <row r="1202" spans="44:44">
      <c r="AR1202" s="86"/>
    </row>
    <row r="1203" spans="44:44">
      <c r="AR1203" s="86"/>
    </row>
    <row r="1204" spans="44:44">
      <c r="AR1204" s="86"/>
    </row>
    <row r="1205" spans="44:44">
      <c r="AR1205" s="86"/>
    </row>
    <row r="1206" spans="44:44">
      <c r="AR1206" s="86"/>
    </row>
    <row r="1207" spans="44:44">
      <c r="AR1207" s="86"/>
    </row>
    <row r="1208" spans="44:44">
      <c r="AR1208" s="86"/>
    </row>
    <row r="1209" spans="44:44">
      <c r="AR1209" s="86"/>
    </row>
    <row r="1210" spans="44:44">
      <c r="AR1210" s="86"/>
    </row>
    <row r="1211" spans="44:44">
      <c r="AR1211" s="86"/>
    </row>
    <row r="1212" spans="44:44">
      <c r="AR1212" s="86"/>
    </row>
    <row r="1213" spans="44:44">
      <c r="AR1213" s="86"/>
    </row>
    <row r="1214" spans="44:44">
      <c r="AR1214" s="86"/>
    </row>
    <row r="1215" spans="44:44">
      <c r="AR1215" s="86"/>
    </row>
    <row r="1216" spans="44:44">
      <c r="AR1216" s="86"/>
    </row>
    <row r="1217" spans="44:44">
      <c r="AR1217" s="86"/>
    </row>
    <row r="1218" spans="44:44">
      <c r="AR1218" s="86"/>
    </row>
    <row r="1219" spans="44:44">
      <c r="AR1219" s="86"/>
    </row>
    <row r="1220" spans="44:44">
      <c r="AR1220" s="86"/>
    </row>
    <row r="1221" spans="44:44">
      <c r="AR1221" s="86"/>
    </row>
    <row r="1222" spans="44:44">
      <c r="AR1222" s="86"/>
    </row>
    <row r="1223" spans="44:44">
      <c r="AR1223" s="86"/>
    </row>
    <row r="1224" spans="44:44">
      <c r="AR1224" s="86"/>
    </row>
    <row r="1225" spans="44:44">
      <c r="AR1225" s="86"/>
    </row>
    <row r="1226" spans="44:44">
      <c r="AR1226" s="86"/>
    </row>
    <row r="1227" spans="44:44">
      <c r="AR1227" s="86"/>
    </row>
    <row r="1228" spans="44:44">
      <c r="AR1228" s="86"/>
    </row>
    <row r="1229" spans="44:44">
      <c r="AR1229" s="86"/>
    </row>
    <row r="1230" spans="44:44">
      <c r="AR1230" s="86"/>
    </row>
    <row r="1231" spans="44:44">
      <c r="AR1231" s="86"/>
    </row>
    <row r="1232" spans="44:44">
      <c r="AR1232" s="86"/>
    </row>
    <row r="1233" spans="44:44">
      <c r="AR1233" s="86"/>
    </row>
    <row r="1234" spans="44:44">
      <c r="AR1234" s="86"/>
    </row>
    <row r="1235" spans="44:44">
      <c r="AR1235" s="86"/>
    </row>
    <row r="1236" spans="44:44">
      <c r="AR1236" s="86"/>
    </row>
    <row r="1237" spans="44:44">
      <c r="AR1237" s="86"/>
    </row>
    <row r="1238" spans="44:44">
      <c r="AR1238" s="86"/>
    </row>
    <row r="1239" spans="44:44">
      <c r="AR1239" s="86"/>
    </row>
    <row r="1240" spans="44:44">
      <c r="AR1240" s="86"/>
    </row>
    <row r="1241" spans="44:44">
      <c r="AR1241" s="86"/>
    </row>
    <row r="1242" spans="44:44">
      <c r="AR1242" s="86"/>
    </row>
    <row r="1243" spans="44:44">
      <c r="AR1243" s="86"/>
    </row>
    <row r="1244" spans="44:44">
      <c r="AR1244" s="86"/>
    </row>
    <row r="1245" spans="44:44">
      <c r="AR1245" s="86"/>
    </row>
    <row r="1246" spans="44:44">
      <c r="AR1246" s="86"/>
    </row>
    <row r="1247" spans="44:44">
      <c r="AR1247" s="86"/>
    </row>
    <row r="1248" spans="44:44">
      <c r="AR1248" s="86"/>
    </row>
    <row r="1249" spans="44:44">
      <c r="AR1249" s="86"/>
    </row>
    <row r="1250" spans="44:44">
      <c r="AR1250" s="86"/>
    </row>
    <row r="1251" spans="44:44">
      <c r="AR1251" s="86"/>
    </row>
    <row r="1252" spans="44:44">
      <c r="AR1252" s="86"/>
    </row>
    <row r="1253" spans="44:44">
      <c r="AR1253" s="86"/>
    </row>
    <row r="1254" spans="44:44">
      <c r="AR1254" s="86"/>
    </row>
    <row r="1255" spans="44:44">
      <c r="AR1255" s="86"/>
    </row>
    <row r="1256" spans="44:44">
      <c r="AR1256" s="86"/>
    </row>
    <row r="1257" spans="44:44">
      <c r="AR1257" s="86"/>
    </row>
    <row r="1258" spans="44:44">
      <c r="AR1258" s="86"/>
    </row>
    <row r="1259" spans="44:44">
      <c r="AR1259" s="86"/>
    </row>
    <row r="1260" spans="44:44">
      <c r="AR1260" s="86"/>
    </row>
    <row r="1261" spans="44:44">
      <c r="AR1261" s="86"/>
    </row>
    <row r="1262" spans="44:44">
      <c r="AR1262" s="86"/>
    </row>
    <row r="1263" spans="44:44">
      <c r="AR1263" s="86"/>
    </row>
    <row r="1264" spans="44:44">
      <c r="AR1264" s="86"/>
    </row>
    <row r="1265" spans="44:44">
      <c r="AR1265" s="86"/>
    </row>
    <row r="1266" spans="44:44">
      <c r="AR1266" s="86"/>
    </row>
    <row r="1267" spans="44:44">
      <c r="AR1267" s="86"/>
    </row>
    <row r="1268" spans="44:44">
      <c r="AR1268" s="86"/>
    </row>
    <row r="1269" spans="44:44">
      <c r="AR1269" s="86"/>
    </row>
    <row r="1270" spans="44:44">
      <c r="AR1270" s="86"/>
    </row>
    <row r="1271" spans="44:44">
      <c r="AR1271" s="86"/>
    </row>
    <row r="1272" spans="44:44">
      <c r="AR1272" s="86"/>
    </row>
    <row r="1273" spans="44:44">
      <c r="AR1273" s="86"/>
    </row>
    <row r="1274" spans="44:44">
      <c r="AR1274" s="86"/>
    </row>
    <row r="1275" spans="44:44">
      <c r="AR1275" s="86"/>
    </row>
    <row r="1276" spans="44:44">
      <c r="AR1276" s="86"/>
    </row>
    <row r="1277" spans="44:44">
      <c r="AR1277" s="86"/>
    </row>
    <row r="1278" spans="44:44">
      <c r="AR1278" s="86"/>
    </row>
    <row r="1279" spans="44:44">
      <c r="AR1279" s="86"/>
    </row>
    <row r="1280" spans="44:44">
      <c r="AR1280" s="86"/>
    </row>
    <row r="1281" spans="44:44">
      <c r="AR1281" s="86"/>
    </row>
    <row r="1282" spans="44:44">
      <c r="AR1282" s="86"/>
    </row>
    <row r="1283" spans="44:44">
      <c r="AR1283" s="86"/>
    </row>
    <row r="1284" spans="44:44">
      <c r="AR1284" s="86"/>
    </row>
    <row r="1285" spans="44:44">
      <c r="AR1285" s="86"/>
    </row>
    <row r="1286" spans="44:44">
      <c r="AR1286" s="86"/>
    </row>
    <row r="1287" spans="44:44">
      <c r="AR1287" s="86"/>
    </row>
    <row r="1288" spans="44:44">
      <c r="AR1288" s="86"/>
    </row>
    <row r="1289" spans="44:44">
      <c r="AR1289" s="86"/>
    </row>
    <row r="1290" spans="44:44">
      <c r="AR1290" s="86"/>
    </row>
    <row r="1291" spans="44:44">
      <c r="AR1291" s="86"/>
    </row>
    <row r="1292" spans="44:44">
      <c r="AR1292" s="86"/>
    </row>
    <row r="1293" spans="44:44">
      <c r="AR1293" s="86"/>
    </row>
    <row r="1294" spans="44:44">
      <c r="AR1294" s="86"/>
    </row>
    <row r="1295" spans="44:44">
      <c r="AR1295" s="86"/>
    </row>
    <row r="1296" spans="44:44">
      <c r="AR1296" s="86"/>
    </row>
    <row r="1297" spans="44:44">
      <c r="AR1297" s="86"/>
    </row>
    <row r="1298" spans="44:44">
      <c r="AR1298" s="86"/>
    </row>
    <row r="1299" spans="44:44">
      <c r="AR1299" s="86"/>
    </row>
    <row r="1300" spans="44:44">
      <c r="AR1300" s="86"/>
    </row>
    <row r="1301" spans="44:44">
      <c r="AR1301" s="86"/>
    </row>
    <row r="1302" spans="44:44">
      <c r="AR1302" s="86"/>
    </row>
    <row r="1303" spans="44:44">
      <c r="AR1303" s="86"/>
    </row>
    <row r="1304" spans="44:44">
      <c r="AR1304" s="86"/>
    </row>
    <row r="1305" spans="44:44">
      <c r="AR1305" s="86"/>
    </row>
    <row r="1306" spans="44:44">
      <c r="AR1306" s="86"/>
    </row>
    <row r="1307" spans="44:44">
      <c r="AR1307" s="86"/>
    </row>
    <row r="1308" spans="44:44">
      <c r="AR1308" s="86"/>
    </row>
    <row r="1309" spans="44:44">
      <c r="AR1309" s="86"/>
    </row>
    <row r="1310" spans="44:44">
      <c r="AR1310" s="86"/>
    </row>
    <row r="1311" spans="44:44">
      <c r="AR1311" s="86"/>
    </row>
    <row r="1312" spans="44:44">
      <c r="AR1312" s="86"/>
    </row>
    <row r="1313" spans="44:44">
      <c r="AR1313" s="86"/>
    </row>
    <row r="1314" spans="44:44">
      <c r="AR1314" s="86"/>
    </row>
    <row r="1315" spans="44:44">
      <c r="AR1315" s="86"/>
    </row>
    <row r="1316" spans="44:44">
      <c r="AR1316" s="86"/>
    </row>
    <row r="1317" spans="44:44">
      <c r="AR1317" s="86"/>
    </row>
    <row r="1318" spans="44:44">
      <c r="AR1318" s="86"/>
    </row>
    <row r="1319" spans="44:44">
      <c r="AR1319" s="86"/>
    </row>
    <row r="1320" spans="44:44">
      <c r="AR1320" s="86"/>
    </row>
    <row r="1321" spans="44:44">
      <c r="AR1321" s="86"/>
    </row>
    <row r="1322" spans="44:44">
      <c r="AR1322" s="86"/>
    </row>
    <row r="1323" spans="44:44">
      <c r="AR1323" s="86"/>
    </row>
    <row r="1324" spans="44:44">
      <c r="AR1324" s="86"/>
    </row>
    <row r="1325" spans="44:44">
      <c r="AR1325" s="86"/>
    </row>
    <row r="1326" spans="44:44">
      <c r="AR1326" s="86"/>
    </row>
    <row r="1327" spans="44:44">
      <c r="AR1327" s="86"/>
    </row>
    <row r="1328" spans="44:44">
      <c r="AR1328" s="86"/>
    </row>
    <row r="1329" spans="44:44">
      <c r="AR1329" s="86"/>
    </row>
    <row r="1330" spans="44:44">
      <c r="AR1330" s="86"/>
    </row>
    <row r="1331" spans="44:44">
      <c r="AR1331" s="86"/>
    </row>
    <row r="1332" spans="44:44">
      <c r="AR1332" s="86"/>
    </row>
    <row r="1333" spans="44:44">
      <c r="AR1333" s="86"/>
    </row>
    <row r="1334" spans="44:44">
      <c r="AR1334" s="86"/>
    </row>
    <row r="1335" spans="44:44">
      <c r="AR1335" s="86"/>
    </row>
    <row r="1336" spans="44:44">
      <c r="AR1336" s="86"/>
    </row>
    <row r="1337" spans="44:44">
      <c r="AR1337" s="86"/>
    </row>
    <row r="1338" spans="44:44">
      <c r="AR1338" s="86"/>
    </row>
    <row r="1339" spans="44:44">
      <c r="AR1339" s="86"/>
    </row>
    <row r="1340" spans="44:44">
      <c r="AR1340" s="86"/>
    </row>
    <row r="1341" spans="44:44">
      <c r="AR1341" s="86"/>
    </row>
    <row r="1342" spans="44:44">
      <c r="AR1342" s="86"/>
    </row>
    <row r="1343" spans="44:44">
      <c r="AR1343" s="86"/>
    </row>
    <row r="1344" spans="44:44">
      <c r="AR1344" s="86"/>
    </row>
    <row r="1345" spans="44:44">
      <c r="AR1345" s="86"/>
    </row>
    <row r="1346" spans="44:44">
      <c r="AR1346" s="86"/>
    </row>
    <row r="1347" spans="44:44">
      <c r="AR1347" s="86"/>
    </row>
    <row r="1348" spans="44:44">
      <c r="AR1348" s="86"/>
    </row>
    <row r="1349" spans="44:44">
      <c r="AR1349" s="86"/>
    </row>
    <row r="1350" spans="44:44">
      <c r="AR1350" s="86"/>
    </row>
    <row r="1351" spans="44:44">
      <c r="AR1351" s="86"/>
    </row>
    <row r="1352" spans="44:44">
      <c r="AR1352" s="86"/>
    </row>
    <row r="1353" spans="44:44">
      <c r="AR1353" s="86"/>
    </row>
    <row r="1354" spans="44:44">
      <c r="AR1354" s="86"/>
    </row>
    <row r="1355" spans="44:44">
      <c r="AR1355" s="86"/>
    </row>
    <row r="1356" spans="44:44">
      <c r="AR1356" s="86"/>
    </row>
    <row r="1357" spans="44:44">
      <c r="AR1357" s="86"/>
    </row>
    <row r="1358" spans="44:44">
      <c r="AR1358" s="86"/>
    </row>
    <row r="1359" spans="44:44">
      <c r="AR1359" s="86"/>
    </row>
    <row r="1360" spans="44:44">
      <c r="AR1360" s="86"/>
    </row>
    <row r="1361" spans="44:44">
      <c r="AR1361" s="86"/>
    </row>
    <row r="1362" spans="44:44">
      <c r="AR1362" s="86"/>
    </row>
    <row r="1363" spans="44:44">
      <c r="AR1363" s="86"/>
    </row>
    <row r="1364" spans="44:44">
      <c r="AR1364" s="86"/>
    </row>
    <row r="1365" spans="44:44">
      <c r="AR1365" s="86"/>
    </row>
    <row r="1366" spans="44:44">
      <c r="AR1366" s="86"/>
    </row>
    <row r="1367" spans="44:44">
      <c r="AR1367" s="86"/>
    </row>
    <row r="1368" spans="44:44">
      <c r="AR1368" s="86"/>
    </row>
    <row r="1369" spans="44:44">
      <c r="AR1369" s="86"/>
    </row>
    <row r="1370" spans="44:44">
      <c r="AR1370" s="86"/>
    </row>
    <row r="1371" spans="44:44">
      <c r="AR1371" s="86"/>
    </row>
    <row r="1372" spans="44:44">
      <c r="AR1372" s="86"/>
    </row>
    <row r="1373" spans="44:44">
      <c r="AR1373" s="86"/>
    </row>
    <row r="1374" spans="44:44">
      <c r="AR1374" s="86"/>
    </row>
    <row r="1375" spans="44:44">
      <c r="AR1375" s="86"/>
    </row>
    <row r="1376" spans="44:44">
      <c r="AR1376" s="86"/>
    </row>
    <row r="1377" spans="44:44">
      <c r="AR1377" s="86"/>
    </row>
    <row r="1378" spans="44:44">
      <c r="AR1378" s="86"/>
    </row>
    <row r="1379" spans="44:44">
      <c r="AR1379" s="86"/>
    </row>
    <row r="1380" spans="44:44">
      <c r="AR1380" s="86"/>
    </row>
    <row r="1381" spans="44:44">
      <c r="AR1381" s="86"/>
    </row>
    <row r="1382" spans="44:44">
      <c r="AR1382" s="86"/>
    </row>
    <row r="1383" spans="44:44">
      <c r="AR1383" s="86"/>
    </row>
    <row r="1384" spans="44:44">
      <c r="AR1384" s="86"/>
    </row>
    <row r="1385" spans="44:44">
      <c r="AR1385" s="86"/>
    </row>
    <row r="1386" spans="44:44">
      <c r="AR1386" s="86"/>
    </row>
    <row r="1387" spans="44:44">
      <c r="AR1387" s="86"/>
    </row>
    <row r="1388" spans="44:44">
      <c r="AR1388" s="86"/>
    </row>
    <row r="1389" spans="44:44">
      <c r="AR1389" s="86"/>
    </row>
    <row r="1390" spans="44:44">
      <c r="AR1390" s="86"/>
    </row>
    <row r="1391" spans="44:44">
      <c r="AR1391" s="86"/>
    </row>
    <row r="1392" spans="44:44">
      <c r="AR1392" s="86"/>
    </row>
    <row r="1393" spans="44:44">
      <c r="AR1393" s="86"/>
    </row>
    <row r="1394" spans="44:44">
      <c r="AR1394" s="86"/>
    </row>
    <row r="1395" spans="44:44">
      <c r="AR1395" s="86"/>
    </row>
    <row r="1396" spans="44:44">
      <c r="AR1396" s="86"/>
    </row>
    <row r="1397" spans="44:44">
      <c r="AR1397" s="86"/>
    </row>
    <row r="1398" spans="44:44">
      <c r="AR1398" s="86"/>
    </row>
    <row r="1399" spans="44:44">
      <c r="AR1399" s="86"/>
    </row>
    <row r="1400" spans="44:44">
      <c r="AR1400" s="86"/>
    </row>
    <row r="1401" spans="44:44">
      <c r="AR1401" s="86"/>
    </row>
    <row r="1402" spans="44:44">
      <c r="AR1402" s="86"/>
    </row>
    <row r="1403" spans="44:44">
      <c r="AR1403" s="86"/>
    </row>
    <row r="1404" spans="44:44">
      <c r="AR1404" s="86"/>
    </row>
    <row r="1405" spans="44:44">
      <c r="AR1405" s="86"/>
    </row>
    <row r="1406" spans="44:44">
      <c r="AR1406" s="86"/>
    </row>
    <row r="1407" spans="44:44">
      <c r="AR1407" s="86"/>
    </row>
    <row r="1408" spans="44:44">
      <c r="AR1408" s="86"/>
    </row>
    <row r="1409" spans="44:44">
      <c r="AR1409" s="86"/>
    </row>
    <row r="1410" spans="44:44">
      <c r="AR1410" s="86"/>
    </row>
    <row r="1411" spans="44:44">
      <c r="AR1411" s="86"/>
    </row>
    <row r="1412" spans="44:44">
      <c r="AR1412" s="86"/>
    </row>
    <row r="1413" spans="44:44">
      <c r="AR1413" s="86"/>
    </row>
    <row r="1414" spans="44:44">
      <c r="AR1414" s="86"/>
    </row>
    <row r="1415" spans="44:44">
      <c r="AR1415" s="86"/>
    </row>
    <row r="1416" spans="44:44">
      <c r="AR1416" s="86"/>
    </row>
    <row r="1417" spans="44:44">
      <c r="AR1417" s="86"/>
    </row>
    <row r="1418" spans="44:44">
      <c r="AR1418" s="86"/>
    </row>
    <row r="1419" spans="44:44">
      <c r="AR1419" s="86"/>
    </row>
    <row r="1420" spans="44:44">
      <c r="AR1420" s="86"/>
    </row>
    <row r="1421" spans="44:44">
      <c r="AR1421" s="86"/>
    </row>
    <row r="1422" spans="44:44">
      <c r="AR1422" s="86"/>
    </row>
    <row r="1423" spans="44:44">
      <c r="AR1423" s="86"/>
    </row>
    <row r="1424" spans="44:44">
      <c r="AR1424" s="86"/>
    </row>
    <row r="1425" spans="44:44">
      <c r="AR1425" s="86"/>
    </row>
    <row r="1426" spans="44:44">
      <c r="AR1426" s="86"/>
    </row>
    <row r="1427" spans="44:44">
      <c r="AR1427" s="86"/>
    </row>
    <row r="1428" spans="44:44">
      <c r="AR1428" s="86"/>
    </row>
    <row r="1429" spans="44:44">
      <c r="AR1429" s="86"/>
    </row>
    <row r="1430" spans="44:44">
      <c r="AR1430" s="86"/>
    </row>
    <row r="1431" spans="44:44">
      <c r="AR1431" s="86"/>
    </row>
    <row r="1432" spans="44:44">
      <c r="AR1432" s="86"/>
    </row>
    <row r="1433" spans="44:44">
      <c r="AR1433" s="86"/>
    </row>
    <row r="1434" spans="44:44">
      <c r="AR1434" s="86"/>
    </row>
    <row r="1435" spans="44:44">
      <c r="AR1435" s="86"/>
    </row>
    <row r="1436" spans="44:44">
      <c r="AR1436" s="86"/>
    </row>
    <row r="1437" spans="44:44">
      <c r="AR1437" s="86"/>
    </row>
    <row r="1438" spans="44:44">
      <c r="AR1438" s="86"/>
    </row>
    <row r="1439" spans="44:44">
      <c r="AR1439" s="86"/>
    </row>
    <row r="1440" spans="44:44">
      <c r="AR1440" s="86"/>
    </row>
    <row r="1441" spans="44:44">
      <c r="AR1441" s="86"/>
    </row>
    <row r="1442" spans="44:44">
      <c r="AR1442" s="86"/>
    </row>
    <row r="1443" spans="44:44">
      <c r="AR1443" s="86"/>
    </row>
    <row r="1444" spans="44:44">
      <c r="AR1444" s="86"/>
    </row>
    <row r="1445" spans="44:44">
      <c r="AR1445" s="86"/>
    </row>
    <row r="1446" spans="44:44">
      <c r="AR1446" s="86"/>
    </row>
    <row r="1447" spans="44:44">
      <c r="AR1447" s="86"/>
    </row>
    <row r="1448" spans="44:44">
      <c r="AR1448" s="86"/>
    </row>
    <row r="1449" spans="44:44">
      <c r="AR1449" s="86"/>
    </row>
    <row r="1450" spans="44:44">
      <c r="AR1450" s="86"/>
    </row>
    <row r="1451" spans="44:44">
      <c r="AR1451" s="86"/>
    </row>
    <row r="1452" spans="44:44">
      <c r="AR1452" s="86"/>
    </row>
    <row r="1453" spans="44:44">
      <c r="AR1453" s="86"/>
    </row>
    <row r="1454" spans="44:44">
      <c r="AR1454" s="86"/>
    </row>
    <row r="1455" spans="44:44">
      <c r="AR1455" s="86"/>
    </row>
    <row r="1456" spans="44:44">
      <c r="AR1456" s="86"/>
    </row>
    <row r="1457" spans="44:44">
      <c r="AR1457" s="86"/>
    </row>
    <row r="1458" spans="44:44">
      <c r="AR1458" s="86"/>
    </row>
    <row r="1459" spans="44:44">
      <c r="AR1459" s="86"/>
    </row>
    <row r="1460" spans="44:44">
      <c r="AR1460" s="86"/>
    </row>
    <row r="1461" spans="44:44">
      <c r="AR1461" s="86"/>
    </row>
    <row r="1462" spans="44:44">
      <c r="AR1462" s="86"/>
    </row>
    <row r="1463" spans="44:44">
      <c r="AR1463" s="86"/>
    </row>
    <row r="1464" spans="44:44">
      <c r="AR1464" s="86"/>
    </row>
    <row r="1465" spans="44:44">
      <c r="AR1465" s="86"/>
    </row>
    <row r="1466" spans="44:44">
      <c r="AR1466" s="86"/>
    </row>
    <row r="1467" spans="44:44">
      <c r="AR1467" s="86"/>
    </row>
    <row r="1468" spans="44:44">
      <c r="AR1468" s="86"/>
    </row>
    <row r="1469" spans="44:44">
      <c r="AR1469" s="86"/>
    </row>
    <row r="1470" spans="44:44">
      <c r="AR1470" s="86"/>
    </row>
    <row r="1471" spans="44:44">
      <c r="AR1471" s="86"/>
    </row>
    <row r="1472" spans="44:44">
      <c r="AR1472" s="86"/>
    </row>
    <row r="1473" spans="44:44">
      <c r="AR1473" s="86"/>
    </row>
    <row r="1474" spans="44:44">
      <c r="AR1474" s="86"/>
    </row>
    <row r="1475" spans="44:44">
      <c r="AR1475" s="86"/>
    </row>
    <row r="1476" spans="44:44">
      <c r="AR1476" s="86"/>
    </row>
    <row r="1477" spans="44:44">
      <c r="AR1477" s="86"/>
    </row>
    <row r="1478" spans="44:44">
      <c r="AR1478" s="86"/>
    </row>
    <row r="1479" spans="44:44">
      <c r="AR1479" s="86"/>
    </row>
    <row r="1480" spans="44:44">
      <c r="AR1480" s="86"/>
    </row>
    <row r="1481" spans="44:44">
      <c r="AR1481" s="86"/>
    </row>
    <row r="1482" spans="44:44">
      <c r="AR1482" s="86"/>
    </row>
    <row r="1483" spans="44:44">
      <c r="AR1483" s="86"/>
    </row>
    <row r="1484" spans="44:44">
      <c r="AR1484" s="86"/>
    </row>
    <row r="1485" spans="44:44">
      <c r="AR1485" s="86"/>
    </row>
    <row r="1486" spans="44:44">
      <c r="AR1486" s="86"/>
    </row>
    <row r="1487" spans="44:44">
      <c r="AR1487" s="86"/>
    </row>
    <row r="1488" spans="44:44">
      <c r="AR1488" s="86"/>
    </row>
    <row r="1489" spans="44:44">
      <c r="AR1489" s="86"/>
    </row>
    <row r="1490" spans="44:44">
      <c r="AR1490" s="86"/>
    </row>
    <row r="1491" spans="44:44">
      <c r="AR1491" s="86"/>
    </row>
    <row r="1492" spans="44:44">
      <c r="AR1492" s="86"/>
    </row>
    <row r="1493" spans="44:44">
      <c r="AR1493" s="86"/>
    </row>
    <row r="1494" spans="44:44">
      <c r="AR1494" s="86"/>
    </row>
    <row r="1495" spans="44:44">
      <c r="AR1495" s="86"/>
    </row>
    <row r="1496" spans="44:44">
      <c r="AR1496" s="86"/>
    </row>
    <row r="1497" spans="44:44">
      <c r="AR1497" s="86"/>
    </row>
    <row r="1498" spans="44:44">
      <c r="AR1498" s="86"/>
    </row>
    <row r="1499" spans="44:44">
      <c r="AR1499" s="86"/>
    </row>
    <row r="1500" spans="44:44">
      <c r="AR1500" s="86"/>
    </row>
    <row r="1501" spans="44:44">
      <c r="AR1501" s="86"/>
    </row>
    <row r="1502" spans="44:44">
      <c r="AR1502" s="86"/>
    </row>
    <row r="1503" spans="44:44">
      <c r="AR1503" s="86"/>
    </row>
    <row r="1504" spans="44:44">
      <c r="AR1504" s="86"/>
    </row>
    <row r="1505" spans="44:44">
      <c r="AR1505" s="86"/>
    </row>
    <row r="1506" spans="44:44">
      <c r="AR1506" s="86"/>
    </row>
    <row r="1507" spans="44:44">
      <c r="AR1507" s="86"/>
    </row>
    <row r="1508" spans="44:44">
      <c r="AR1508" s="86"/>
    </row>
    <row r="1509" spans="44:44">
      <c r="AR1509" s="86"/>
    </row>
    <row r="1510" spans="44:44">
      <c r="AR1510" s="86"/>
    </row>
    <row r="1511" spans="44:44">
      <c r="AR1511" s="86"/>
    </row>
    <row r="1512" spans="44:44">
      <c r="AR1512" s="86"/>
    </row>
    <row r="1513" spans="44:44">
      <c r="AR1513" s="86"/>
    </row>
    <row r="1514" spans="44:44">
      <c r="AR1514" s="86"/>
    </row>
    <row r="1515" spans="44:44">
      <c r="AR1515" s="86"/>
    </row>
    <row r="1516" spans="44:44">
      <c r="AR1516" s="86"/>
    </row>
    <row r="1517" spans="44:44">
      <c r="AR1517" s="86"/>
    </row>
    <row r="1518" spans="44:44">
      <c r="AR1518" s="86"/>
    </row>
    <row r="1519" spans="44:44">
      <c r="AR1519" s="86"/>
    </row>
    <row r="1520" spans="44:44">
      <c r="AR1520" s="86"/>
    </row>
    <row r="1521" spans="44:44">
      <c r="AR1521" s="86"/>
    </row>
    <row r="1522" spans="44:44">
      <c r="AR1522" s="86"/>
    </row>
    <row r="1523" spans="44:44">
      <c r="AR1523" s="86"/>
    </row>
    <row r="1524" spans="44:44">
      <c r="AR1524" s="86"/>
    </row>
    <row r="1525" spans="44:44">
      <c r="AR1525" s="86"/>
    </row>
    <row r="1526" spans="44:44">
      <c r="AR1526" s="86"/>
    </row>
    <row r="1527" spans="44:44">
      <c r="AR1527" s="86"/>
    </row>
    <row r="1528" spans="44:44">
      <c r="AR1528" s="86"/>
    </row>
    <row r="1529" spans="44:44">
      <c r="AR1529" s="86"/>
    </row>
    <row r="1530" spans="44:44">
      <c r="AR1530" s="86"/>
    </row>
    <row r="1531" spans="44:44">
      <c r="AR1531" s="86"/>
    </row>
    <row r="1532" spans="44:44">
      <c r="AR1532" s="86"/>
    </row>
    <row r="1533" spans="44:44">
      <c r="AR1533" s="86"/>
    </row>
    <row r="1534" spans="44:44">
      <c r="AR1534" s="86"/>
    </row>
    <row r="1535" spans="44:44">
      <c r="AR1535" s="86"/>
    </row>
    <row r="1536" spans="44:44">
      <c r="AR1536" s="86"/>
    </row>
    <row r="1537" spans="44:44">
      <c r="AR1537" s="86"/>
    </row>
    <row r="1538" spans="44:44">
      <c r="AR1538" s="86"/>
    </row>
    <row r="1539" spans="44:44">
      <c r="AR1539" s="86"/>
    </row>
    <row r="1540" spans="44:44">
      <c r="AR1540" s="86"/>
    </row>
    <row r="1541" spans="44:44">
      <c r="AR1541" s="86"/>
    </row>
    <row r="1542" spans="44:44">
      <c r="AR1542" s="86"/>
    </row>
    <row r="1543" spans="44:44">
      <c r="AR1543" s="86"/>
    </row>
    <row r="1544" spans="44:44">
      <c r="AR1544" s="86"/>
    </row>
    <row r="1545" spans="44:44">
      <c r="AR1545" s="86"/>
    </row>
    <row r="1546" spans="44:44">
      <c r="AR1546" s="86"/>
    </row>
    <row r="1547" spans="44:44">
      <c r="AR1547" s="86"/>
    </row>
    <row r="1548" spans="44:44">
      <c r="AR1548" s="86"/>
    </row>
    <row r="1549" spans="44:44">
      <c r="AR1549" s="86"/>
    </row>
    <row r="1550" spans="44:44">
      <c r="AR1550" s="86"/>
    </row>
    <row r="1551" spans="44:44">
      <c r="AR1551" s="86"/>
    </row>
    <row r="1552" spans="44:44">
      <c r="AR1552" s="86"/>
    </row>
    <row r="1553" spans="44:44">
      <c r="AR1553" s="86"/>
    </row>
    <row r="1554" spans="44:44">
      <c r="AR1554" s="86"/>
    </row>
    <row r="1555" spans="44:44">
      <c r="AR1555" s="86"/>
    </row>
    <row r="1556" spans="44:44">
      <c r="AR1556" s="86"/>
    </row>
    <row r="1557" spans="44:44">
      <c r="AR1557" s="86"/>
    </row>
    <row r="1558" spans="44:44">
      <c r="AR1558" s="86"/>
    </row>
    <row r="1559" spans="44:44">
      <c r="AR1559" s="86"/>
    </row>
    <row r="1560" spans="44:44">
      <c r="AR1560" s="86"/>
    </row>
    <row r="1561" spans="44:44">
      <c r="AR1561" s="86"/>
    </row>
    <row r="1562" spans="44:44">
      <c r="AR1562" s="86"/>
    </row>
    <row r="1563" spans="44:44">
      <c r="AR1563" s="86"/>
    </row>
    <row r="1564" spans="44:44">
      <c r="AR1564" s="86"/>
    </row>
    <row r="1565" spans="44:44">
      <c r="AR1565" s="86"/>
    </row>
    <row r="1566" spans="44:44">
      <c r="AR1566" s="86"/>
    </row>
    <row r="1567" spans="44:44">
      <c r="AR1567" s="86"/>
    </row>
    <row r="1568" spans="44:44">
      <c r="AR1568" s="86"/>
    </row>
    <row r="1569" spans="44:44">
      <c r="AR1569" s="86"/>
    </row>
    <row r="1570" spans="44:44">
      <c r="AR1570" s="86"/>
    </row>
    <row r="1571" spans="44:44">
      <c r="AR1571" s="86"/>
    </row>
    <row r="1572" spans="44:44">
      <c r="AR1572" s="86"/>
    </row>
    <row r="1573" spans="44:44">
      <c r="AR1573" s="86"/>
    </row>
    <row r="1574" spans="44:44">
      <c r="AR1574" s="86"/>
    </row>
    <row r="1575" spans="44:44">
      <c r="AR1575" s="86"/>
    </row>
    <row r="1576" spans="44:44">
      <c r="AR1576" s="86"/>
    </row>
    <row r="1577" spans="44:44">
      <c r="AR1577" s="86"/>
    </row>
    <row r="1578" spans="44:44">
      <c r="AR1578" s="86"/>
    </row>
    <row r="1579" spans="44:44">
      <c r="AR1579" s="86"/>
    </row>
    <row r="1580" spans="44:44">
      <c r="AR1580" s="86"/>
    </row>
    <row r="1581" spans="44:44">
      <c r="AR1581" s="86"/>
    </row>
    <row r="1582" spans="44:44">
      <c r="AR1582" s="86"/>
    </row>
    <row r="1583" spans="44:44">
      <c r="AR1583" s="86"/>
    </row>
    <row r="1584" spans="44:44">
      <c r="AR1584" s="86"/>
    </row>
    <row r="1585" spans="44:44">
      <c r="AR1585" s="86"/>
    </row>
    <row r="1586" spans="44:44">
      <c r="AR1586" s="86"/>
    </row>
    <row r="1587" spans="44:44">
      <c r="AR1587" s="86"/>
    </row>
    <row r="1588" spans="44:44">
      <c r="AR1588" s="86"/>
    </row>
    <row r="1589" spans="44:44">
      <c r="AR1589" s="86"/>
    </row>
    <row r="1590" spans="44:44">
      <c r="AR1590" s="86"/>
    </row>
    <row r="1591" spans="44:44">
      <c r="AR1591" s="86"/>
    </row>
    <row r="1592" spans="44:44">
      <c r="AR1592" s="86"/>
    </row>
    <row r="1593" spans="44:44">
      <c r="AR1593" s="86"/>
    </row>
    <row r="1594" spans="44:44">
      <c r="AR1594" s="86"/>
    </row>
    <row r="1595" spans="44:44">
      <c r="AR1595" s="86"/>
    </row>
    <row r="1596" spans="44:44">
      <c r="AR1596" s="86"/>
    </row>
    <row r="1597" spans="44:44">
      <c r="AR1597" s="86"/>
    </row>
    <row r="1598" spans="44:44">
      <c r="AR1598" s="86"/>
    </row>
    <row r="1599" spans="44:44">
      <c r="AR1599" s="86"/>
    </row>
    <row r="1600" spans="44:44">
      <c r="AR1600" s="86"/>
    </row>
    <row r="1601" spans="44:44">
      <c r="AR1601" s="86"/>
    </row>
    <row r="1602" spans="44:44">
      <c r="AR1602" s="86"/>
    </row>
    <row r="1603" spans="44:44">
      <c r="AR1603" s="86"/>
    </row>
    <row r="1604" spans="44:44">
      <c r="AR1604" s="86"/>
    </row>
    <row r="1605" spans="44:44">
      <c r="AR1605" s="86"/>
    </row>
    <row r="1606" spans="44:44">
      <c r="AR1606" s="86"/>
    </row>
    <row r="1607" spans="44:44">
      <c r="AR1607" s="86"/>
    </row>
    <row r="1608" spans="44:44">
      <c r="AR1608" s="86"/>
    </row>
    <row r="1609" spans="44:44">
      <c r="AR1609" s="86"/>
    </row>
    <row r="1610" spans="44:44">
      <c r="AR1610" s="86"/>
    </row>
    <row r="1611" spans="44:44">
      <c r="AR1611" s="86"/>
    </row>
    <row r="1612" spans="44:44">
      <c r="AR1612" s="86"/>
    </row>
    <row r="1613" spans="44:44">
      <c r="AR1613" s="86"/>
    </row>
    <row r="1614" spans="44:44">
      <c r="AR1614" s="86"/>
    </row>
    <row r="1615" spans="44:44">
      <c r="AR1615" s="86"/>
    </row>
    <row r="1616" spans="44:44">
      <c r="AR1616" s="86"/>
    </row>
    <row r="1617" spans="44:44">
      <c r="AR1617" s="86"/>
    </row>
    <row r="1618" spans="44:44">
      <c r="AR1618" s="86"/>
    </row>
    <row r="1619" spans="44:44">
      <c r="AR1619" s="86"/>
    </row>
    <row r="1620" spans="44:44">
      <c r="AR1620" s="86"/>
    </row>
    <row r="1621" spans="44:44">
      <c r="AR1621" s="86"/>
    </row>
    <row r="1622" spans="44:44">
      <c r="AR1622" s="86"/>
    </row>
    <row r="1623" spans="44:44">
      <c r="AR1623" s="86"/>
    </row>
    <row r="1624" spans="44:44">
      <c r="AR1624" s="86"/>
    </row>
    <row r="1625" spans="44:44">
      <c r="AR1625" s="86"/>
    </row>
    <row r="1626" spans="44:44">
      <c r="AR1626" s="86"/>
    </row>
    <row r="1627" spans="44:44">
      <c r="AR1627" s="86"/>
    </row>
    <row r="1628" spans="44:44">
      <c r="AR1628" s="86"/>
    </row>
    <row r="1629" spans="44:44">
      <c r="AR1629" s="86"/>
    </row>
    <row r="1630" spans="44:44">
      <c r="AR1630" s="86"/>
    </row>
    <row r="1631" spans="44:44">
      <c r="AR1631" s="86"/>
    </row>
    <row r="1632" spans="44:44">
      <c r="AR1632" s="86"/>
    </row>
    <row r="1633" spans="44:44">
      <c r="AR1633" s="86"/>
    </row>
    <row r="1634" spans="44:44">
      <c r="AR1634" s="86"/>
    </row>
    <row r="1635" spans="44:44">
      <c r="AR1635" s="86"/>
    </row>
    <row r="1636" spans="44:44">
      <c r="AR1636" s="86"/>
    </row>
    <row r="1637" spans="44:44">
      <c r="AR1637" s="86"/>
    </row>
    <row r="1638" spans="44:44">
      <c r="AR1638" s="86"/>
    </row>
    <row r="1639" spans="44:44">
      <c r="AR1639" s="86"/>
    </row>
    <row r="1640" spans="44:44">
      <c r="AR1640" s="86"/>
    </row>
    <row r="1641" spans="44:44">
      <c r="AR1641" s="86"/>
    </row>
    <row r="1642" spans="44:44">
      <c r="AR1642" s="86"/>
    </row>
    <row r="1643" spans="44:44">
      <c r="AR1643" s="86"/>
    </row>
    <row r="1644" spans="44:44">
      <c r="AR1644" s="86"/>
    </row>
    <row r="1645" spans="44:44">
      <c r="AR1645" s="86"/>
    </row>
    <row r="1646" spans="44:44">
      <c r="AR1646" s="86"/>
    </row>
    <row r="1647" spans="44:44">
      <c r="AR1647" s="86"/>
    </row>
    <row r="1648" spans="44:44">
      <c r="AR1648" s="86"/>
    </row>
    <row r="1649" spans="44:44">
      <c r="AR1649" s="86"/>
    </row>
    <row r="1650" spans="44:44">
      <c r="AR1650" s="86"/>
    </row>
    <row r="1651" spans="44:44">
      <c r="AR1651" s="86"/>
    </row>
    <row r="1652" spans="44:44">
      <c r="AR1652" s="86"/>
    </row>
    <row r="1653" spans="44:44">
      <c r="AR1653" s="86"/>
    </row>
    <row r="1654" spans="44:44">
      <c r="AR1654" s="86"/>
    </row>
    <row r="1655" spans="44:44">
      <c r="AR1655" s="86"/>
    </row>
    <row r="1656" spans="44:44">
      <c r="AR1656" s="86"/>
    </row>
    <row r="1657" spans="44:44">
      <c r="AR1657" s="86"/>
    </row>
    <row r="1658" spans="44:44">
      <c r="AR1658" s="86"/>
    </row>
    <row r="1659" spans="44:44">
      <c r="AR1659" s="86"/>
    </row>
    <row r="1660" spans="44:44">
      <c r="AR1660" s="86"/>
    </row>
    <row r="1661" spans="44:44">
      <c r="AR1661" s="86"/>
    </row>
    <row r="1662" spans="44:44">
      <c r="AR1662" s="86"/>
    </row>
    <row r="1663" spans="44:44">
      <c r="AR1663" s="86"/>
    </row>
    <row r="1664" spans="44:44">
      <c r="AR1664" s="86"/>
    </row>
    <row r="1665" spans="44:44">
      <c r="AR1665" s="86"/>
    </row>
    <row r="1666" spans="44:44">
      <c r="AR1666" s="86"/>
    </row>
    <row r="1667" spans="44:44">
      <c r="AR1667" s="86"/>
    </row>
    <row r="1668" spans="44:44">
      <c r="AR1668" s="86"/>
    </row>
    <row r="1669" spans="44:44">
      <c r="AR1669" s="86"/>
    </row>
    <row r="1670" spans="44:44">
      <c r="AR1670" s="86"/>
    </row>
    <row r="1671" spans="44:44">
      <c r="AR1671" s="86"/>
    </row>
    <row r="1672" spans="44:44">
      <c r="AR1672" s="86"/>
    </row>
    <row r="1673" spans="44:44">
      <c r="AR1673" s="86"/>
    </row>
    <row r="1674" spans="44:44">
      <c r="AR1674" s="86"/>
    </row>
    <row r="1675" spans="44:44">
      <c r="AR1675" s="86"/>
    </row>
    <row r="1676" spans="44:44">
      <c r="AR1676" s="86"/>
    </row>
    <row r="1677" spans="44:44">
      <c r="AR1677" s="86"/>
    </row>
    <row r="1678" spans="44:44">
      <c r="AR1678" s="86"/>
    </row>
    <row r="1679" spans="44:44">
      <c r="AR1679" s="86"/>
    </row>
    <row r="1680" spans="44:44">
      <c r="AR1680" s="86"/>
    </row>
    <row r="1681" spans="44:44">
      <c r="AR1681" s="86"/>
    </row>
    <row r="1682" spans="44:44">
      <c r="AR1682" s="86"/>
    </row>
    <row r="1683" spans="44:44">
      <c r="AR1683" s="86"/>
    </row>
    <row r="1684" spans="44:44">
      <c r="AR1684" s="86"/>
    </row>
    <row r="1685" spans="44:44">
      <c r="AR1685" s="86"/>
    </row>
    <row r="1686" spans="44:44">
      <c r="AR1686" s="86"/>
    </row>
    <row r="1687" spans="44:44">
      <c r="AR1687" s="86"/>
    </row>
    <row r="1688" spans="44:44">
      <c r="AR1688" s="86"/>
    </row>
    <row r="1689" spans="44:44">
      <c r="AR1689" s="86"/>
    </row>
    <row r="1690" spans="44:44">
      <c r="AR1690" s="86"/>
    </row>
    <row r="1691" spans="44:44">
      <c r="AR1691" s="86"/>
    </row>
    <row r="1692" spans="44:44">
      <c r="AR1692" s="86"/>
    </row>
    <row r="1693" spans="44:44">
      <c r="AR1693" s="86"/>
    </row>
    <row r="1694" spans="44:44">
      <c r="AR1694" s="86"/>
    </row>
    <row r="1695" spans="44:44">
      <c r="AR1695" s="86"/>
    </row>
    <row r="1696" spans="44:44">
      <c r="AR1696" s="86"/>
    </row>
    <row r="1697" spans="44:44">
      <c r="AR1697" s="86"/>
    </row>
    <row r="1698" spans="44:44">
      <c r="AR1698" s="86"/>
    </row>
    <row r="1699" spans="44:44">
      <c r="AR1699" s="86"/>
    </row>
    <row r="1700" spans="44:44">
      <c r="AR1700" s="86"/>
    </row>
    <row r="1701" spans="44:44">
      <c r="AR1701" s="86"/>
    </row>
    <row r="1702" spans="44:44">
      <c r="AR1702" s="86"/>
    </row>
    <row r="1703" spans="44:44">
      <c r="AR1703" s="86"/>
    </row>
    <row r="1704" spans="44:44">
      <c r="AR1704" s="86"/>
    </row>
    <row r="1705" spans="44:44">
      <c r="AR1705" s="86"/>
    </row>
    <row r="1706" spans="44:44">
      <c r="AR1706" s="86"/>
    </row>
    <row r="1707" spans="44:44">
      <c r="AR1707" s="86"/>
    </row>
    <row r="1708" spans="44:44">
      <c r="AR1708" s="86"/>
    </row>
    <row r="1709" spans="44:44">
      <c r="AR1709" s="86"/>
    </row>
    <row r="1710" spans="44:44">
      <c r="AR1710" s="86"/>
    </row>
    <row r="1711" spans="44:44">
      <c r="AR1711" s="86"/>
    </row>
    <row r="1712" spans="44:44">
      <c r="AR1712" s="86"/>
    </row>
    <row r="1713" spans="44:44">
      <c r="AR1713" s="86"/>
    </row>
    <row r="1714" spans="44:44">
      <c r="AR1714" s="86"/>
    </row>
    <row r="1715" spans="44:44">
      <c r="AR1715" s="86"/>
    </row>
    <row r="1716" spans="44:44">
      <c r="AR1716" s="86"/>
    </row>
    <row r="1717" spans="44:44">
      <c r="AR1717" s="86"/>
    </row>
    <row r="1718" spans="44:44">
      <c r="AR1718" s="86"/>
    </row>
    <row r="1719" spans="44:44">
      <c r="AR1719" s="86"/>
    </row>
    <row r="1720" spans="44:44">
      <c r="AR1720" s="86"/>
    </row>
    <row r="1721" spans="44:44">
      <c r="AR1721" s="86"/>
    </row>
    <row r="1722" spans="44:44">
      <c r="AR1722" s="86"/>
    </row>
    <row r="1723" spans="44:44">
      <c r="AR1723" s="86"/>
    </row>
    <row r="1724" spans="44:44">
      <c r="AR1724" s="86"/>
    </row>
    <row r="1725" spans="44:44">
      <c r="AR1725" s="86"/>
    </row>
    <row r="1726" spans="44:44">
      <c r="AR1726" s="86"/>
    </row>
    <row r="1727" spans="44:44">
      <c r="AR1727" s="86"/>
    </row>
    <row r="1728" spans="44:44">
      <c r="AR1728" s="86"/>
    </row>
    <row r="1729" spans="44:44">
      <c r="AR1729" s="86"/>
    </row>
    <row r="1730" spans="44:44">
      <c r="AR1730" s="86"/>
    </row>
    <row r="1731" spans="44:44">
      <c r="AR1731" s="86"/>
    </row>
    <row r="1732" spans="44:44">
      <c r="AR1732" s="86"/>
    </row>
    <row r="1733" spans="44:44">
      <c r="AR1733" s="86"/>
    </row>
    <row r="1734" spans="44:44">
      <c r="AR1734" s="86"/>
    </row>
    <row r="1735" spans="44:44">
      <c r="AR1735" s="86"/>
    </row>
    <row r="1736" spans="44:44">
      <c r="AR1736" s="86"/>
    </row>
    <row r="1737" spans="44:44">
      <c r="AR1737" s="86"/>
    </row>
    <row r="1738" spans="44:44">
      <c r="AR1738" s="86"/>
    </row>
    <row r="1739" spans="44:44">
      <c r="AR1739" s="86"/>
    </row>
    <row r="1740" spans="44:44">
      <c r="AR1740" s="86"/>
    </row>
    <row r="1741" spans="44:44">
      <c r="AR1741" s="86"/>
    </row>
    <row r="1742" spans="44:44">
      <c r="AR1742" s="86"/>
    </row>
    <row r="1743" spans="44:44">
      <c r="AR1743" s="86"/>
    </row>
    <row r="1744" spans="44:44">
      <c r="AR1744" s="86"/>
    </row>
    <row r="1745" spans="44:44">
      <c r="AR1745" s="86"/>
    </row>
    <row r="1746" spans="44:44">
      <c r="AR1746" s="86"/>
    </row>
    <row r="1747" spans="44:44">
      <c r="AR1747" s="86"/>
    </row>
    <row r="1748" spans="44:44">
      <c r="AR1748" s="86"/>
    </row>
    <row r="1749" spans="44:44">
      <c r="AR1749" s="86"/>
    </row>
    <row r="1750" spans="44:44">
      <c r="AR1750" s="86"/>
    </row>
    <row r="1751" spans="44:44">
      <c r="AR1751" s="86"/>
    </row>
    <row r="1752" spans="44:44">
      <c r="AR1752" s="86"/>
    </row>
    <row r="1753" spans="44:44">
      <c r="AR1753" s="86"/>
    </row>
    <row r="1754" spans="44:44">
      <c r="AR1754" s="86"/>
    </row>
    <row r="1755" spans="44:44">
      <c r="AR1755" s="86"/>
    </row>
    <row r="1756" spans="44:44">
      <c r="AR1756" s="86"/>
    </row>
    <row r="1757" spans="44:44">
      <c r="AR1757" s="86"/>
    </row>
    <row r="1758" spans="44:44">
      <c r="AR1758" s="86"/>
    </row>
    <row r="1759" spans="44:44">
      <c r="AR1759" s="86"/>
    </row>
    <row r="1760" spans="44:44">
      <c r="AR1760" s="86"/>
    </row>
    <row r="1761" spans="44:44">
      <c r="AR1761" s="86"/>
    </row>
    <row r="1762" spans="44:44">
      <c r="AR1762" s="86"/>
    </row>
    <row r="1763" spans="44:44">
      <c r="AR1763" s="86"/>
    </row>
    <row r="1764" spans="44:44">
      <c r="AR1764" s="86"/>
    </row>
    <row r="1765" spans="44:44">
      <c r="AR1765" s="86"/>
    </row>
    <row r="1766" spans="44:44">
      <c r="AR1766" s="86"/>
    </row>
    <row r="1767" spans="44:44">
      <c r="AR1767" s="86"/>
    </row>
    <row r="1768" spans="44:44">
      <c r="AR1768" s="86"/>
    </row>
    <row r="1769" spans="44:44">
      <c r="AR1769" s="86"/>
    </row>
    <row r="1770" spans="44:44">
      <c r="AR1770" s="86"/>
    </row>
    <row r="1771" spans="44:44">
      <c r="AR1771" s="86"/>
    </row>
    <row r="1772" spans="44:44">
      <c r="AR1772" s="86"/>
    </row>
    <row r="1773" spans="44:44">
      <c r="AR1773" s="86"/>
    </row>
    <row r="1774" spans="44:44">
      <c r="AR1774" s="86"/>
    </row>
    <row r="1775" spans="44:44">
      <c r="AR1775" s="86"/>
    </row>
    <row r="1776" spans="44:44">
      <c r="AR1776" s="86"/>
    </row>
    <row r="1777" spans="44:44">
      <c r="AR1777" s="86"/>
    </row>
    <row r="1778" spans="44:44">
      <c r="AR1778" s="86"/>
    </row>
    <row r="1779" spans="44:44">
      <c r="AR1779" s="86"/>
    </row>
    <row r="1780" spans="44:44">
      <c r="AR1780" s="86"/>
    </row>
    <row r="1781" spans="44:44">
      <c r="AR1781" s="86"/>
    </row>
    <row r="1782" spans="44:44">
      <c r="AR1782" s="86"/>
    </row>
    <row r="1783" spans="44:44">
      <c r="AR1783" s="86"/>
    </row>
    <row r="1784" spans="44:44">
      <c r="AR1784" s="86"/>
    </row>
    <row r="1785" spans="44:44">
      <c r="AR1785" s="86"/>
    </row>
    <row r="1786" spans="44:44">
      <c r="AR1786" s="86"/>
    </row>
    <row r="1787" spans="44:44">
      <c r="AR1787" s="86"/>
    </row>
    <row r="1788" spans="44:44">
      <c r="AR1788" s="86"/>
    </row>
    <row r="1789" spans="44:44">
      <c r="AR1789" s="86"/>
    </row>
    <row r="1790" spans="44:44">
      <c r="AR1790" s="86"/>
    </row>
    <row r="1791" spans="44:44">
      <c r="AR1791" s="86"/>
    </row>
    <row r="1792" spans="44:44">
      <c r="AR1792" s="86"/>
    </row>
    <row r="1793" spans="44:44">
      <c r="AR1793" s="86"/>
    </row>
    <row r="1794" spans="44:44">
      <c r="AR1794" s="86"/>
    </row>
    <row r="1795" spans="44:44">
      <c r="AR1795" s="86"/>
    </row>
    <row r="1796" spans="44:44">
      <c r="AR1796" s="86"/>
    </row>
    <row r="1797" spans="44:44">
      <c r="AR1797" s="86"/>
    </row>
    <row r="1798" spans="44:44">
      <c r="AR1798" s="86"/>
    </row>
    <row r="1799" spans="44:44">
      <c r="AR1799" s="86"/>
    </row>
    <row r="1800" spans="44:44">
      <c r="AR1800" s="86"/>
    </row>
    <row r="1801" spans="44:44">
      <c r="AR1801" s="86"/>
    </row>
    <row r="1802" spans="44:44">
      <c r="AR1802" s="86"/>
    </row>
    <row r="1803" spans="44:44">
      <c r="AR1803" s="86"/>
    </row>
    <row r="1804" spans="44:44">
      <c r="AR1804" s="86"/>
    </row>
    <row r="1805" spans="44:44">
      <c r="AR1805" s="86"/>
    </row>
    <row r="1806" spans="44:44">
      <c r="AR1806" s="86"/>
    </row>
    <row r="1807" spans="44:44">
      <c r="AR1807" s="86"/>
    </row>
    <row r="1808" spans="44:44">
      <c r="AR1808" s="86"/>
    </row>
    <row r="1809" spans="44:44">
      <c r="AR1809" s="86"/>
    </row>
    <row r="1810" spans="44:44">
      <c r="AR1810" s="86"/>
    </row>
    <row r="1811" spans="44:44">
      <c r="AR1811" s="86"/>
    </row>
    <row r="1812" spans="44:44">
      <c r="AR1812" s="86"/>
    </row>
    <row r="1813" spans="44:44">
      <c r="AR1813" s="86"/>
    </row>
    <row r="1814" spans="44:44">
      <c r="AR1814" s="86"/>
    </row>
    <row r="1815" spans="44:44">
      <c r="AR1815" s="86"/>
    </row>
    <row r="1816" spans="44:44">
      <c r="AR1816" s="86"/>
    </row>
    <row r="1817" spans="44:44">
      <c r="AR1817" s="86"/>
    </row>
    <row r="1818" spans="44:44">
      <c r="AR1818" s="86"/>
    </row>
    <row r="1819" spans="44:44">
      <c r="AR1819" s="86"/>
    </row>
    <row r="1820" spans="44:44">
      <c r="AR1820" s="86"/>
    </row>
    <row r="1821" spans="44:44">
      <c r="AR1821" s="86"/>
    </row>
    <row r="1822" spans="44:44">
      <c r="AR1822" s="86"/>
    </row>
    <row r="1823" spans="44:44">
      <c r="AR1823" s="86"/>
    </row>
    <row r="1824" spans="44:44">
      <c r="AR1824" s="86"/>
    </row>
    <row r="1825" spans="44:44">
      <c r="AR1825" s="86"/>
    </row>
    <row r="1826" spans="44:44">
      <c r="AR1826" s="86"/>
    </row>
    <row r="1827" spans="44:44">
      <c r="AR1827" s="86"/>
    </row>
    <row r="1828" spans="44:44">
      <c r="AR1828" s="86"/>
    </row>
    <row r="1829" spans="44:44">
      <c r="AR1829" s="86"/>
    </row>
    <row r="1830" spans="44:44">
      <c r="AR1830" s="86"/>
    </row>
    <row r="1831" spans="44:44">
      <c r="AR1831" s="86"/>
    </row>
    <row r="1832" spans="44:44">
      <c r="AR1832" s="86"/>
    </row>
    <row r="1833" spans="44:44">
      <c r="AR1833" s="86"/>
    </row>
    <row r="1834" spans="44:44">
      <c r="AR1834" s="86"/>
    </row>
    <row r="1835" spans="44:44">
      <c r="AR1835" s="86"/>
    </row>
    <row r="1836" spans="44:44">
      <c r="AR1836" s="86"/>
    </row>
    <row r="1837" spans="44:44">
      <c r="AR1837" s="86"/>
    </row>
    <row r="1838" spans="44:44">
      <c r="AR1838" s="86"/>
    </row>
    <row r="1839" spans="44:44">
      <c r="AR1839" s="86"/>
    </row>
    <row r="1840" spans="44:44">
      <c r="AR1840" s="86"/>
    </row>
    <row r="1841" spans="44:44">
      <c r="AR1841" s="86"/>
    </row>
    <row r="1842" spans="44:44">
      <c r="AR1842" s="86"/>
    </row>
    <row r="1843" spans="44:44">
      <c r="AR1843" s="86"/>
    </row>
    <row r="1844" spans="44:44">
      <c r="AR1844" s="86"/>
    </row>
    <row r="1845" spans="44:44">
      <c r="AR1845" s="86"/>
    </row>
    <row r="1846" spans="44:44">
      <c r="AR1846" s="86"/>
    </row>
    <row r="1847" spans="44:44">
      <c r="AR1847" s="86"/>
    </row>
    <row r="1848" spans="44:44">
      <c r="AR1848" s="86"/>
    </row>
    <row r="1849" spans="44:44">
      <c r="AR1849" s="86"/>
    </row>
    <row r="1850" spans="44:44">
      <c r="AR1850" s="86"/>
    </row>
    <row r="1851" spans="44:44">
      <c r="AR1851" s="86"/>
    </row>
    <row r="1852" spans="44:44">
      <c r="AR1852" s="86"/>
    </row>
    <row r="1853" spans="44:44">
      <c r="AR1853" s="86"/>
    </row>
    <row r="1854" spans="44:44">
      <c r="AR1854" s="86"/>
    </row>
    <row r="1855" spans="44:44">
      <c r="AR1855" s="86"/>
    </row>
    <row r="1856" spans="44:44">
      <c r="AR1856" s="86"/>
    </row>
    <row r="1857" spans="44:44">
      <c r="AR1857" s="86"/>
    </row>
    <row r="1858" spans="44:44">
      <c r="AR1858" s="86"/>
    </row>
    <row r="1859" spans="44:44">
      <c r="AR1859" s="86"/>
    </row>
    <row r="1860" spans="44:44">
      <c r="AR1860" s="86"/>
    </row>
    <row r="1861" spans="44:44">
      <c r="AR1861" s="86"/>
    </row>
    <row r="1862" spans="44:44">
      <c r="AR1862" s="86"/>
    </row>
    <row r="1863" spans="44:44">
      <c r="AR1863" s="86"/>
    </row>
    <row r="1864" spans="44:44">
      <c r="AR1864" s="86"/>
    </row>
    <row r="1865" spans="44:44">
      <c r="AR1865" s="86"/>
    </row>
    <row r="1866" spans="44:44">
      <c r="AR1866" s="86"/>
    </row>
    <row r="1867" spans="44:44">
      <c r="AR1867" s="86"/>
    </row>
    <row r="1868" spans="44:44">
      <c r="AR1868" s="86"/>
    </row>
    <row r="1869" spans="44:44">
      <c r="AR1869" s="86"/>
    </row>
    <row r="1870" spans="44:44">
      <c r="AR1870" s="86"/>
    </row>
    <row r="1871" spans="44:44">
      <c r="AR1871" s="86"/>
    </row>
    <row r="1872" spans="44:44">
      <c r="AR1872" s="86"/>
    </row>
    <row r="1873" spans="44:44">
      <c r="AR1873" s="86"/>
    </row>
    <row r="1874" spans="44:44">
      <c r="AR1874" s="86"/>
    </row>
    <row r="1875" spans="44:44">
      <c r="AR1875" s="86"/>
    </row>
    <row r="1876" spans="44:44">
      <c r="AR1876" s="86"/>
    </row>
    <row r="1877" spans="44:44">
      <c r="AR1877" s="86"/>
    </row>
    <row r="1878" spans="44:44">
      <c r="AR1878" s="86"/>
    </row>
    <row r="1879" spans="44:44">
      <c r="AR1879" s="86"/>
    </row>
    <row r="1880" spans="44:44">
      <c r="AR1880" s="86"/>
    </row>
    <row r="1881" spans="44:44">
      <c r="AR1881" s="86"/>
    </row>
    <row r="1882" spans="44:44">
      <c r="AR1882" s="86"/>
    </row>
    <row r="1883" spans="44:44">
      <c r="AR1883" s="86"/>
    </row>
    <row r="1884" spans="44:44">
      <c r="AR1884" s="86"/>
    </row>
    <row r="1885" spans="44:44">
      <c r="AR1885" s="86"/>
    </row>
    <row r="1886" spans="44:44">
      <c r="AR1886" s="86"/>
    </row>
    <row r="1887" spans="44:44">
      <c r="AR1887" s="86"/>
    </row>
    <row r="1888" spans="44:44">
      <c r="AR1888" s="86"/>
    </row>
    <row r="1889" spans="44:44">
      <c r="AR1889" s="86"/>
    </row>
    <row r="1890" spans="44:44">
      <c r="AR1890" s="86"/>
    </row>
    <row r="1891" spans="44:44">
      <c r="AR1891" s="86"/>
    </row>
    <row r="1892" spans="44:44">
      <c r="AR1892" s="86"/>
    </row>
    <row r="1893" spans="44:44">
      <c r="AR1893" s="86"/>
    </row>
    <row r="1894" spans="44:44">
      <c r="AR1894" s="86"/>
    </row>
    <row r="1895" spans="44:44">
      <c r="AR1895" s="86"/>
    </row>
    <row r="1896" spans="44:44">
      <c r="AR1896" s="86"/>
    </row>
    <row r="1897" spans="44:44">
      <c r="AR1897" s="86"/>
    </row>
    <row r="1898" spans="44:44">
      <c r="AR1898" s="86"/>
    </row>
    <row r="1899" spans="44:44">
      <c r="AR1899" s="86"/>
    </row>
    <row r="1900" spans="44:44">
      <c r="AR1900" s="86"/>
    </row>
    <row r="1901" spans="44:44">
      <c r="AR1901" s="86"/>
    </row>
    <row r="1902" spans="44:44">
      <c r="AR1902" s="86"/>
    </row>
    <row r="1903" spans="44:44">
      <c r="AR1903" s="86"/>
    </row>
    <row r="1904" spans="44:44">
      <c r="AR1904" s="86"/>
    </row>
    <row r="1905" spans="44:44">
      <c r="AR1905" s="86"/>
    </row>
    <row r="1906" spans="44:44">
      <c r="AR1906" s="86"/>
    </row>
    <row r="1907" spans="44:44">
      <c r="AR1907" s="86"/>
    </row>
    <row r="1908" spans="44:44">
      <c r="AR1908" s="86"/>
    </row>
    <row r="1909" spans="44:44">
      <c r="AR1909" s="86"/>
    </row>
    <row r="1910" spans="44:44">
      <c r="AR1910" s="86"/>
    </row>
    <row r="1911" spans="44:44">
      <c r="AR1911" s="86"/>
    </row>
    <row r="1912" spans="44:44">
      <c r="AR1912" s="86"/>
    </row>
    <row r="1913" spans="44:44">
      <c r="AR1913" s="86"/>
    </row>
    <row r="1914" spans="44:44">
      <c r="AR1914" s="86"/>
    </row>
    <row r="1915" spans="44:44">
      <c r="AR1915" s="86"/>
    </row>
    <row r="1916" spans="44:44">
      <c r="AR1916" s="86"/>
    </row>
    <row r="1917" spans="44:44">
      <c r="AR1917" s="86"/>
    </row>
    <row r="1918" spans="44:44">
      <c r="AR1918" s="86"/>
    </row>
    <row r="1919" spans="44:44">
      <c r="AR1919" s="86"/>
    </row>
    <row r="1920" spans="44:44">
      <c r="AR1920" s="86"/>
    </row>
    <row r="1921" spans="44:44">
      <c r="AR1921" s="86"/>
    </row>
    <row r="1922" spans="44:44">
      <c r="AR1922" s="86"/>
    </row>
    <row r="1923" spans="44:44">
      <c r="AR1923" s="86"/>
    </row>
    <row r="1924" spans="44:44">
      <c r="AR1924" s="86"/>
    </row>
    <row r="1925" spans="44:44">
      <c r="AR1925" s="86"/>
    </row>
    <row r="1926" spans="44:44">
      <c r="AR1926" s="86"/>
    </row>
    <row r="1927" spans="44:44">
      <c r="AR1927" s="86"/>
    </row>
    <row r="1928" spans="44:44">
      <c r="AR1928" s="86"/>
    </row>
    <row r="1929" spans="44:44">
      <c r="AR1929" s="86"/>
    </row>
    <row r="1930" spans="44:44">
      <c r="AR1930" s="86"/>
    </row>
    <row r="1931" spans="44:44">
      <c r="AR1931" s="86"/>
    </row>
    <row r="1932" spans="44:44">
      <c r="AR1932" s="86"/>
    </row>
    <row r="1933" spans="44:44">
      <c r="AR1933" s="86"/>
    </row>
    <row r="1934" spans="44:44">
      <c r="AR1934" s="86"/>
    </row>
    <row r="1935" spans="44:44">
      <c r="AR1935" s="86"/>
    </row>
    <row r="1936" spans="44:44">
      <c r="AR1936" s="86"/>
    </row>
    <row r="1937" spans="44:44">
      <c r="AR1937" s="86"/>
    </row>
    <row r="1938" spans="44:44">
      <c r="AR1938" s="86"/>
    </row>
    <row r="1939" spans="44:44">
      <c r="AR1939" s="86"/>
    </row>
    <row r="1940" spans="44:44">
      <c r="AR1940" s="86"/>
    </row>
    <row r="1941" spans="44:44">
      <c r="AR1941" s="86"/>
    </row>
    <row r="1942" spans="44:44">
      <c r="AR1942" s="86"/>
    </row>
    <row r="1943" spans="44:44">
      <c r="AR1943" s="86"/>
    </row>
    <row r="1944" spans="44:44">
      <c r="AR1944" s="86"/>
    </row>
    <row r="1945" spans="44:44">
      <c r="AR1945" s="86"/>
    </row>
    <row r="1946" spans="44:44">
      <c r="AR1946" s="86"/>
    </row>
    <row r="1947" spans="44:44">
      <c r="AR1947" s="86"/>
    </row>
    <row r="1948" spans="44:44">
      <c r="AR1948" s="86"/>
    </row>
    <row r="1949" spans="44:44">
      <c r="AR1949" s="86"/>
    </row>
    <row r="1950" spans="44:44">
      <c r="AR1950" s="86"/>
    </row>
    <row r="1951" spans="44:44">
      <c r="AR1951" s="86"/>
    </row>
    <row r="1952" spans="44:44">
      <c r="AR1952" s="86"/>
    </row>
    <row r="1953" spans="44:44">
      <c r="AR1953" s="86"/>
    </row>
    <row r="1954" spans="44:44">
      <c r="AR1954" s="86"/>
    </row>
    <row r="1955" spans="44:44">
      <c r="AR1955" s="86"/>
    </row>
    <row r="1956" spans="44:44">
      <c r="AR1956" s="86"/>
    </row>
    <row r="1957" spans="44:44">
      <c r="AR1957" s="86"/>
    </row>
    <row r="1958" spans="44:44">
      <c r="AR1958" s="86"/>
    </row>
    <row r="1959" spans="44:44">
      <c r="AR1959" s="86"/>
    </row>
    <row r="1960" spans="44:44">
      <c r="AR1960" s="86"/>
    </row>
    <row r="1961" spans="44:44">
      <c r="AR1961" s="86"/>
    </row>
    <row r="1962" spans="44:44">
      <c r="AR1962" s="86"/>
    </row>
    <row r="1963" spans="44:44">
      <c r="AR1963" s="86"/>
    </row>
    <row r="1964" spans="44:44">
      <c r="AR1964" s="86"/>
    </row>
    <row r="1965" spans="44:44">
      <c r="AR1965" s="86"/>
    </row>
    <row r="1966" spans="44:44">
      <c r="AR1966" s="86"/>
    </row>
    <row r="1967" spans="44:44">
      <c r="AR1967" s="86"/>
    </row>
    <row r="1968" spans="44:44">
      <c r="AR1968" s="86"/>
    </row>
    <row r="1969" spans="44:44">
      <c r="AR1969" s="86"/>
    </row>
    <row r="1970" spans="44:44">
      <c r="AR1970" s="86"/>
    </row>
    <row r="1971" spans="44:44">
      <c r="AR1971" s="86"/>
    </row>
    <row r="1972" spans="44:44">
      <c r="AR1972" s="86"/>
    </row>
    <row r="1973" spans="44:44">
      <c r="AR1973" s="86"/>
    </row>
    <row r="1974" spans="44:44">
      <c r="AR1974" s="86"/>
    </row>
    <row r="1975" spans="44:44">
      <c r="AR1975" s="86"/>
    </row>
    <row r="1976" spans="44:44">
      <c r="AR1976" s="86"/>
    </row>
    <row r="1977" spans="44:44">
      <c r="AR1977" s="86"/>
    </row>
    <row r="1978" spans="44:44">
      <c r="AR1978" s="86"/>
    </row>
    <row r="1979" spans="44:44">
      <c r="AR1979" s="86"/>
    </row>
    <row r="1980" spans="44:44">
      <c r="AR1980" s="86"/>
    </row>
    <row r="1981" spans="44:44">
      <c r="AR1981" s="86"/>
    </row>
    <row r="1982" spans="44:44">
      <c r="AR1982" s="86"/>
    </row>
    <row r="1983" spans="44:44">
      <c r="AR1983" s="86"/>
    </row>
    <row r="1984" spans="44:44">
      <c r="AR1984" s="86"/>
    </row>
    <row r="1985" spans="44:44">
      <c r="AR1985" s="86"/>
    </row>
    <row r="1986" spans="44:44">
      <c r="AR1986" s="86"/>
    </row>
    <row r="1987" spans="44:44">
      <c r="AR1987" s="86"/>
    </row>
    <row r="1988" spans="44:44">
      <c r="AR1988" s="86"/>
    </row>
    <row r="1989" spans="44:44">
      <c r="AR1989" s="86"/>
    </row>
    <row r="1990" spans="44:44">
      <c r="AR1990" s="86"/>
    </row>
    <row r="1991" spans="44:44">
      <c r="AR1991" s="86"/>
    </row>
    <row r="1992" spans="44:44">
      <c r="AR1992" s="86"/>
    </row>
    <row r="1993" spans="44:44">
      <c r="AR1993" s="86"/>
    </row>
    <row r="1994" spans="44:44">
      <c r="AR1994" s="86"/>
    </row>
    <row r="1995" spans="44:44">
      <c r="AR1995" s="86"/>
    </row>
    <row r="1996" spans="44:44">
      <c r="AR1996" s="86"/>
    </row>
    <row r="1997" spans="44:44">
      <c r="AR1997" s="86"/>
    </row>
    <row r="1998" spans="44:44">
      <c r="AR1998" s="86"/>
    </row>
    <row r="1999" spans="44:44">
      <c r="AR1999" s="86"/>
    </row>
    <row r="2000" spans="44:44">
      <c r="AR2000" s="86"/>
    </row>
    <row r="2001" spans="44:44">
      <c r="AR2001" s="86"/>
    </row>
    <row r="2002" spans="44:44">
      <c r="AR2002" s="86"/>
    </row>
    <row r="2003" spans="44:44">
      <c r="AR2003" s="86"/>
    </row>
    <row r="2004" spans="44:44">
      <c r="AR2004" s="86"/>
    </row>
    <row r="2005" spans="44:44">
      <c r="AR2005" s="86"/>
    </row>
    <row r="2006" spans="44:44">
      <c r="AR2006" s="86"/>
    </row>
    <row r="2007" spans="44:44">
      <c r="AR2007" s="86"/>
    </row>
    <row r="2008" spans="44:44">
      <c r="AR2008" s="86"/>
    </row>
    <row r="2009" spans="44:44">
      <c r="AR2009" s="86"/>
    </row>
    <row r="2010" spans="44:44">
      <c r="AR2010" s="86"/>
    </row>
    <row r="2011" spans="44:44">
      <c r="AR2011" s="86"/>
    </row>
    <row r="2012" spans="44:44">
      <c r="AR2012" s="86"/>
    </row>
    <row r="2013" spans="44:44">
      <c r="AR2013" s="86"/>
    </row>
    <row r="2014" spans="44:44">
      <c r="AR2014" s="86"/>
    </row>
    <row r="2015" spans="44:44">
      <c r="AR2015" s="86"/>
    </row>
    <row r="2016" spans="44:44">
      <c r="AR2016" s="86"/>
    </row>
    <row r="2017" spans="44:44">
      <c r="AR2017" s="86"/>
    </row>
    <row r="2018" spans="44:44">
      <c r="AR2018" s="86"/>
    </row>
    <row r="2019" spans="44:44">
      <c r="AR2019" s="86"/>
    </row>
    <row r="2020" spans="44:44">
      <c r="AR2020" s="86"/>
    </row>
    <row r="2021" spans="44:44">
      <c r="AR2021" s="86"/>
    </row>
    <row r="2022" spans="44:44">
      <c r="AR2022" s="86"/>
    </row>
    <row r="2023" spans="44:44">
      <c r="AR2023" s="86"/>
    </row>
    <row r="2024" spans="44:44">
      <c r="AR2024" s="86"/>
    </row>
    <row r="2025" spans="44:44">
      <c r="AR2025" s="86"/>
    </row>
    <row r="2026" spans="44:44">
      <c r="AR2026" s="86"/>
    </row>
    <row r="2027" spans="44:44">
      <c r="AR2027" s="86"/>
    </row>
    <row r="2028" spans="44:44">
      <c r="AR2028" s="86"/>
    </row>
    <row r="2029" spans="44:44">
      <c r="AR2029" s="86"/>
    </row>
    <row r="2030" spans="44:44">
      <c r="AR2030" s="86"/>
    </row>
    <row r="2031" spans="44:44">
      <c r="AR2031" s="86"/>
    </row>
    <row r="2032" spans="44:44">
      <c r="AR2032" s="86"/>
    </row>
    <row r="2033" spans="44:44">
      <c r="AR2033" s="86"/>
    </row>
    <row r="2034" spans="44:44">
      <c r="AR2034" s="86"/>
    </row>
    <row r="2035" spans="44:44">
      <c r="AR2035" s="86"/>
    </row>
    <row r="2036" spans="44:44">
      <c r="AR2036" s="86"/>
    </row>
    <row r="2037" spans="44:44">
      <c r="AR2037" s="86"/>
    </row>
    <row r="2038" spans="44:44">
      <c r="AR2038" s="86"/>
    </row>
    <row r="2039" spans="44:44">
      <c r="AR2039" s="86"/>
    </row>
    <row r="2040" spans="44:44">
      <c r="AR2040" s="86"/>
    </row>
    <row r="2041" spans="44:44">
      <c r="AR2041" s="86"/>
    </row>
    <row r="2042" spans="44:44">
      <c r="AR2042" s="86"/>
    </row>
    <row r="2043" spans="44:44">
      <c r="AR2043" s="86"/>
    </row>
    <row r="2044" spans="44:44">
      <c r="AR2044" s="86"/>
    </row>
    <row r="2045" spans="44:44">
      <c r="AR2045" s="86"/>
    </row>
    <row r="2046" spans="44:44">
      <c r="AR2046" s="86"/>
    </row>
    <row r="2047" spans="44:44">
      <c r="AR2047" s="86"/>
    </row>
    <row r="2048" spans="44:44">
      <c r="AR2048" s="86"/>
    </row>
    <row r="2049" spans="44:44">
      <c r="AR2049" s="86"/>
    </row>
    <row r="2050" spans="44:44">
      <c r="AR2050" s="86"/>
    </row>
    <row r="2051" spans="44:44">
      <c r="AR2051" s="86"/>
    </row>
    <row r="2052" spans="44:44">
      <c r="AR2052" s="86"/>
    </row>
    <row r="2053" spans="44:44">
      <c r="AR2053" s="86"/>
    </row>
    <row r="2054" spans="44:44">
      <c r="AR2054" s="86"/>
    </row>
    <row r="2055" spans="44:44">
      <c r="AR2055" s="86"/>
    </row>
    <row r="2056" spans="44:44">
      <c r="AR2056" s="86"/>
    </row>
    <row r="2057" spans="44:44">
      <c r="AR2057" s="86"/>
    </row>
    <row r="2058" spans="44:44">
      <c r="AR2058" s="86"/>
    </row>
    <row r="2059" spans="44:44">
      <c r="AR2059" s="86"/>
    </row>
    <row r="2060" spans="44:44">
      <c r="AR2060" s="86"/>
    </row>
    <row r="2061" spans="44:44">
      <c r="AR2061" s="86"/>
    </row>
    <row r="2062" spans="44:44">
      <c r="AR2062" s="86"/>
    </row>
    <row r="2063" spans="44:44">
      <c r="AR2063" s="86"/>
    </row>
    <row r="2064" spans="44:44">
      <c r="AR2064" s="86"/>
    </row>
    <row r="2065" spans="44:44">
      <c r="AR2065" s="86"/>
    </row>
    <row r="2066" spans="44:44">
      <c r="AR2066" s="86"/>
    </row>
    <row r="2067" spans="44:44">
      <c r="AR2067" s="86"/>
    </row>
    <row r="2068" spans="44:44">
      <c r="AR2068" s="86"/>
    </row>
    <row r="2069" spans="44:44">
      <c r="AR2069" s="86"/>
    </row>
    <row r="2070" spans="44:44">
      <c r="AR2070" s="86"/>
    </row>
    <row r="2071" spans="44:44">
      <c r="AR2071" s="86"/>
    </row>
    <row r="2072" spans="44:44">
      <c r="AR2072" s="86"/>
    </row>
    <row r="2073" spans="44:44">
      <c r="AR2073" s="86"/>
    </row>
    <row r="2074" spans="44:44">
      <c r="AR2074" s="86"/>
    </row>
    <row r="2075" spans="44:44">
      <c r="AR2075" s="86"/>
    </row>
    <row r="2076" spans="44:44">
      <c r="AR2076" s="86"/>
    </row>
    <row r="2077" spans="44:44">
      <c r="AR2077" s="86"/>
    </row>
    <row r="2078" spans="44:44">
      <c r="AR2078" s="86"/>
    </row>
    <row r="2079" spans="44:44">
      <c r="AR2079" s="86"/>
    </row>
    <row r="2080" spans="44:44">
      <c r="AR2080" s="86"/>
    </row>
    <row r="2081" spans="44:44">
      <c r="AR2081" s="86"/>
    </row>
    <row r="2082" spans="44:44">
      <c r="AR2082" s="86"/>
    </row>
    <row r="2083" spans="44:44">
      <c r="AR2083" s="86"/>
    </row>
    <row r="2084" spans="44:44">
      <c r="AR2084" s="86"/>
    </row>
    <row r="2085" spans="44:44">
      <c r="AR2085" s="86"/>
    </row>
    <row r="2086" spans="44:44">
      <c r="AR2086" s="86"/>
    </row>
    <row r="2087" spans="44:44">
      <c r="AR2087" s="86"/>
    </row>
    <row r="2088" spans="44:44">
      <c r="AR2088" s="86"/>
    </row>
    <row r="2089" spans="44:44">
      <c r="AR2089" s="86"/>
    </row>
    <row r="2090" spans="44:44">
      <c r="AR2090" s="86"/>
    </row>
    <row r="2091" spans="44:44">
      <c r="AR2091" s="86"/>
    </row>
    <row r="2092" spans="44:44">
      <c r="AR2092" s="86"/>
    </row>
    <row r="2093" spans="44:44">
      <c r="AR2093" s="86"/>
    </row>
    <row r="2094" spans="44:44">
      <c r="AR2094" s="86"/>
    </row>
    <row r="2095" spans="44:44">
      <c r="AR2095" s="86"/>
    </row>
    <row r="2096" spans="44:44">
      <c r="AR2096" s="86"/>
    </row>
    <row r="2097" spans="44:44">
      <c r="AR2097" s="86"/>
    </row>
    <row r="2098" spans="44:44">
      <c r="AR2098" s="86"/>
    </row>
    <row r="2099" spans="44:44">
      <c r="AR2099" s="86"/>
    </row>
    <row r="2100" spans="44:44">
      <c r="AR2100" s="86"/>
    </row>
    <row r="2101" spans="44:44">
      <c r="AR2101" s="86"/>
    </row>
    <row r="2102" spans="44:44">
      <c r="AR2102" s="86"/>
    </row>
    <row r="2103" spans="44:44">
      <c r="AR2103" s="86"/>
    </row>
    <row r="2104" spans="44:44">
      <c r="AR2104" s="86"/>
    </row>
    <row r="2105" spans="44:44">
      <c r="AR2105" s="86"/>
    </row>
    <row r="2106" spans="44:44">
      <c r="AR2106" s="86"/>
    </row>
    <row r="2107" spans="44:44">
      <c r="AR2107" s="86"/>
    </row>
    <row r="2108" spans="44:44">
      <c r="AR2108" s="86"/>
    </row>
    <row r="2109" spans="44:44">
      <c r="AR2109" s="86"/>
    </row>
    <row r="2110" spans="44:44">
      <c r="AR2110" s="86"/>
    </row>
    <row r="2111" spans="44:44">
      <c r="AR2111" s="86"/>
    </row>
    <row r="2112" spans="44:44">
      <c r="AR2112" s="86"/>
    </row>
    <row r="2113" spans="44:44">
      <c r="AR2113" s="86"/>
    </row>
    <row r="2114" spans="44:44">
      <c r="AR2114" s="86"/>
    </row>
    <row r="2115" spans="44:44">
      <c r="AR2115" s="86"/>
    </row>
    <row r="2116" spans="44:44">
      <c r="AR2116" s="86"/>
    </row>
    <row r="2117" spans="44:44">
      <c r="AR2117" s="86"/>
    </row>
    <row r="2118" spans="44:44">
      <c r="AR2118" s="86"/>
    </row>
    <row r="2119" spans="44:44">
      <c r="AR2119" s="86"/>
    </row>
    <row r="2120" spans="44:44">
      <c r="AR2120" s="86"/>
    </row>
    <row r="2121" spans="44:44">
      <c r="AR2121" s="86"/>
    </row>
    <row r="2122" spans="44:44">
      <c r="AR2122" s="86"/>
    </row>
    <row r="2123" spans="44:44">
      <c r="AR2123" s="86"/>
    </row>
    <row r="2124" spans="44:44">
      <c r="AR2124" s="86"/>
    </row>
    <row r="2125" spans="44:44">
      <c r="AR2125" s="86"/>
    </row>
    <row r="2126" spans="44:44">
      <c r="AR2126" s="86"/>
    </row>
    <row r="2127" spans="44:44">
      <c r="AR2127" s="86"/>
    </row>
    <row r="2128" spans="44:44">
      <c r="AR2128" s="86"/>
    </row>
    <row r="2129" spans="44:44">
      <c r="AR2129" s="86"/>
    </row>
    <row r="2130" spans="44:44">
      <c r="AR2130" s="86"/>
    </row>
    <row r="2131" spans="44:44">
      <c r="AR2131" s="86"/>
    </row>
    <row r="2132" spans="44:44">
      <c r="AR2132" s="86"/>
    </row>
    <row r="2133" spans="44:44">
      <c r="AR2133" s="86"/>
    </row>
    <row r="2134" spans="44:44">
      <c r="AR2134" s="86"/>
    </row>
    <row r="2135" spans="44:44">
      <c r="AR2135" s="86"/>
    </row>
    <row r="2136" spans="44:44">
      <c r="AR2136" s="86"/>
    </row>
    <row r="2137" spans="44:44">
      <c r="AR2137" s="86"/>
    </row>
    <row r="2138" spans="44:44">
      <c r="AR2138" s="86"/>
    </row>
    <row r="2139" spans="44:44">
      <c r="AR2139" s="86"/>
    </row>
    <row r="2140" spans="44:44">
      <c r="AR2140" s="86"/>
    </row>
    <row r="2141" spans="44:44">
      <c r="AR2141" s="86"/>
    </row>
    <row r="2142" spans="44:44">
      <c r="AR2142" s="86"/>
    </row>
    <row r="2143" spans="44:44">
      <c r="AR2143" s="86"/>
    </row>
    <row r="2144" spans="44:44">
      <c r="AR2144" s="86"/>
    </row>
    <row r="2145" spans="44:44">
      <c r="AR2145" s="86"/>
    </row>
    <row r="2146" spans="44:44">
      <c r="AR2146" s="86"/>
    </row>
    <row r="2147" spans="44:44">
      <c r="AR2147" s="86"/>
    </row>
    <row r="2148" spans="44:44">
      <c r="AR2148" s="86"/>
    </row>
    <row r="2149" spans="44:44">
      <c r="AR2149" s="86"/>
    </row>
    <row r="2150" spans="44:44">
      <c r="AR2150" s="86"/>
    </row>
    <row r="2151" spans="44:44">
      <c r="AR2151" s="86"/>
    </row>
    <row r="2152" spans="44:44">
      <c r="AR2152" s="86"/>
    </row>
    <row r="2153" spans="44:44">
      <c r="AR2153" s="86"/>
    </row>
    <row r="2154" spans="44:44">
      <c r="AR2154" s="86"/>
    </row>
    <row r="2155" spans="44:44">
      <c r="AR2155" s="86"/>
    </row>
    <row r="2156" spans="44:44">
      <c r="AR2156" s="86"/>
    </row>
    <row r="2157" spans="44:44">
      <c r="AR2157" s="86"/>
    </row>
    <row r="2158" spans="44:44">
      <c r="AR2158" s="86"/>
    </row>
    <row r="2159" spans="44:44">
      <c r="AR2159" s="86"/>
    </row>
    <row r="2160" spans="44:44">
      <c r="AR2160" s="86"/>
    </row>
    <row r="2161" spans="44:44">
      <c r="AR2161" s="86"/>
    </row>
    <row r="2162" spans="44:44">
      <c r="AR2162" s="86"/>
    </row>
    <row r="2163" spans="44:44">
      <c r="AR2163" s="86"/>
    </row>
    <row r="2164" spans="44:44">
      <c r="AR2164" s="86"/>
    </row>
    <row r="2165" spans="44:44">
      <c r="AR2165" s="86"/>
    </row>
    <row r="2166" spans="44:44">
      <c r="AR2166" s="86"/>
    </row>
    <row r="2167" spans="44:44">
      <c r="AR2167" s="86"/>
    </row>
    <row r="2168" spans="44:44">
      <c r="AR2168" s="86"/>
    </row>
    <row r="2169" spans="44:44">
      <c r="AR2169" s="86"/>
    </row>
    <row r="2170" spans="44:44">
      <c r="AR2170" s="86"/>
    </row>
    <row r="2171" spans="44:44">
      <c r="AR2171" s="86"/>
    </row>
    <row r="2172" spans="44:44">
      <c r="AR2172" s="86"/>
    </row>
    <row r="2173" spans="44:44">
      <c r="AR2173" s="86"/>
    </row>
    <row r="2174" spans="44:44">
      <c r="AR2174" s="86"/>
    </row>
    <row r="2175" spans="44:44">
      <c r="AR2175" s="86"/>
    </row>
    <row r="2176" spans="44:44">
      <c r="AR2176" s="86"/>
    </row>
    <row r="2177" spans="44:44">
      <c r="AR2177" s="86"/>
    </row>
    <row r="2178" spans="44:44">
      <c r="AR2178" s="86"/>
    </row>
    <row r="2179" spans="44:44">
      <c r="AR2179" s="86"/>
    </row>
    <row r="2180" spans="44:44">
      <c r="AR2180" s="86"/>
    </row>
    <row r="2181" spans="44:44">
      <c r="AR2181" s="86"/>
    </row>
    <row r="2182" spans="44:44">
      <c r="AR2182" s="86"/>
    </row>
    <row r="2183" spans="44:44">
      <c r="AR2183" s="86"/>
    </row>
    <row r="2184" spans="44:44">
      <c r="AR2184" s="86"/>
    </row>
    <row r="2185" spans="44:44">
      <c r="AR2185" s="86"/>
    </row>
    <row r="2186" spans="44:44">
      <c r="AR2186" s="86"/>
    </row>
    <row r="2187" spans="44:44">
      <c r="AR2187" s="86"/>
    </row>
    <row r="2188" spans="44:44">
      <c r="AR2188" s="86"/>
    </row>
    <row r="2189" spans="44:44">
      <c r="AR2189" s="86"/>
    </row>
    <row r="2190" spans="44:44">
      <c r="AR2190" s="86"/>
    </row>
    <row r="2191" spans="44:44">
      <c r="AR2191" s="86"/>
    </row>
    <row r="2192" spans="44:44">
      <c r="AR2192" s="86"/>
    </row>
    <row r="2193" spans="44:44">
      <c r="AR2193" s="86"/>
    </row>
    <row r="2194" spans="44:44">
      <c r="AR2194" s="86"/>
    </row>
    <row r="2195" spans="44:44">
      <c r="AR2195" s="86"/>
    </row>
    <row r="2196" spans="44:44">
      <c r="AR2196" s="86"/>
    </row>
    <row r="2197" spans="44:44">
      <c r="AR2197" s="86"/>
    </row>
    <row r="2198" spans="44:44">
      <c r="AR2198" s="86"/>
    </row>
    <row r="2199" spans="44:44">
      <c r="AR2199" s="86"/>
    </row>
    <row r="2200" spans="44:44">
      <c r="AR2200" s="86"/>
    </row>
    <row r="2201" spans="44:44">
      <c r="AR2201" s="86"/>
    </row>
    <row r="2202" spans="44:44">
      <c r="AR2202" s="86"/>
    </row>
    <row r="2203" spans="44:44">
      <c r="AR2203" s="86"/>
    </row>
    <row r="2204" spans="44:44">
      <c r="AR2204" s="86"/>
    </row>
    <row r="2205" spans="44:44">
      <c r="AR2205" s="86"/>
    </row>
    <row r="2206" spans="44:44">
      <c r="AR2206" s="86"/>
    </row>
    <row r="2207" spans="44:44">
      <c r="AR2207" s="86"/>
    </row>
    <row r="2208" spans="44:44">
      <c r="AR2208" s="86"/>
    </row>
    <row r="2209" spans="44:44">
      <c r="AR2209" s="86"/>
    </row>
    <row r="2210" spans="44:44">
      <c r="AR2210" s="86"/>
    </row>
    <row r="2211" spans="44:44">
      <c r="AR2211" s="86"/>
    </row>
    <row r="2212" spans="44:44">
      <c r="AR2212" s="86"/>
    </row>
    <row r="2213" spans="44:44">
      <c r="AR2213" s="86"/>
    </row>
    <row r="2214" spans="44:44">
      <c r="AR2214" s="86"/>
    </row>
    <row r="2215" spans="44:44">
      <c r="AR2215" s="86"/>
    </row>
    <row r="2216" spans="44:44">
      <c r="AR2216" s="86"/>
    </row>
    <row r="2217" spans="44:44">
      <c r="AR2217" s="86"/>
    </row>
    <row r="2218" spans="44:44">
      <c r="AR2218" s="86"/>
    </row>
    <row r="2219" spans="44:44">
      <c r="AR2219" s="86"/>
    </row>
    <row r="2220" spans="44:44">
      <c r="AR2220" s="86"/>
    </row>
    <row r="2221" spans="44:44">
      <c r="AR2221" s="86"/>
    </row>
    <row r="2222" spans="44:44">
      <c r="AR2222" s="86"/>
    </row>
    <row r="2223" spans="44:44">
      <c r="AR2223" s="86"/>
    </row>
    <row r="2224" spans="44:44">
      <c r="AR2224" s="86"/>
    </row>
    <row r="2225" spans="44:44">
      <c r="AR2225" s="86"/>
    </row>
    <row r="2226" spans="44:44">
      <c r="AR2226" s="86"/>
    </row>
    <row r="2227" spans="44:44">
      <c r="AR2227" s="86"/>
    </row>
    <row r="2228" spans="44:44">
      <c r="AR2228" s="86"/>
    </row>
    <row r="2229" spans="44:44">
      <c r="AR2229" s="86"/>
    </row>
    <row r="2230" spans="44:44">
      <c r="AR2230" s="86"/>
    </row>
    <row r="2231" spans="44:44">
      <c r="AR2231" s="86"/>
    </row>
    <row r="2232" spans="44:44">
      <c r="AR2232" s="86"/>
    </row>
    <row r="2233" spans="44:44">
      <c r="AR2233" s="86"/>
    </row>
    <row r="2234" spans="44:44">
      <c r="AR2234" s="86"/>
    </row>
    <row r="2235" spans="44:44">
      <c r="AR2235" s="86"/>
    </row>
    <row r="2236" spans="44:44">
      <c r="AR2236" s="86"/>
    </row>
    <row r="2237" spans="44:44">
      <c r="AR2237" s="86"/>
    </row>
    <row r="2238" spans="44:44">
      <c r="AR2238" s="86"/>
    </row>
    <row r="2239" spans="44:44">
      <c r="AR2239" s="86"/>
    </row>
    <row r="2240" spans="44:44">
      <c r="AR2240" s="86"/>
    </row>
    <row r="2241" spans="44:44">
      <c r="AR2241" s="86"/>
    </row>
    <row r="2242" spans="44:44">
      <c r="AR2242" s="86"/>
    </row>
    <row r="2243" spans="44:44">
      <c r="AR2243" s="86"/>
    </row>
    <row r="2244" spans="44:44">
      <c r="AR2244" s="86"/>
    </row>
    <row r="2245" spans="44:44">
      <c r="AR2245" s="86"/>
    </row>
    <row r="2246" spans="44:44">
      <c r="AR2246" s="86"/>
    </row>
    <row r="2247" spans="44:44">
      <c r="AR2247" s="86"/>
    </row>
    <row r="2248" spans="44:44">
      <c r="AR2248" s="86"/>
    </row>
    <row r="2249" spans="44:44">
      <c r="AR2249" s="86"/>
    </row>
    <row r="2250" spans="44:44">
      <c r="AR2250" s="86"/>
    </row>
    <row r="2251" spans="44:44">
      <c r="AR2251" s="86"/>
    </row>
    <row r="2252" spans="44:44">
      <c r="AR2252" s="86"/>
    </row>
    <row r="2253" spans="44:44">
      <c r="AR2253" s="86"/>
    </row>
    <row r="2254" spans="44:44">
      <c r="AR2254" s="86"/>
    </row>
    <row r="2255" spans="44:44">
      <c r="AR2255" s="86"/>
    </row>
    <row r="2256" spans="44:44">
      <c r="AR2256" s="86"/>
    </row>
    <row r="2257" spans="44:44">
      <c r="AR2257" s="86"/>
    </row>
    <row r="2258" spans="44:44">
      <c r="AR2258" s="86"/>
    </row>
    <row r="2259" spans="44:44">
      <c r="AR2259" s="86"/>
    </row>
    <row r="2260" spans="44:44">
      <c r="AR2260" s="86"/>
    </row>
    <row r="2261" spans="44:44">
      <c r="AR2261" s="86"/>
    </row>
    <row r="2262" spans="44:44">
      <c r="AR2262" s="86"/>
    </row>
    <row r="2263" spans="44:44">
      <c r="AR2263" s="86"/>
    </row>
    <row r="2264" spans="44:44">
      <c r="AR2264" s="86"/>
    </row>
    <row r="2265" spans="44:44">
      <c r="AR2265" s="86"/>
    </row>
    <row r="2266" spans="44:44">
      <c r="AR2266" s="86"/>
    </row>
    <row r="2267" spans="44:44">
      <c r="AR2267" s="86"/>
    </row>
    <row r="2268" spans="44:44">
      <c r="AR2268" s="86"/>
    </row>
    <row r="2269" spans="44:44">
      <c r="AR2269" s="86"/>
    </row>
    <row r="2270" spans="44:44">
      <c r="AR2270" s="86"/>
    </row>
    <row r="2271" spans="44:44">
      <c r="AR2271" s="86"/>
    </row>
    <row r="2272" spans="44:44">
      <c r="AR2272" s="86"/>
    </row>
    <row r="2273" spans="44:44">
      <c r="AR2273" s="86"/>
    </row>
    <row r="2274" spans="44:44">
      <c r="AR2274" s="86"/>
    </row>
    <row r="2275" spans="44:44">
      <c r="AR2275" s="86"/>
    </row>
    <row r="2276" spans="44:44">
      <c r="AR2276" s="86"/>
    </row>
    <row r="2277" spans="44:44">
      <c r="AR2277" s="86"/>
    </row>
    <row r="2278" spans="44:44">
      <c r="AR2278" s="86"/>
    </row>
    <row r="2279" spans="44:44">
      <c r="AR2279" s="86"/>
    </row>
    <row r="2280" spans="44:44">
      <c r="AR2280" s="86"/>
    </row>
    <row r="2281" spans="44:44">
      <c r="AR2281" s="86"/>
    </row>
    <row r="2282" spans="44:44">
      <c r="AR2282" s="86"/>
    </row>
    <row r="2283" spans="44:44">
      <c r="AR2283" s="86"/>
    </row>
    <row r="2284" spans="44:44">
      <c r="AR2284" s="86"/>
    </row>
    <row r="2285" spans="44:44">
      <c r="AR2285" s="86"/>
    </row>
    <row r="2286" spans="44:44">
      <c r="AR2286" s="86"/>
    </row>
    <row r="2287" spans="44:44">
      <c r="AR2287" s="86"/>
    </row>
    <row r="2288" spans="44:44">
      <c r="AR2288" s="86"/>
    </row>
    <row r="2289" spans="44:44">
      <c r="AR2289" s="86"/>
    </row>
    <row r="2290" spans="44:44">
      <c r="AR2290" s="86"/>
    </row>
    <row r="2291" spans="44:44">
      <c r="AR2291" s="86"/>
    </row>
    <row r="2292" spans="44:44">
      <c r="AR2292" s="86"/>
    </row>
    <row r="2293" spans="44:44">
      <c r="AR2293" s="86"/>
    </row>
    <row r="2294" spans="44:44">
      <c r="AR2294" s="86"/>
    </row>
    <row r="2295" spans="44:44">
      <c r="AR2295" s="86"/>
    </row>
    <row r="2296" spans="44:44">
      <c r="AR2296" s="86"/>
    </row>
    <row r="2297" spans="44:44">
      <c r="AR2297" s="86"/>
    </row>
    <row r="2298" spans="44:44">
      <c r="AR2298" s="86"/>
    </row>
    <row r="2299" spans="44:44">
      <c r="AR2299" s="86"/>
    </row>
    <row r="2300" spans="44:44">
      <c r="AR2300" s="86"/>
    </row>
    <row r="2301" spans="44:44">
      <c r="AR2301" s="86"/>
    </row>
    <row r="2302" spans="44:44">
      <c r="AR2302" s="86"/>
    </row>
    <row r="2303" spans="44:44">
      <c r="AR2303" s="86"/>
    </row>
    <row r="2304" spans="44:44">
      <c r="AR2304" s="86"/>
    </row>
    <row r="2305" spans="44:44">
      <c r="AR2305" s="86"/>
    </row>
    <row r="2306" spans="44:44">
      <c r="AR2306" s="86"/>
    </row>
    <row r="2307" spans="44:44">
      <c r="AR2307" s="86"/>
    </row>
    <row r="2308" spans="44:44">
      <c r="AR2308" s="86"/>
    </row>
    <row r="2309" spans="44:44">
      <c r="AR2309" s="86"/>
    </row>
    <row r="2310" spans="44:44">
      <c r="AR2310" s="86"/>
    </row>
    <row r="2311" spans="44:44">
      <c r="AR2311" s="86"/>
    </row>
    <row r="2312" spans="44:44">
      <c r="AR2312" s="86"/>
    </row>
    <row r="2313" spans="44:44">
      <c r="AR2313" s="86"/>
    </row>
    <row r="2314" spans="44:44">
      <c r="AR2314" s="86"/>
    </row>
    <row r="2315" spans="44:44">
      <c r="AR2315" s="86"/>
    </row>
    <row r="2316" spans="44:44">
      <c r="AR2316" s="86"/>
    </row>
    <row r="2317" spans="44:44">
      <c r="AR2317" s="86"/>
    </row>
    <row r="2318" spans="44:44">
      <c r="AR2318" s="86"/>
    </row>
    <row r="2319" spans="44:44">
      <c r="AR2319" s="86"/>
    </row>
    <row r="2320" spans="44:44">
      <c r="AR2320" s="86"/>
    </row>
    <row r="2321" spans="44:44">
      <c r="AR2321" s="86"/>
    </row>
    <row r="2322" spans="44:44">
      <c r="AR2322" s="86"/>
    </row>
    <row r="2323" spans="44:44">
      <c r="AR2323" s="86"/>
    </row>
    <row r="2324" spans="44:44">
      <c r="AR2324" s="86"/>
    </row>
    <row r="2325" spans="44:44">
      <c r="AR2325" s="86"/>
    </row>
    <row r="2326" spans="44:44">
      <c r="AR2326" s="86"/>
    </row>
    <row r="2327" spans="44:44">
      <c r="AR2327" s="86"/>
    </row>
    <row r="2328" spans="44:44">
      <c r="AR2328" s="86"/>
    </row>
    <row r="2329" spans="44:44">
      <c r="AR2329" s="86"/>
    </row>
    <row r="2330" spans="44:44">
      <c r="AR2330" s="86"/>
    </row>
    <row r="2331" spans="44:44">
      <c r="AR2331" s="86"/>
    </row>
    <row r="2332" spans="44:44">
      <c r="AR2332" s="86"/>
    </row>
    <row r="2333" spans="44:44">
      <c r="AR2333" s="86"/>
    </row>
    <row r="2334" spans="44:44">
      <c r="AR2334" s="86"/>
    </row>
    <row r="2335" spans="44:44">
      <c r="AR2335" s="86"/>
    </row>
    <row r="2336" spans="44:44">
      <c r="AR2336" s="86"/>
    </row>
    <row r="2337" spans="44:44">
      <c r="AR2337" s="86"/>
    </row>
    <row r="2338" spans="44:44">
      <c r="AR2338" s="86"/>
    </row>
    <row r="2339" spans="44:44">
      <c r="AR2339" s="86"/>
    </row>
    <row r="2340" spans="44:44">
      <c r="AR2340" s="86"/>
    </row>
    <row r="2341" spans="44:44">
      <c r="AR2341" s="86"/>
    </row>
    <row r="2342" spans="44:44">
      <c r="AR2342" s="86"/>
    </row>
    <row r="2343" spans="44:44">
      <c r="AR2343" s="86"/>
    </row>
    <row r="2344" spans="44:44">
      <c r="AR2344" s="86"/>
    </row>
    <row r="2345" spans="44:44">
      <c r="AR2345" s="86"/>
    </row>
    <row r="2346" spans="44:44">
      <c r="AR2346" s="86"/>
    </row>
    <row r="2347" spans="44:44">
      <c r="AR2347" s="86"/>
    </row>
    <row r="2348" spans="44:44">
      <c r="AR2348" s="86"/>
    </row>
    <row r="2349" spans="44:44">
      <c r="AR2349" s="86"/>
    </row>
    <row r="2350" spans="44:44">
      <c r="AR2350" s="86"/>
    </row>
    <row r="2351" spans="44:44">
      <c r="AR2351" s="86"/>
    </row>
    <row r="2352" spans="44:44">
      <c r="AR2352" s="86"/>
    </row>
    <row r="2353" spans="44:44">
      <c r="AR2353" s="86"/>
    </row>
    <row r="2354" spans="44:44">
      <c r="AR2354" s="86"/>
    </row>
    <row r="2355" spans="44:44">
      <c r="AR2355" s="86"/>
    </row>
    <row r="2356" spans="44:44">
      <c r="AR2356" s="86"/>
    </row>
    <row r="2357" spans="44:44">
      <c r="AR2357" s="86"/>
    </row>
    <row r="2358" spans="44:44">
      <c r="AR2358" s="86"/>
    </row>
    <row r="2359" spans="44:44">
      <c r="AR2359" s="86"/>
    </row>
    <row r="2360" spans="44:44">
      <c r="AR2360" s="86"/>
    </row>
    <row r="2361" spans="44:44">
      <c r="AR2361" s="86"/>
    </row>
    <row r="2362" spans="44:44">
      <c r="AR2362" s="86"/>
    </row>
    <row r="2363" spans="44:44">
      <c r="AR2363" s="86"/>
    </row>
    <row r="2364" spans="44:44">
      <c r="AR2364" s="86"/>
    </row>
    <row r="2365" spans="44:44">
      <c r="AR2365" s="86"/>
    </row>
    <row r="2366" spans="44:44">
      <c r="AR2366" s="86"/>
    </row>
    <row r="2367" spans="44:44">
      <c r="AR2367" s="86"/>
    </row>
    <row r="2368" spans="44:44">
      <c r="AR2368" s="86"/>
    </row>
    <row r="2369" spans="44:44">
      <c r="AR2369" s="86"/>
    </row>
    <row r="2370" spans="44:44">
      <c r="AR2370" s="86"/>
    </row>
    <row r="2371" spans="44:44">
      <c r="AR2371" s="86"/>
    </row>
    <row r="2372" spans="44:44">
      <c r="AR2372" s="86"/>
    </row>
    <row r="2373" spans="44:44">
      <c r="AR2373" s="86"/>
    </row>
    <row r="2374" spans="44:44">
      <c r="AR2374" s="86"/>
    </row>
    <row r="2375" spans="44:44">
      <c r="AR2375" s="86"/>
    </row>
    <row r="2376" spans="44:44">
      <c r="AR2376" s="86"/>
    </row>
    <row r="2377" spans="44:44">
      <c r="AR2377" s="86"/>
    </row>
    <row r="2378" spans="44:44">
      <c r="AR2378" s="86"/>
    </row>
    <row r="2379" spans="44:44">
      <c r="AR2379" s="86"/>
    </row>
    <row r="2380" spans="44:44">
      <c r="AR2380" s="86"/>
    </row>
    <row r="2381" spans="44:44">
      <c r="AR2381" s="86"/>
    </row>
    <row r="2382" spans="44:44">
      <c r="AR2382" s="86"/>
    </row>
    <row r="2383" spans="44:44">
      <c r="AR2383" s="86"/>
    </row>
    <row r="2384" spans="44:44">
      <c r="AR2384" s="86"/>
    </row>
    <row r="2385" spans="44:44">
      <c r="AR2385" s="86"/>
    </row>
    <row r="2386" spans="44:44">
      <c r="AR2386" s="86"/>
    </row>
    <row r="2387" spans="44:44">
      <c r="AR2387" s="86"/>
    </row>
    <row r="2388" spans="44:44">
      <c r="AR2388" s="86"/>
    </row>
    <row r="2389" spans="44:44">
      <c r="AR2389" s="86"/>
    </row>
    <row r="2390" spans="44:44">
      <c r="AR2390" s="86"/>
    </row>
    <row r="2391" spans="44:44">
      <c r="AR2391" s="86"/>
    </row>
    <row r="2392" spans="44:44">
      <c r="AR2392" s="86"/>
    </row>
    <row r="2393" spans="44:44">
      <c r="AR2393" s="86"/>
    </row>
    <row r="2394" spans="44:44">
      <c r="AR2394" s="86"/>
    </row>
    <row r="2395" spans="44:44">
      <c r="AR2395" s="86"/>
    </row>
    <row r="2396" spans="44:44">
      <c r="AR2396" s="86"/>
    </row>
    <row r="2397" spans="44:44">
      <c r="AR2397" s="86"/>
    </row>
    <row r="2398" spans="44:44">
      <c r="AR2398" s="86"/>
    </row>
    <row r="2399" spans="44:44">
      <c r="AR2399" s="86"/>
    </row>
    <row r="2400" spans="44:44">
      <c r="AR2400" s="86"/>
    </row>
    <row r="2401" spans="44:44">
      <c r="AR2401" s="86"/>
    </row>
    <row r="2402" spans="44:44">
      <c r="AR2402" s="86"/>
    </row>
    <row r="2403" spans="44:44">
      <c r="AR2403" s="86"/>
    </row>
    <row r="2404" spans="44:44">
      <c r="AR2404" s="86"/>
    </row>
    <row r="2405" spans="44:44">
      <c r="AR2405" s="86"/>
    </row>
    <row r="2406" spans="44:44">
      <c r="AR2406" s="86"/>
    </row>
    <row r="2407" spans="44:44">
      <c r="AR2407" s="86"/>
    </row>
    <row r="2408" spans="44:44">
      <c r="AR2408" s="86"/>
    </row>
    <row r="2409" spans="44:44">
      <c r="AR2409" s="86"/>
    </row>
    <row r="2410" spans="44:44">
      <c r="AR2410" s="86"/>
    </row>
    <row r="2411" spans="44:44">
      <c r="AR2411" s="86"/>
    </row>
    <row r="2412" spans="44:44">
      <c r="AR2412" s="86"/>
    </row>
    <row r="2413" spans="44:44">
      <c r="AR2413" s="86"/>
    </row>
    <row r="2414" spans="44:44">
      <c r="AR2414" s="86"/>
    </row>
    <row r="2415" spans="44:44">
      <c r="AR2415" s="86"/>
    </row>
    <row r="2416" spans="44:44">
      <c r="AR2416" s="86"/>
    </row>
    <row r="2417" spans="44:44">
      <c r="AR2417" s="86"/>
    </row>
    <row r="2418" spans="44:44">
      <c r="AR2418" s="86"/>
    </row>
    <row r="2419" spans="44:44">
      <c r="AR2419" s="86"/>
    </row>
    <row r="2420" spans="44:44">
      <c r="AR2420" s="86"/>
    </row>
    <row r="2421" spans="44:44">
      <c r="AR2421" s="86"/>
    </row>
    <row r="2422" spans="44:44">
      <c r="AR2422" s="86"/>
    </row>
    <row r="2423" spans="44:44">
      <c r="AR2423" s="86"/>
    </row>
    <row r="2424" spans="44:44">
      <c r="AR2424" s="86"/>
    </row>
    <row r="2425" spans="44:44">
      <c r="AR2425" s="86"/>
    </row>
    <row r="2426" spans="44:44">
      <c r="AR2426" s="86"/>
    </row>
    <row r="2427" spans="44:44">
      <c r="AR2427" s="86"/>
    </row>
    <row r="2428" spans="44:44">
      <c r="AR2428" s="86"/>
    </row>
    <row r="2429" spans="44:44">
      <c r="AR2429" s="86"/>
    </row>
    <row r="2430" spans="44:44">
      <c r="AR2430" s="86"/>
    </row>
    <row r="2431" spans="44:44">
      <c r="AR2431" s="86"/>
    </row>
    <row r="2432" spans="44:44">
      <c r="AR2432" s="86"/>
    </row>
    <row r="2433" spans="44:44">
      <c r="AR2433" s="86"/>
    </row>
    <row r="2434" spans="44:44">
      <c r="AR2434" s="86"/>
    </row>
    <row r="2435" spans="44:44">
      <c r="AR2435" s="86"/>
    </row>
    <row r="2436" spans="44:44">
      <c r="AR2436" s="86"/>
    </row>
    <row r="2437" spans="44:44">
      <c r="AR2437" s="86"/>
    </row>
    <row r="2438" spans="44:44">
      <c r="AR2438" s="86"/>
    </row>
    <row r="2439" spans="44:44">
      <c r="AR2439" s="86"/>
    </row>
    <row r="2440" spans="44:44">
      <c r="AR2440" s="86"/>
    </row>
    <row r="2441" spans="44:44">
      <c r="AR2441" s="86"/>
    </row>
    <row r="2442" spans="44:44">
      <c r="AR2442" s="86"/>
    </row>
    <row r="2443" spans="44:44">
      <c r="AR2443" s="86"/>
    </row>
    <row r="2444" spans="44:44">
      <c r="AR2444" s="86"/>
    </row>
    <row r="2445" spans="44:44">
      <c r="AR2445" s="86"/>
    </row>
    <row r="2446" spans="44:44">
      <c r="AR2446" s="86"/>
    </row>
    <row r="2447" spans="44:44">
      <c r="AR2447" s="86"/>
    </row>
    <row r="2448" spans="44:44">
      <c r="AR2448" s="86"/>
    </row>
    <row r="2449" spans="44:44">
      <c r="AR2449" s="86"/>
    </row>
    <row r="2450" spans="44:44">
      <c r="AR2450" s="86"/>
    </row>
    <row r="2451" spans="44:44">
      <c r="AR2451" s="86"/>
    </row>
    <row r="2452" spans="44:44">
      <c r="AR2452" s="86"/>
    </row>
    <row r="2453" spans="44:44">
      <c r="AR2453" s="86"/>
    </row>
    <row r="2454" spans="44:44">
      <c r="AR2454" s="86"/>
    </row>
    <row r="2455" spans="44:44">
      <c r="AR2455" s="86"/>
    </row>
    <row r="2456" spans="44:44">
      <c r="AR2456" s="86"/>
    </row>
    <row r="2457" spans="44:44">
      <c r="AR2457" s="86"/>
    </row>
    <row r="2458" spans="44:44">
      <c r="AR2458" s="86"/>
    </row>
    <row r="2459" spans="44:44">
      <c r="AR2459" s="86"/>
    </row>
    <row r="2460" spans="44:44">
      <c r="AR2460" s="86"/>
    </row>
    <row r="2461" spans="44:44">
      <c r="AR2461" s="86"/>
    </row>
    <row r="2462" spans="44:44">
      <c r="AR2462" s="86"/>
    </row>
    <row r="2463" spans="44:44">
      <c r="AR2463" s="86"/>
    </row>
    <row r="2464" spans="44:44">
      <c r="AR2464" s="86"/>
    </row>
    <row r="2465" spans="44:44">
      <c r="AR2465" s="86"/>
    </row>
    <row r="2466" spans="44:44">
      <c r="AR2466" s="86"/>
    </row>
    <row r="2467" spans="44:44">
      <c r="AR2467" s="86"/>
    </row>
    <row r="2468" spans="44:44">
      <c r="AR2468" s="86"/>
    </row>
    <row r="2469" spans="44:44">
      <c r="AR2469" s="86"/>
    </row>
    <row r="2470" spans="44:44">
      <c r="AR2470" s="86"/>
    </row>
    <row r="2471" spans="44:44">
      <c r="AR2471" s="86"/>
    </row>
    <row r="2472" spans="44:44">
      <c r="AR2472" s="86"/>
    </row>
    <row r="2473" spans="44:44">
      <c r="AR2473" s="86"/>
    </row>
    <row r="2474" spans="44:44">
      <c r="AR2474" s="86"/>
    </row>
    <row r="2475" spans="44:44">
      <c r="AR2475" s="86"/>
    </row>
    <row r="2476" spans="44:44">
      <c r="AR2476" s="86"/>
    </row>
    <row r="2477" spans="44:44">
      <c r="AR2477" s="86"/>
    </row>
    <row r="2478" spans="44:44">
      <c r="AR2478" s="86"/>
    </row>
    <row r="2479" spans="44:44">
      <c r="AR2479" s="86"/>
    </row>
    <row r="2480" spans="44:44">
      <c r="AR2480" s="86"/>
    </row>
    <row r="2481" spans="44:44">
      <c r="AR2481" s="86"/>
    </row>
    <row r="2482" spans="44:44">
      <c r="AR2482" s="86"/>
    </row>
    <row r="2483" spans="44:44">
      <c r="AR2483" s="86"/>
    </row>
    <row r="2484" spans="44:44">
      <c r="AR2484" s="86"/>
    </row>
    <row r="2485" spans="44:44">
      <c r="AR2485" s="86"/>
    </row>
    <row r="2486" spans="44:44">
      <c r="AR2486" s="86"/>
    </row>
    <row r="2487" spans="44:44">
      <c r="AR2487" s="86"/>
    </row>
    <row r="2488" spans="44:44">
      <c r="AR2488" s="86"/>
    </row>
    <row r="2489" spans="44:44">
      <c r="AR2489" s="86"/>
    </row>
    <row r="2490" spans="44:44">
      <c r="AR2490" s="86"/>
    </row>
    <row r="2491" spans="44:44">
      <c r="AR2491" s="86"/>
    </row>
    <row r="2492" spans="44:44">
      <c r="AR2492" s="86"/>
    </row>
    <row r="2493" spans="44:44">
      <c r="AR2493" s="86"/>
    </row>
    <row r="2494" spans="44:44">
      <c r="AR2494" s="86"/>
    </row>
    <row r="2495" spans="44:44">
      <c r="AR2495" s="86"/>
    </row>
    <row r="2496" spans="44:44">
      <c r="AR2496" s="86"/>
    </row>
    <row r="2497" spans="44:44">
      <c r="AR2497" s="86"/>
    </row>
    <row r="2498" spans="44:44">
      <c r="AR2498" s="86"/>
    </row>
    <row r="2499" spans="44:44">
      <c r="AR2499" s="86"/>
    </row>
    <row r="2500" spans="44:44">
      <c r="AR2500" s="86"/>
    </row>
    <row r="2501" spans="44:44">
      <c r="AR2501" s="86"/>
    </row>
    <row r="2502" spans="44:44">
      <c r="AR2502" s="86"/>
    </row>
    <row r="2503" spans="44:44">
      <c r="AR2503" s="86"/>
    </row>
    <row r="2504" spans="44:44">
      <c r="AR2504" s="86"/>
    </row>
    <row r="2505" spans="44:44">
      <c r="AR2505" s="86"/>
    </row>
    <row r="2506" spans="44:44">
      <c r="AR2506" s="86"/>
    </row>
    <row r="2507" spans="44:44">
      <c r="AR2507" s="86"/>
    </row>
    <row r="2508" spans="44:44">
      <c r="AR2508" s="86"/>
    </row>
    <row r="2509" spans="44:44">
      <c r="AR2509" s="86"/>
    </row>
    <row r="2510" spans="44:44">
      <c r="AR2510" s="86"/>
    </row>
    <row r="2511" spans="44:44">
      <c r="AR2511" s="86"/>
    </row>
    <row r="2512" spans="44:44">
      <c r="AR2512" s="86"/>
    </row>
    <row r="2513" spans="44:44">
      <c r="AR2513" s="86"/>
    </row>
    <row r="2514" spans="44:44">
      <c r="AR2514" s="86"/>
    </row>
    <row r="2515" spans="44:44">
      <c r="AR2515" s="86"/>
    </row>
    <row r="2516" spans="44:44">
      <c r="AR2516" s="86"/>
    </row>
    <row r="2517" spans="44:44">
      <c r="AR2517" s="86"/>
    </row>
    <row r="2518" spans="44:44">
      <c r="AR2518" s="86"/>
    </row>
    <row r="2519" spans="44:44">
      <c r="AR2519" s="86"/>
    </row>
    <row r="2520" spans="44:44">
      <c r="AR2520" s="86"/>
    </row>
    <row r="2521" spans="44:44">
      <c r="AR2521" s="86"/>
    </row>
    <row r="2522" spans="44:44">
      <c r="AR2522" s="86"/>
    </row>
    <row r="2523" spans="44:44">
      <c r="AR2523" s="86"/>
    </row>
    <row r="2524" spans="44:44">
      <c r="AR2524" s="86"/>
    </row>
    <row r="2525" spans="44:44">
      <c r="AR2525" s="86"/>
    </row>
    <row r="2526" spans="44:44">
      <c r="AR2526" s="86"/>
    </row>
    <row r="2527" spans="44:44">
      <c r="AR2527" s="86"/>
    </row>
    <row r="2528" spans="44:44">
      <c r="AR2528" s="86"/>
    </row>
    <row r="2529" spans="44:44">
      <c r="AR2529" s="86"/>
    </row>
    <row r="2530" spans="44:44">
      <c r="AR2530" s="86"/>
    </row>
    <row r="2531" spans="44:44">
      <c r="AR2531" s="86"/>
    </row>
    <row r="2532" spans="44:44">
      <c r="AR2532" s="86"/>
    </row>
    <row r="2533" spans="44:44">
      <c r="AR2533" s="86"/>
    </row>
    <row r="2534" spans="44:44">
      <c r="AR2534" s="86"/>
    </row>
    <row r="2535" spans="44:44">
      <c r="AR2535" s="86"/>
    </row>
    <row r="2536" spans="44:44">
      <c r="AR2536" s="86"/>
    </row>
    <row r="2537" spans="44:44">
      <c r="AR2537" s="86"/>
    </row>
    <row r="2538" spans="44:44">
      <c r="AR2538" s="86"/>
    </row>
    <row r="2539" spans="44:44">
      <c r="AR2539" s="86"/>
    </row>
    <row r="2540" spans="44:44">
      <c r="AR2540" s="86"/>
    </row>
    <row r="2541" spans="44:44">
      <c r="AR2541" s="86"/>
    </row>
    <row r="2542" spans="44:44">
      <c r="AR2542" s="86"/>
    </row>
    <row r="2543" spans="44:44">
      <c r="AR2543" s="86"/>
    </row>
    <row r="2544" spans="44:44">
      <c r="AR2544" s="86"/>
    </row>
    <row r="2545" spans="44:44">
      <c r="AR2545" s="86"/>
    </row>
    <row r="2546" spans="44:44">
      <c r="AR2546" s="86"/>
    </row>
    <row r="2547" spans="44:44">
      <c r="AR2547" s="86"/>
    </row>
    <row r="2548" spans="44:44">
      <c r="AR2548" s="86"/>
    </row>
    <row r="2549" spans="44:44">
      <c r="AR2549" s="86"/>
    </row>
    <row r="2550" spans="44:44">
      <c r="AR2550" s="86"/>
    </row>
    <row r="2551" spans="44:44">
      <c r="AR2551" s="86"/>
    </row>
    <row r="2552" spans="44:44">
      <c r="AR2552" s="86"/>
    </row>
    <row r="2553" spans="44:44">
      <c r="AR2553" s="86"/>
    </row>
    <row r="2554" spans="44:44">
      <c r="AR2554" s="86"/>
    </row>
    <row r="2555" spans="44:44">
      <c r="AR2555" s="86"/>
    </row>
    <row r="2556" spans="44:44">
      <c r="AR2556" s="86"/>
    </row>
    <row r="2557" spans="44:44">
      <c r="AR2557" s="86"/>
    </row>
    <row r="2558" spans="44:44">
      <c r="AR2558" s="86"/>
    </row>
    <row r="2559" spans="44:44">
      <c r="AR2559" s="86"/>
    </row>
    <row r="2560" spans="44:44">
      <c r="AR2560" s="86"/>
    </row>
    <row r="2561" spans="44:44">
      <c r="AR2561" s="86"/>
    </row>
    <row r="2562" spans="44:44">
      <c r="AR2562" s="86"/>
    </row>
    <row r="2563" spans="44:44">
      <c r="AR2563" s="86"/>
    </row>
    <row r="2564" spans="44:44">
      <c r="AR2564" s="86"/>
    </row>
    <row r="2565" spans="44:44">
      <c r="AR2565" s="86"/>
    </row>
    <row r="2566" spans="44:44">
      <c r="AR2566" s="86"/>
    </row>
    <row r="2567" spans="44:44">
      <c r="AR2567" s="86"/>
    </row>
    <row r="2568" spans="44:44">
      <c r="AR2568" s="86"/>
    </row>
    <row r="2569" spans="44:44">
      <c r="AR2569" s="86"/>
    </row>
    <row r="2570" spans="44:44">
      <c r="AR2570" s="86"/>
    </row>
    <row r="2571" spans="44:44">
      <c r="AR2571" s="86"/>
    </row>
    <row r="2572" spans="44:44">
      <c r="AR2572" s="86"/>
    </row>
    <row r="2573" spans="44:44">
      <c r="AR2573" s="86"/>
    </row>
    <row r="2574" spans="44:44">
      <c r="AR2574" s="86"/>
    </row>
    <row r="2575" spans="44:44">
      <c r="AR2575" s="86"/>
    </row>
    <row r="2576" spans="44:44">
      <c r="AR2576" s="86"/>
    </row>
    <row r="2577" spans="44:44">
      <c r="AR2577" s="86"/>
    </row>
    <row r="2578" spans="44:44">
      <c r="AR2578" s="86"/>
    </row>
    <row r="2579" spans="44:44">
      <c r="AR2579" s="86"/>
    </row>
    <row r="2580" spans="44:44">
      <c r="AR2580" s="86"/>
    </row>
    <row r="2581" spans="44:44">
      <c r="AR2581" s="86"/>
    </row>
    <row r="2582" spans="44:44">
      <c r="AR2582" s="86"/>
    </row>
    <row r="2583" spans="44:44">
      <c r="AR2583" s="86"/>
    </row>
    <row r="2584" spans="44:44">
      <c r="AR2584" s="86"/>
    </row>
    <row r="2585" spans="44:44">
      <c r="AR2585" s="86"/>
    </row>
    <row r="2586" spans="44:44">
      <c r="AR2586" s="86"/>
    </row>
    <row r="2587" spans="44:44">
      <c r="AR2587" s="86"/>
    </row>
    <row r="2588" spans="44:44">
      <c r="AR2588" s="86"/>
    </row>
    <row r="2589" spans="44:44">
      <c r="AR2589" s="86"/>
    </row>
    <row r="2590" spans="44:44">
      <c r="AR2590" s="86"/>
    </row>
    <row r="2591" spans="44:44">
      <c r="AR2591" s="86"/>
    </row>
    <row r="2592" spans="44:44">
      <c r="AR2592" s="86"/>
    </row>
    <row r="2593" spans="44:44">
      <c r="AR2593" s="86"/>
    </row>
    <row r="2594" spans="44:44">
      <c r="AR2594" s="86"/>
    </row>
    <row r="2595" spans="44:44">
      <c r="AR2595" s="86"/>
    </row>
    <row r="2596" spans="44:44">
      <c r="AR2596" s="86"/>
    </row>
    <row r="2597" spans="44:44">
      <c r="AR2597" s="86"/>
    </row>
    <row r="2598" spans="44:44">
      <c r="AR2598" s="86"/>
    </row>
    <row r="2599" spans="44:44">
      <c r="AR2599" s="86"/>
    </row>
    <row r="2600" spans="44:44">
      <c r="AR2600" s="86"/>
    </row>
    <row r="2601" spans="44:44">
      <c r="AR2601" s="86"/>
    </row>
    <row r="2602" spans="44:44">
      <c r="AR2602" s="86"/>
    </row>
    <row r="2603" spans="44:44">
      <c r="AR2603" s="86"/>
    </row>
    <row r="2604" spans="44:44">
      <c r="AR2604" s="86"/>
    </row>
    <row r="2605" spans="44:44">
      <c r="AR2605" s="86"/>
    </row>
    <row r="2606" spans="44:44">
      <c r="AR2606" s="86"/>
    </row>
    <row r="2607" spans="44:44">
      <c r="AR2607" s="86"/>
    </row>
    <row r="2608" spans="44:44">
      <c r="AR2608" s="86"/>
    </row>
    <row r="2609" spans="44:44">
      <c r="AR2609" s="86"/>
    </row>
    <row r="2610" spans="44:44">
      <c r="AR2610" s="86"/>
    </row>
    <row r="2611" spans="44:44">
      <c r="AR2611" s="86"/>
    </row>
    <row r="2612" spans="44:44">
      <c r="AR2612" s="86"/>
    </row>
    <row r="2613" spans="44:44">
      <c r="AR2613" s="86"/>
    </row>
    <row r="2614" spans="44:44">
      <c r="AR2614" s="86"/>
    </row>
    <row r="2615" spans="44:44">
      <c r="AR2615" s="86"/>
    </row>
    <row r="2616" spans="44:44">
      <c r="AR2616" s="86"/>
    </row>
    <row r="2617" spans="44:44">
      <c r="AR2617" s="86"/>
    </row>
    <row r="2618" spans="44:44">
      <c r="AR2618" s="86"/>
    </row>
    <row r="2619" spans="44:44">
      <c r="AR2619" s="86"/>
    </row>
    <row r="2620" spans="44:44">
      <c r="AR2620" s="86"/>
    </row>
    <row r="2621" spans="44:44">
      <c r="AR2621" s="86"/>
    </row>
    <row r="2622" spans="44:44">
      <c r="AR2622" s="86"/>
    </row>
    <row r="2623" spans="44:44">
      <c r="AR2623" s="86"/>
    </row>
    <row r="2624" spans="44:44">
      <c r="AR2624" s="86"/>
    </row>
    <row r="2625" spans="44:44">
      <c r="AR2625" s="86"/>
    </row>
    <row r="2626" spans="44:44">
      <c r="AR2626" s="86"/>
    </row>
    <row r="2627" spans="44:44">
      <c r="AR2627" s="86"/>
    </row>
    <row r="2628" spans="44:44">
      <c r="AR2628" s="86"/>
    </row>
    <row r="2629" spans="44:44">
      <c r="AR2629" s="86"/>
    </row>
    <row r="2630" spans="44:44">
      <c r="AR2630" s="86"/>
    </row>
    <row r="2631" spans="44:44">
      <c r="AR2631" s="86"/>
    </row>
    <row r="2632" spans="44:44">
      <c r="AR2632" s="86"/>
    </row>
    <row r="2633" spans="44:44">
      <c r="AR2633" s="86"/>
    </row>
    <row r="2634" spans="44:44">
      <c r="AR2634" s="86"/>
    </row>
    <row r="2635" spans="44:44">
      <c r="AR2635" s="86"/>
    </row>
    <row r="2636" spans="44:44">
      <c r="AR2636" s="86"/>
    </row>
    <row r="2637" spans="44:44">
      <c r="AR2637" s="86"/>
    </row>
    <row r="2638" spans="44:44">
      <c r="AR2638" s="86"/>
    </row>
    <row r="2639" spans="44:44">
      <c r="AR2639" s="86"/>
    </row>
    <row r="2640" spans="44:44">
      <c r="AR2640" s="86"/>
    </row>
    <row r="2641" spans="44:44">
      <c r="AR2641" s="86"/>
    </row>
    <row r="2642" spans="44:44">
      <c r="AR2642" s="86"/>
    </row>
    <row r="2643" spans="44:44">
      <c r="AR2643" s="86"/>
    </row>
    <row r="2644" spans="44:44">
      <c r="AR2644" s="86"/>
    </row>
    <row r="2645" spans="44:44">
      <c r="AR2645" s="86"/>
    </row>
    <row r="2646" spans="44:44">
      <c r="AR2646" s="86"/>
    </row>
    <row r="2647" spans="44:44">
      <c r="AR2647" s="86"/>
    </row>
    <row r="2648" spans="44:44">
      <c r="AR2648" s="86"/>
    </row>
    <row r="2649" spans="44:44">
      <c r="AR2649" s="86"/>
    </row>
    <row r="2650" spans="44:44">
      <c r="AR2650" s="86"/>
    </row>
    <row r="2651" spans="44:44">
      <c r="AR2651" s="86"/>
    </row>
    <row r="2652" spans="44:44">
      <c r="AR2652" s="86"/>
    </row>
    <row r="2653" spans="44:44">
      <c r="AR2653" s="86"/>
    </row>
    <row r="2654" spans="44:44">
      <c r="AR2654" s="86"/>
    </row>
    <row r="2655" spans="44:44">
      <c r="AR2655" s="86"/>
    </row>
    <row r="2656" spans="44:44">
      <c r="AR2656" s="86"/>
    </row>
    <row r="2657" spans="44:44">
      <c r="AR2657" s="86"/>
    </row>
    <row r="2658" spans="44:44">
      <c r="AR2658" s="86"/>
    </row>
    <row r="2659" spans="44:44">
      <c r="AR2659" s="86"/>
    </row>
    <row r="2660" spans="44:44">
      <c r="AR2660" s="86"/>
    </row>
    <row r="2661" spans="44:44">
      <c r="AR2661" s="86"/>
    </row>
    <row r="2662" spans="44:44">
      <c r="AR2662" s="86"/>
    </row>
    <row r="2663" spans="44:44">
      <c r="AR2663" s="86"/>
    </row>
    <row r="2664" spans="44:44">
      <c r="AR2664" s="86"/>
    </row>
    <row r="2665" spans="44:44">
      <c r="AR2665" s="86"/>
    </row>
    <row r="2666" spans="44:44">
      <c r="AR2666" s="86"/>
    </row>
    <row r="2667" spans="44:44">
      <c r="AR2667" s="86"/>
    </row>
    <row r="2668" spans="44:44">
      <c r="AR2668" s="86"/>
    </row>
    <row r="2669" spans="44:44">
      <c r="AR2669" s="86"/>
    </row>
    <row r="2670" spans="44:44">
      <c r="AR2670" s="86"/>
    </row>
    <row r="2671" spans="44:44">
      <c r="AR2671" s="86"/>
    </row>
    <row r="2672" spans="44:44">
      <c r="AR2672" s="86"/>
    </row>
    <row r="2673" spans="44:44">
      <c r="AR2673" s="86"/>
    </row>
    <row r="2674" spans="44:44">
      <c r="AR2674" s="86"/>
    </row>
    <row r="2675" spans="44:44">
      <c r="AR2675" s="86"/>
    </row>
    <row r="2676" spans="44:44">
      <c r="AR2676" s="86"/>
    </row>
    <row r="2677" spans="44:44">
      <c r="AR2677" s="86"/>
    </row>
    <row r="2678" spans="44:44">
      <c r="AR2678" s="86"/>
    </row>
    <row r="2679" spans="44:44">
      <c r="AR2679" s="86"/>
    </row>
    <row r="2680" spans="44:44">
      <c r="AR2680" s="86"/>
    </row>
    <row r="2681" spans="44:44">
      <c r="AR2681" s="86"/>
    </row>
    <row r="2682" spans="44:44">
      <c r="AR2682" s="86"/>
    </row>
    <row r="2683" spans="44:44">
      <c r="AR2683" s="86"/>
    </row>
    <row r="2684" spans="44:44">
      <c r="AR2684" s="86"/>
    </row>
    <row r="2685" spans="44:44">
      <c r="AR2685" s="86"/>
    </row>
    <row r="2686" spans="44:44">
      <c r="AR2686" s="86"/>
    </row>
    <row r="2687" spans="44:44">
      <c r="AR2687" s="86"/>
    </row>
    <row r="2688" spans="44:44">
      <c r="AR2688" s="86"/>
    </row>
    <row r="2689" spans="44:44">
      <c r="AR2689" s="86"/>
    </row>
    <row r="2690" spans="44:44">
      <c r="AR2690" s="86"/>
    </row>
    <row r="2691" spans="44:44">
      <c r="AR2691" s="86"/>
    </row>
    <row r="2692" spans="44:44">
      <c r="AR2692" s="86"/>
    </row>
    <row r="2693" spans="44:44">
      <c r="AR2693" s="86"/>
    </row>
    <row r="2694" spans="44:44">
      <c r="AR2694" s="86"/>
    </row>
    <row r="2695" spans="44:44">
      <c r="AR2695" s="86"/>
    </row>
    <row r="2696" spans="44:44">
      <c r="AR2696" s="86"/>
    </row>
    <row r="2697" spans="44:44">
      <c r="AR2697" s="86"/>
    </row>
    <row r="2698" spans="44:44">
      <c r="AR2698" s="86"/>
    </row>
    <row r="2699" spans="44:44">
      <c r="AR2699" s="86"/>
    </row>
    <row r="2700" spans="44:44">
      <c r="AR2700" s="86"/>
    </row>
    <row r="2701" spans="44:44">
      <c r="AR2701" s="86"/>
    </row>
    <row r="2702" spans="44:44">
      <c r="AR2702" s="86"/>
    </row>
    <row r="2703" spans="44:44">
      <c r="AR2703" s="86"/>
    </row>
    <row r="2704" spans="44:44">
      <c r="AR2704" s="86"/>
    </row>
    <row r="2705" spans="44:44">
      <c r="AR2705" s="86"/>
    </row>
    <row r="2706" spans="44:44">
      <c r="AR2706" s="86"/>
    </row>
    <row r="2707" spans="44:44">
      <c r="AR2707" s="86"/>
    </row>
    <row r="2708" spans="44:44">
      <c r="AR2708" s="86"/>
    </row>
    <row r="2709" spans="44:44">
      <c r="AR2709" s="86"/>
    </row>
    <row r="2710" spans="44:44">
      <c r="AR2710" s="86"/>
    </row>
    <row r="2711" spans="44:44">
      <c r="AR2711" s="86"/>
    </row>
    <row r="2712" spans="44:44">
      <c r="AR2712" s="86"/>
    </row>
    <row r="2713" spans="44:44">
      <c r="AR2713" s="86"/>
    </row>
    <row r="2714" spans="44:44">
      <c r="AR2714" s="86"/>
    </row>
    <row r="2715" spans="44:44">
      <c r="AR2715" s="86"/>
    </row>
    <row r="2716" spans="44:44">
      <c r="AR2716" s="86"/>
    </row>
    <row r="2717" spans="44:44">
      <c r="AR2717" s="86"/>
    </row>
    <row r="2718" spans="44:44">
      <c r="AR2718" s="86"/>
    </row>
    <row r="2719" spans="44:44">
      <c r="AR2719" s="86"/>
    </row>
    <row r="2720" spans="44:44">
      <c r="AR2720" s="86"/>
    </row>
    <row r="2721" spans="44:44">
      <c r="AR2721" s="86"/>
    </row>
    <row r="2722" spans="44:44">
      <c r="AR2722" s="86"/>
    </row>
    <row r="2723" spans="44:44">
      <c r="AR2723" s="86"/>
    </row>
    <row r="2724" spans="44:44">
      <c r="AR2724" s="86"/>
    </row>
    <row r="2725" spans="44:44">
      <c r="AR2725" s="86"/>
    </row>
    <row r="2726" spans="44:44">
      <c r="AR2726" s="86"/>
    </row>
    <row r="2727" spans="44:44">
      <c r="AR2727" s="86"/>
    </row>
    <row r="2728" spans="44:44">
      <c r="AR2728" s="86"/>
    </row>
    <row r="2729" spans="44:44">
      <c r="AR2729" s="86"/>
    </row>
    <row r="2730" spans="44:44">
      <c r="AR2730" s="86"/>
    </row>
    <row r="2731" spans="44:44">
      <c r="AR2731" s="86"/>
    </row>
    <row r="2732" spans="44:44">
      <c r="AR2732" s="86"/>
    </row>
    <row r="2733" spans="44:44">
      <c r="AR2733" s="86"/>
    </row>
    <row r="2734" spans="44:44">
      <c r="AR2734" s="86"/>
    </row>
    <row r="2735" spans="44:44">
      <c r="AR2735" s="86"/>
    </row>
    <row r="2736" spans="44:44">
      <c r="AR2736" s="86"/>
    </row>
    <row r="2737" spans="44:44">
      <c r="AR2737" s="86"/>
    </row>
    <row r="2738" spans="44:44">
      <c r="AR2738" s="86"/>
    </row>
    <row r="2739" spans="44:44">
      <c r="AR2739" s="86"/>
    </row>
    <row r="2740" spans="44:44">
      <c r="AR2740" s="86"/>
    </row>
    <row r="2741" spans="44:44">
      <c r="AR2741" s="86"/>
    </row>
    <row r="2742" spans="44:44">
      <c r="AR2742" s="86"/>
    </row>
    <row r="2743" spans="44:44">
      <c r="AR2743" s="86"/>
    </row>
    <row r="2744" spans="44:44">
      <c r="AR2744" s="86"/>
    </row>
    <row r="2745" spans="44:44">
      <c r="AR2745" s="86"/>
    </row>
    <row r="2746" spans="44:44">
      <c r="AR2746" s="86"/>
    </row>
    <row r="2747" spans="44:44">
      <c r="AR2747" s="86"/>
    </row>
    <row r="2748" spans="44:44">
      <c r="AR2748" s="86"/>
    </row>
    <row r="2749" spans="44:44">
      <c r="AR2749" s="86"/>
    </row>
    <row r="2750" spans="44:44">
      <c r="AR2750" s="86"/>
    </row>
    <row r="2751" spans="44:44">
      <c r="AR2751" s="86"/>
    </row>
    <row r="2752" spans="44:44">
      <c r="AR2752" s="86"/>
    </row>
    <row r="2753" spans="44:44">
      <c r="AR2753" s="86"/>
    </row>
    <row r="2754" spans="44:44">
      <c r="AR2754" s="86"/>
    </row>
    <row r="2755" spans="44:44">
      <c r="AR2755" s="86"/>
    </row>
    <row r="2756" spans="44:44">
      <c r="AR2756" s="86"/>
    </row>
    <row r="2757" spans="44:44">
      <c r="AR2757" s="86"/>
    </row>
    <row r="2758" spans="44:44">
      <c r="AR2758" s="86"/>
    </row>
    <row r="2759" spans="44:44">
      <c r="AR2759" s="86"/>
    </row>
    <row r="2760" spans="44:44">
      <c r="AR2760" s="86"/>
    </row>
    <row r="2761" spans="44:44">
      <c r="AR2761" s="86"/>
    </row>
    <row r="2762" spans="44:44">
      <c r="AR2762" s="86"/>
    </row>
    <row r="2763" spans="44:44">
      <c r="AR2763" s="86"/>
    </row>
    <row r="2764" spans="44:44">
      <c r="AR2764" s="86"/>
    </row>
    <row r="2765" spans="44:44">
      <c r="AR2765" s="86"/>
    </row>
    <row r="2766" spans="44:44">
      <c r="AR2766" s="86"/>
    </row>
    <row r="2767" spans="44:44">
      <c r="AR2767" s="86"/>
    </row>
    <row r="2768" spans="44:44">
      <c r="AR2768" s="86"/>
    </row>
    <row r="2769" spans="44:44">
      <c r="AR2769" s="86"/>
    </row>
    <row r="2770" spans="44:44">
      <c r="AR2770" s="86"/>
    </row>
    <row r="2771" spans="44:44">
      <c r="AR2771" s="86"/>
    </row>
    <row r="2772" spans="44:44">
      <c r="AR2772" s="86"/>
    </row>
    <row r="2773" spans="44:44">
      <c r="AR2773" s="86"/>
    </row>
    <row r="2774" spans="44:44">
      <c r="AR2774" s="86"/>
    </row>
    <row r="2775" spans="44:44">
      <c r="AR2775" s="86"/>
    </row>
    <row r="2776" spans="44:44">
      <c r="AR2776" s="86"/>
    </row>
    <row r="2777" spans="44:44">
      <c r="AR2777" s="86"/>
    </row>
    <row r="2778" spans="44:44">
      <c r="AR2778" s="86"/>
    </row>
    <row r="2779" spans="44:44">
      <c r="AR2779" s="86"/>
    </row>
    <row r="2780" spans="44:44">
      <c r="AR2780" s="86"/>
    </row>
    <row r="2781" spans="44:44">
      <c r="AR2781" s="86"/>
    </row>
    <row r="2782" spans="44:44">
      <c r="AR2782" s="86"/>
    </row>
    <row r="2783" spans="44:44">
      <c r="AR2783" s="86"/>
    </row>
    <row r="2784" spans="44:44">
      <c r="AR2784" s="86"/>
    </row>
    <row r="2785" spans="44:44">
      <c r="AR2785" s="86"/>
    </row>
    <row r="2786" spans="44:44">
      <c r="AR2786" s="86"/>
    </row>
    <row r="2787" spans="44:44">
      <c r="AR2787" s="86"/>
    </row>
    <row r="2788" spans="44:44">
      <c r="AR2788" s="86"/>
    </row>
    <row r="2789" spans="44:44">
      <c r="AR2789" s="86"/>
    </row>
    <row r="2790" spans="44:44">
      <c r="AR2790" s="86"/>
    </row>
    <row r="2791" spans="44:44">
      <c r="AR2791" s="86"/>
    </row>
    <row r="2792" spans="44:44">
      <c r="AR2792" s="86"/>
    </row>
    <row r="2793" spans="44:44">
      <c r="AR2793" s="86"/>
    </row>
    <row r="2794" spans="44:44">
      <c r="AR2794" s="86"/>
    </row>
    <row r="2795" spans="44:44">
      <c r="AR2795" s="86"/>
    </row>
    <row r="2796" spans="44:44">
      <c r="AR2796" s="86"/>
    </row>
    <row r="2797" spans="44:44">
      <c r="AR2797" s="86"/>
    </row>
    <row r="2798" spans="44:44">
      <c r="AR2798" s="86"/>
    </row>
    <row r="2799" spans="44:44">
      <c r="AR2799" s="86"/>
    </row>
    <row r="2800" spans="44:44">
      <c r="AR2800" s="86"/>
    </row>
    <row r="2801" spans="44:44">
      <c r="AR2801" s="86"/>
    </row>
    <row r="2802" spans="44:44">
      <c r="AR2802" s="86"/>
    </row>
    <row r="2803" spans="44:44">
      <c r="AR2803" s="86"/>
    </row>
    <row r="2804" spans="44:44">
      <c r="AR2804" s="86"/>
    </row>
    <row r="2805" spans="44:44">
      <c r="AR2805" s="86"/>
    </row>
    <row r="2806" spans="44:44">
      <c r="AR2806" s="86"/>
    </row>
    <row r="2807" spans="44:44">
      <c r="AR2807" s="86"/>
    </row>
    <row r="2808" spans="44:44">
      <c r="AR2808" s="86"/>
    </row>
    <row r="2809" spans="44:44">
      <c r="AR2809" s="86"/>
    </row>
    <row r="2810" spans="44:44">
      <c r="AR2810" s="86"/>
    </row>
    <row r="2811" spans="44:44">
      <c r="AR2811" s="86"/>
    </row>
    <row r="2812" spans="44:44">
      <c r="AR2812" s="86"/>
    </row>
    <row r="2813" spans="44:44">
      <c r="AR2813" s="86"/>
    </row>
    <row r="2814" spans="44:44">
      <c r="AR2814" s="86"/>
    </row>
    <row r="2815" spans="44:44">
      <c r="AR2815" s="86"/>
    </row>
    <row r="2816" spans="44:44">
      <c r="AR2816" s="86"/>
    </row>
    <row r="2817" spans="44:44">
      <c r="AR2817" s="86"/>
    </row>
    <row r="2818" spans="44:44">
      <c r="AR2818" s="86"/>
    </row>
    <row r="2819" spans="44:44">
      <c r="AR2819" s="86"/>
    </row>
    <row r="2820" spans="44:44">
      <c r="AR2820" s="86"/>
    </row>
    <row r="2821" spans="44:44">
      <c r="AR2821" s="86"/>
    </row>
    <row r="2822" spans="44:44">
      <c r="AR2822" s="86"/>
    </row>
    <row r="2823" spans="44:44">
      <c r="AR2823" s="86"/>
    </row>
    <row r="2824" spans="44:44">
      <c r="AR2824" s="86"/>
    </row>
    <row r="2825" spans="44:44">
      <c r="AR2825" s="86"/>
    </row>
    <row r="2826" spans="44:44">
      <c r="AR2826" s="86"/>
    </row>
    <row r="2827" spans="44:44">
      <c r="AR2827" s="86"/>
    </row>
    <row r="2828" spans="44:44">
      <c r="AR2828" s="86"/>
    </row>
    <row r="2829" spans="44:44">
      <c r="AR2829" s="86"/>
    </row>
    <row r="2830" spans="44:44">
      <c r="AR2830" s="86"/>
    </row>
    <row r="2831" spans="44:44">
      <c r="AR2831" s="86"/>
    </row>
    <row r="2832" spans="44:44">
      <c r="AR2832" s="86"/>
    </row>
    <row r="2833" spans="44:44">
      <c r="AR2833" s="86"/>
    </row>
    <row r="2834" spans="44:44">
      <c r="AR2834" s="86"/>
    </row>
    <row r="2835" spans="44:44">
      <c r="AR2835" s="86"/>
    </row>
    <row r="2836" spans="44:44">
      <c r="AR2836" s="86"/>
    </row>
    <row r="2837" spans="44:44">
      <c r="AR2837" s="86"/>
    </row>
    <row r="2838" spans="44:44">
      <c r="AR2838" s="86"/>
    </row>
    <row r="2839" spans="44:44">
      <c r="AR2839" s="86"/>
    </row>
    <row r="2840" spans="44:44">
      <c r="AR2840" s="86"/>
    </row>
    <row r="2841" spans="44:44">
      <c r="AR2841" s="86"/>
    </row>
    <row r="2842" spans="44:44">
      <c r="AR2842" s="86"/>
    </row>
    <row r="2843" spans="44:44">
      <c r="AR2843" s="86"/>
    </row>
    <row r="2844" spans="44:44">
      <c r="AR2844" s="86"/>
    </row>
    <row r="2845" spans="44:44">
      <c r="AR2845" s="86"/>
    </row>
    <row r="2846" spans="44:44">
      <c r="AR2846" s="86"/>
    </row>
    <row r="2847" spans="44:44">
      <c r="AR2847" s="86"/>
    </row>
    <row r="2848" spans="44:44">
      <c r="AR2848" s="86"/>
    </row>
    <row r="2849" spans="44:44">
      <c r="AR2849" s="86"/>
    </row>
    <row r="2850" spans="44:44">
      <c r="AR2850" s="86"/>
    </row>
    <row r="2851" spans="44:44">
      <c r="AR2851" s="86"/>
    </row>
    <row r="2852" spans="44:44">
      <c r="AR2852" s="86"/>
    </row>
    <row r="2853" spans="44:44">
      <c r="AR2853" s="86"/>
    </row>
    <row r="2854" spans="44:44">
      <c r="AR2854" s="86"/>
    </row>
    <row r="2855" spans="44:44">
      <c r="AR2855" s="86"/>
    </row>
    <row r="2856" spans="44:44">
      <c r="AR2856" s="86"/>
    </row>
    <row r="2857" spans="44:44">
      <c r="AR2857" s="86"/>
    </row>
    <row r="2858" spans="44:44">
      <c r="AR2858" s="86"/>
    </row>
    <row r="2859" spans="44:44">
      <c r="AR2859" s="86"/>
    </row>
    <row r="2860" spans="44:44">
      <c r="AR2860" s="86"/>
    </row>
    <row r="2861" spans="44:44">
      <c r="AR2861" s="86"/>
    </row>
    <row r="2862" spans="44:44">
      <c r="AR2862" s="86"/>
    </row>
    <row r="2863" spans="44:44">
      <c r="AR2863" s="86"/>
    </row>
    <row r="2864" spans="44:44">
      <c r="AR2864" s="86"/>
    </row>
    <row r="2865" spans="44:44">
      <c r="AR2865" s="86"/>
    </row>
    <row r="2866" spans="44:44">
      <c r="AR2866" s="86"/>
    </row>
    <row r="2867" spans="44:44">
      <c r="AR2867" s="86"/>
    </row>
    <row r="2868" spans="44:44">
      <c r="AR2868" s="86"/>
    </row>
    <row r="2869" spans="44:44">
      <c r="AR2869" s="86"/>
    </row>
    <row r="2870" spans="44:44">
      <c r="AR2870" s="86"/>
    </row>
    <row r="2871" spans="44:44">
      <c r="AR2871" s="86"/>
    </row>
    <row r="2872" spans="44:44">
      <c r="AR2872" s="86"/>
    </row>
    <row r="2873" spans="44:44">
      <c r="AR2873" s="86"/>
    </row>
    <row r="2874" spans="44:44">
      <c r="AR2874" s="86"/>
    </row>
    <row r="2875" spans="44:44">
      <c r="AR2875" s="86"/>
    </row>
    <row r="2876" spans="44:44">
      <c r="AR2876" s="86"/>
    </row>
    <row r="2877" spans="44:44">
      <c r="AR2877" s="86"/>
    </row>
    <row r="2878" spans="44:44">
      <c r="AR2878" s="86"/>
    </row>
    <row r="2879" spans="44:44">
      <c r="AR2879" s="86"/>
    </row>
    <row r="2880" spans="44:44">
      <c r="AR2880" s="86"/>
    </row>
    <row r="2881" spans="44:44">
      <c r="AR2881" s="86"/>
    </row>
    <row r="2882" spans="44:44">
      <c r="AR2882" s="86"/>
    </row>
    <row r="2883" spans="44:44">
      <c r="AR2883" s="86"/>
    </row>
    <row r="2884" spans="44:44">
      <c r="AR2884" s="86"/>
    </row>
    <row r="2885" spans="44:44">
      <c r="AR2885" s="86"/>
    </row>
    <row r="2886" spans="44:44">
      <c r="AR2886" s="86"/>
    </row>
    <row r="2887" spans="44:44">
      <c r="AR2887" s="86"/>
    </row>
    <row r="2888" spans="44:44">
      <c r="AR2888" s="86"/>
    </row>
    <row r="2889" spans="44:44">
      <c r="AR2889" s="86"/>
    </row>
    <row r="2890" spans="44:44">
      <c r="AR2890" s="86"/>
    </row>
    <row r="2891" spans="44:44">
      <c r="AR2891" s="86"/>
    </row>
    <row r="2892" spans="44:44">
      <c r="AR2892" s="86"/>
    </row>
    <row r="2893" spans="44:44">
      <c r="AR2893" s="86"/>
    </row>
    <row r="2894" spans="44:44">
      <c r="AR2894" s="86"/>
    </row>
    <row r="2895" spans="44:44">
      <c r="AR2895" s="86"/>
    </row>
    <row r="2896" spans="44:44">
      <c r="AR2896" s="86"/>
    </row>
    <row r="2897" spans="44:44">
      <c r="AR2897" s="86"/>
    </row>
    <row r="2898" spans="44:44">
      <c r="AR2898" s="86"/>
    </row>
    <row r="2899" spans="44:44">
      <c r="AR2899" s="86"/>
    </row>
    <row r="2900" spans="44:44">
      <c r="AR2900" s="86"/>
    </row>
    <row r="2901" spans="44:44">
      <c r="AR2901" s="86"/>
    </row>
    <row r="2902" spans="44:44">
      <c r="AR2902" s="86"/>
    </row>
    <row r="2903" spans="44:44">
      <c r="AR2903" s="86"/>
    </row>
    <row r="2904" spans="44:44">
      <c r="AR2904" s="86"/>
    </row>
    <row r="2905" spans="44:44">
      <c r="AR2905" s="86"/>
    </row>
    <row r="2906" spans="44:44">
      <c r="AR2906" s="86"/>
    </row>
    <row r="2907" spans="44:44">
      <c r="AR2907" s="86"/>
    </row>
    <row r="2908" spans="44:44">
      <c r="AR2908" s="86"/>
    </row>
    <row r="2909" spans="44:44">
      <c r="AR2909" s="86"/>
    </row>
    <row r="2910" spans="44:44">
      <c r="AR2910" s="86"/>
    </row>
    <row r="2911" spans="44:44">
      <c r="AR2911" s="86"/>
    </row>
    <row r="2912" spans="44:44">
      <c r="AR2912" s="86"/>
    </row>
    <row r="2913" spans="44:44">
      <c r="AR2913" s="86"/>
    </row>
    <row r="2914" spans="44:44">
      <c r="AR2914" s="86"/>
    </row>
    <row r="2915" spans="44:44">
      <c r="AR2915" s="86"/>
    </row>
    <row r="2916" spans="44:44">
      <c r="AR2916" s="86"/>
    </row>
    <row r="2917" spans="44:44">
      <c r="AR2917" s="86"/>
    </row>
    <row r="2918" spans="44:44">
      <c r="AR2918" s="86"/>
    </row>
    <row r="2919" spans="44:44">
      <c r="AR2919" s="86"/>
    </row>
    <row r="2920" spans="44:44">
      <c r="AR2920" s="86"/>
    </row>
    <row r="2921" spans="44:44">
      <c r="AR2921" s="86"/>
    </row>
    <row r="2922" spans="44:44">
      <c r="AR2922" s="86"/>
    </row>
    <row r="2923" spans="44:44">
      <c r="AR2923" s="86"/>
    </row>
    <row r="2924" spans="44:44">
      <c r="AR2924" s="86"/>
    </row>
    <row r="2925" spans="44:44">
      <c r="AR2925" s="86"/>
    </row>
    <row r="2926" spans="44:44">
      <c r="AR2926" s="86"/>
    </row>
    <row r="2927" spans="44:44">
      <c r="AR2927" s="86"/>
    </row>
    <row r="2928" spans="44:44">
      <c r="AR2928" s="86"/>
    </row>
    <row r="2929" spans="44:44">
      <c r="AR2929" s="86"/>
    </row>
    <row r="2930" spans="44:44">
      <c r="AR2930" s="86"/>
    </row>
    <row r="2931" spans="44:44">
      <c r="AR2931" s="86"/>
    </row>
    <row r="2932" spans="44:44">
      <c r="AR2932" s="86"/>
    </row>
    <row r="2933" spans="44:44">
      <c r="AR2933" s="86"/>
    </row>
    <row r="2934" spans="44:44">
      <c r="AR2934" s="86"/>
    </row>
    <row r="2935" spans="44:44">
      <c r="AR2935" s="86"/>
    </row>
    <row r="2936" spans="44:44">
      <c r="AR2936" s="86"/>
    </row>
    <row r="2937" spans="44:44">
      <c r="AR2937" s="86"/>
    </row>
    <row r="2938" spans="44:44">
      <c r="AR2938" s="86"/>
    </row>
    <row r="2939" spans="44:44">
      <c r="AR2939" s="86"/>
    </row>
    <row r="2940" spans="44:44">
      <c r="AR2940" s="86"/>
    </row>
    <row r="2941" spans="44:44">
      <c r="AR2941" s="86"/>
    </row>
    <row r="2942" spans="44:44">
      <c r="AR2942" s="86"/>
    </row>
    <row r="2943" spans="44:44">
      <c r="AR2943" s="86"/>
    </row>
    <row r="2944" spans="44:44">
      <c r="AR2944" s="86"/>
    </row>
    <row r="2945" spans="44:44">
      <c r="AR2945" s="86"/>
    </row>
    <row r="2946" spans="44:44">
      <c r="AR2946" s="86"/>
    </row>
    <row r="2947" spans="44:44">
      <c r="AR2947" s="86"/>
    </row>
    <row r="2948" spans="44:44">
      <c r="AR2948" s="86"/>
    </row>
    <row r="2949" spans="44:44">
      <c r="AR2949" s="86"/>
    </row>
    <row r="2950" spans="44:44">
      <c r="AR2950" s="86"/>
    </row>
    <row r="2951" spans="44:44">
      <c r="AR2951" s="86"/>
    </row>
    <row r="2952" spans="44:44">
      <c r="AR2952" s="86"/>
    </row>
    <row r="2953" spans="44:44">
      <c r="AR2953" s="86"/>
    </row>
    <row r="2954" spans="44:44">
      <c r="AR2954" s="86"/>
    </row>
    <row r="2955" spans="44:44">
      <c r="AR2955" s="86"/>
    </row>
    <row r="2956" spans="44:44">
      <c r="AR2956" s="86"/>
    </row>
    <row r="2957" spans="44:44">
      <c r="AR2957" s="86"/>
    </row>
    <row r="2958" spans="44:44">
      <c r="AR2958" s="86"/>
    </row>
    <row r="2959" spans="44:44">
      <c r="AR2959" s="86"/>
    </row>
    <row r="2960" spans="44:44">
      <c r="AR2960" s="86"/>
    </row>
    <row r="2961" spans="44:44">
      <c r="AR2961" s="86"/>
    </row>
    <row r="2962" spans="44:44">
      <c r="AR2962" s="86"/>
    </row>
    <row r="2963" spans="44:44">
      <c r="AR2963" s="86"/>
    </row>
    <row r="2964" spans="44:44">
      <c r="AR2964" s="86"/>
    </row>
    <row r="2965" spans="44:44">
      <c r="AR2965" s="86"/>
    </row>
    <row r="2966" spans="44:44">
      <c r="AR2966" s="86"/>
    </row>
    <row r="2967" spans="44:44">
      <c r="AR2967" s="86"/>
    </row>
    <row r="2968" spans="44:44">
      <c r="AR2968" s="86"/>
    </row>
    <row r="2969" spans="44:44">
      <c r="AR2969" s="86"/>
    </row>
    <row r="2970" spans="44:44">
      <c r="AR2970" s="86"/>
    </row>
    <row r="2971" spans="44:44">
      <c r="AR2971" s="86"/>
    </row>
    <row r="2972" spans="44:44">
      <c r="AR2972" s="86"/>
    </row>
    <row r="2973" spans="44:44">
      <c r="AR2973" s="86"/>
    </row>
    <row r="2974" spans="44:44">
      <c r="AR2974" s="86"/>
    </row>
    <row r="2975" spans="44:44">
      <c r="AR2975" s="86"/>
    </row>
    <row r="2976" spans="44:44">
      <c r="AR2976" s="86"/>
    </row>
    <row r="2977" spans="44:44">
      <c r="AR2977" s="86"/>
    </row>
    <row r="2978" spans="44:44">
      <c r="AR2978" s="86"/>
    </row>
    <row r="2979" spans="44:44">
      <c r="AR2979" s="86"/>
    </row>
    <row r="2980" spans="44:44">
      <c r="AR2980" s="86"/>
    </row>
    <row r="2981" spans="44:44">
      <c r="AR2981" s="86"/>
    </row>
    <row r="2982" spans="44:44">
      <c r="AR2982" s="86"/>
    </row>
    <row r="2983" spans="44:44">
      <c r="AR2983" s="86"/>
    </row>
    <row r="2984" spans="44:44">
      <c r="AR2984" s="86"/>
    </row>
    <row r="2985" spans="44:44">
      <c r="AR2985" s="86"/>
    </row>
    <row r="2986" spans="44:44">
      <c r="AR2986" s="86"/>
    </row>
    <row r="2987" spans="44:44">
      <c r="AR2987" s="86"/>
    </row>
    <row r="2988" spans="44:44">
      <c r="AR2988" s="86"/>
    </row>
    <row r="2989" spans="44:44">
      <c r="AR2989" s="86"/>
    </row>
    <row r="2990" spans="44:44">
      <c r="AR2990" s="86"/>
    </row>
    <row r="2991" spans="44:44">
      <c r="AR2991" s="86"/>
    </row>
    <row r="2992" spans="44:44">
      <c r="AR2992" s="86"/>
    </row>
    <row r="2993" spans="44:44">
      <c r="AR2993" s="86"/>
    </row>
    <row r="2994" spans="44:44">
      <c r="AR2994" s="86"/>
    </row>
    <row r="2995" spans="44:44">
      <c r="AR2995" s="86"/>
    </row>
    <row r="2996" spans="44:44">
      <c r="AR2996" s="86"/>
    </row>
    <row r="2997" spans="44:44">
      <c r="AR2997" s="86"/>
    </row>
    <row r="2998" spans="44:44">
      <c r="AR2998" s="86"/>
    </row>
    <row r="2999" spans="44:44">
      <c r="AR2999" s="86"/>
    </row>
    <row r="3000" spans="44:44">
      <c r="AR3000" s="86"/>
    </row>
    <row r="3001" spans="44:44">
      <c r="AR3001" s="86"/>
    </row>
    <row r="3002" spans="44:44">
      <c r="AR3002" s="86"/>
    </row>
    <row r="3003" spans="44:44">
      <c r="AR3003" s="86"/>
    </row>
    <row r="3004" spans="44:44">
      <c r="AR3004" s="86"/>
    </row>
    <row r="3005" spans="44:44">
      <c r="AR3005" s="86"/>
    </row>
    <row r="3006" spans="44:44">
      <c r="AR3006" s="86"/>
    </row>
    <row r="3007" spans="44:44">
      <c r="AR3007" s="86"/>
    </row>
    <row r="3008" spans="44:44">
      <c r="AR3008" s="86"/>
    </row>
    <row r="3009" spans="44:44">
      <c r="AR3009" s="86"/>
    </row>
    <row r="3010" spans="44:44">
      <c r="AR3010" s="86"/>
    </row>
    <row r="3011" spans="44:44">
      <c r="AR3011" s="86"/>
    </row>
    <row r="3012" spans="44:44">
      <c r="AR3012" s="86"/>
    </row>
    <row r="3013" spans="44:44">
      <c r="AR3013" s="86"/>
    </row>
    <row r="3014" spans="44:44">
      <c r="AR3014" s="86"/>
    </row>
    <row r="3015" spans="44:44">
      <c r="AR3015" s="86"/>
    </row>
    <row r="3016" spans="44:44">
      <c r="AR3016" s="86"/>
    </row>
    <row r="3017" spans="44:44">
      <c r="AR3017" s="86"/>
    </row>
    <row r="3018" spans="44:44">
      <c r="AR3018" s="86"/>
    </row>
    <row r="3019" spans="44:44">
      <c r="AR3019" s="86"/>
    </row>
    <row r="3020" spans="44:44">
      <c r="AR3020" s="86"/>
    </row>
    <row r="3021" spans="44:44">
      <c r="AR3021" s="86"/>
    </row>
    <row r="3022" spans="44:44">
      <c r="AR3022" s="86"/>
    </row>
    <row r="3023" spans="44:44">
      <c r="AR3023" s="86"/>
    </row>
    <row r="3024" spans="44:44">
      <c r="AR3024" s="86"/>
    </row>
    <row r="3025" spans="44:44">
      <c r="AR3025" s="86"/>
    </row>
    <row r="3026" spans="44:44">
      <c r="AR3026" s="86"/>
    </row>
    <row r="3027" spans="44:44">
      <c r="AR3027" s="86"/>
    </row>
    <row r="3028" spans="44:44">
      <c r="AR3028" s="86"/>
    </row>
    <row r="3029" spans="44:44">
      <c r="AR3029" s="86"/>
    </row>
    <row r="3030" spans="44:44">
      <c r="AR3030" s="86"/>
    </row>
    <row r="3031" spans="44:44">
      <c r="AR3031" s="86"/>
    </row>
    <row r="3032" spans="44:44">
      <c r="AR3032" s="86"/>
    </row>
    <row r="3033" spans="44:44">
      <c r="AR3033" s="86"/>
    </row>
    <row r="3034" spans="44:44">
      <c r="AR3034" s="86"/>
    </row>
    <row r="3035" spans="44:44">
      <c r="AR3035" s="86"/>
    </row>
    <row r="3036" spans="44:44">
      <c r="AR3036" s="86"/>
    </row>
    <row r="3037" spans="44:44">
      <c r="AR3037" s="86"/>
    </row>
    <row r="3038" spans="44:44">
      <c r="AR3038" s="86"/>
    </row>
    <row r="3039" spans="44:44">
      <c r="AR3039" s="86"/>
    </row>
    <row r="3040" spans="44:44">
      <c r="AR3040" s="86"/>
    </row>
    <row r="3041" spans="44:44">
      <c r="AR3041" s="86"/>
    </row>
    <row r="3042" spans="44:44">
      <c r="AR3042" s="86"/>
    </row>
    <row r="3043" spans="44:44">
      <c r="AR3043" s="86"/>
    </row>
    <row r="3044" spans="44:44">
      <c r="AR3044" s="86"/>
    </row>
    <row r="3045" spans="44:44">
      <c r="AR3045" s="86"/>
    </row>
    <row r="3046" spans="44:44">
      <c r="AR3046" s="86"/>
    </row>
    <row r="3047" spans="44:44">
      <c r="AR3047" s="86"/>
    </row>
    <row r="3048" spans="44:44">
      <c r="AR3048" s="86"/>
    </row>
    <row r="3049" spans="44:44">
      <c r="AR3049" s="86"/>
    </row>
    <row r="3050" spans="44:44">
      <c r="AR3050" s="86"/>
    </row>
    <row r="3051" spans="44:44">
      <c r="AR3051" s="86"/>
    </row>
    <row r="3052" spans="44:44">
      <c r="AR3052" s="86"/>
    </row>
    <row r="3053" spans="44:44">
      <c r="AR3053" s="86"/>
    </row>
    <row r="3054" spans="44:44">
      <c r="AR3054" s="86"/>
    </row>
    <row r="3055" spans="44:44">
      <c r="AR3055" s="86"/>
    </row>
    <row r="3056" spans="44:44">
      <c r="AR3056" s="86"/>
    </row>
    <row r="3057" spans="44:44">
      <c r="AR3057" s="86"/>
    </row>
    <row r="3058" spans="44:44">
      <c r="AR3058" s="86"/>
    </row>
    <row r="3059" spans="44:44">
      <c r="AR3059" s="86"/>
    </row>
    <row r="3060" spans="44:44">
      <c r="AR3060" s="86"/>
    </row>
    <row r="3061" spans="44:44">
      <c r="AR3061" s="86"/>
    </row>
    <row r="3062" spans="44:44">
      <c r="AR3062" s="86"/>
    </row>
    <row r="3063" spans="44:44">
      <c r="AR3063" s="86"/>
    </row>
    <row r="3064" spans="44:44">
      <c r="AR3064" s="86"/>
    </row>
    <row r="3065" spans="44:44">
      <c r="AR3065" s="86"/>
    </row>
    <row r="3066" spans="44:44">
      <c r="AR3066" s="86"/>
    </row>
    <row r="3067" spans="44:44">
      <c r="AR3067" s="86"/>
    </row>
    <row r="3068" spans="44:44">
      <c r="AR3068" s="86"/>
    </row>
    <row r="3069" spans="44:44">
      <c r="AR3069" s="86"/>
    </row>
    <row r="3070" spans="44:44">
      <c r="AR3070" s="86"/>
    </row>
    <row r="3071" spans="44:44">
      <c r="AR3071" s="86"/>
    </row>
    <row r="3072" spans="44:44">
      <c r="AR3072" s="86"/>
    </row>
    <row r="3073" spans="44:44">
      <c r="AR3073" s="86"/>
    </row>
    <row r="3074" spans="44:44">
      <c r="AR3074" s="86"/>
    </row>
    <row r="3075" spans="44:44">
      <c r="AR3075" s="86"/>
    </row>
    <row r="3076" spans="44:44">
      <c r="AR3076" s="86"/>
    </row>
    <row r="3077" spans="44:44">
      <c r="AR3077" s="86"/>
    </row>
    <row r="3078" spans="44:44">
      <c r="AR3078" s="86"/>
    </row>
    <row r="3079" spans="44:44">
      <c r="AR3079" s="86"/>
    </row>
    <row r="3080" spans="44:44">
      <c r="AR3080" s="86"/>
    </row>
    <row r="3081" spans="44:44">
      <c r="AR3081" s="86"/>
    </row>
    <row r="3082" spans="44:44">
      <c r="AR3082" s="86"/>
    </row>
    <row r="3083" spans="44:44">
      <c r="AR3083" s="86"/>
    </row>
    <row r="3084" spans="44:44">
      <c r="AR3084" s="86"/>
    </row>
    <row r="3085" spans="44:44">
      <c r="AR3085" s="86"/>
    </row>
    <row r="3086" spans="44:44">
      <c r="AR3086" s="86"/>
    </row>
    <row r="3087" spans="44:44">
      <c r="AR3087" s="86"/>
    </row>
    <row r="3088" spans="44:44">
      <c r="AR3088" s="86"/>
    </row>
    <row r="3089" spans="44:44">
      <c r="AR3089" s="86"/>
    </row>
    <row r="3090" spans="44:44">
      <c r="AR3090" s="86"/>
    </row>
    <row r="3091" spans="44:44">
      <c r="AR3091" s="86"/>
    </row>
    <row r="3092" spans="44:44">
      <c r="AR3092" s="86"/>
    </row>
    <row r="3093" spans="44:44">
      <c r="AR3093" s="86"/>
    </row>
    <row r="3094" spans="44:44">
      <c r="AR3094" s="86"/>
    </row>
    <row r="3095" spans="44:44">
      <c r="AR3095" s="86"/>
    </row>
    <row r="3096" spans="44:44">
      <c r="AR3096" s="86"/>
    </row>
    <row r="3097" spans="44:44">
      <c r="AR3097" s="86"/>
    </row>
    <row r="3098" spans="44:44">
      <c r="AR3098" s="86"/>
    </row>
    <row r="3099" spans="44:44">
      <c r="AR3099" s="86"/>
    </row>
    <row r="3100" spans="44:44">
      <c r="AR3100" s="86"/>
    </row>
    <row r="3101" spans="44:44">
      <c r="AR3101" s="86"/>
    </row>
    <row r="3102" spans="44:44">
      <c r="AR3102" s="86"/>
    </row>
    <row r="3103" spans="44:44">
      <c r="AR3103" s="86"/>
    </row>
    <row r="3104" spans="44:44">
      <c r="AR3104" s="86"/>
    </row>
    <row r="3105" spans="44:44">
      <c r="AR3105" s="86"/>
    </row>
    <row r="3106" spans="44:44">
      <c r="AR3106" s="86"/>
    </row>
    <row r="3107" spans="44:44">
      <c r="AR3107" s="86"/>
    </row>
    <row r="3108" spans="44:44">
      <c r="AR3108" s="86"/>
    </row>
    <row r="3109" spans="44:44">
      <c r="AR3109" s="86"/>
    </row>
    <row r="3110" spans="44:44">
      <c r="AR3110" s="86"/>
    </row>
    <row r="3111" spans="44:44">
      <c r="AR3111" s="86"/>
    </row>
    <row r="3112" spans="44:44">
      <c r="AR3112" s="86"/>
    </row>
    <row r="3113" spans="44:44">
      <c r="AR3113" s="86"/>
    </row>
    <row r="3114" spans="44:44">
      <c r="AR3114" s="86"/>
    </row>
    <row r="3115" spans="44:44">
      <c r="AR3115" s="86"/>
    </row>
    <row r="3116" spans="44:44">
      <c r="AR3116" s="86"/>
    </row>
    <row r="3117" spans="44:44">
      <c r="AR3117" s="86"/>
    </row>
    <row r="3118" spans="44:44">
      <c r="AR3118" s="86"/>
    </row>
    <row r="3119" spans="44:44">
      <c r="AR3119" s="86"/>
    </row>
    <row r="3120" spans="44:44">
      <c r="AR3120" s="86"/>
    </row>
    <row r="3121" spans="44:44">
      <c r="AR3121" s="86"/>
    </row>
    <row r="3122" spans="44:44">
      <c r="AR3122" s="86"/>
    </row>
    <row r="3123" spans="44:44">
      <c r="AR3123" s="86"/>
    </row>
    <row r="3124" spans="44:44">
      <c r="AR3124" s="86"/>
    </row>
    <row r="3125" spans="44:44">
      <c r="AR3125" s="86"/>
    </row>
    <row r="3126" spans="44:44">
      <c r="AR3126" s="86"/>
    </row>
    <row r="3127" spans="44:44">
      <c r="AR3127" s="86"/>
    </row>
    <row r="3128" spans="44:44">
      <c r="AR3128" s="86"/>
    </row>
    <row r="3129" spans="44:44">
      <c r="AR3129" s="86"/>
    </row>
    <row r="3130" spans="44:44">
      <c r="AR3130" s="86"/>
    </row>
    <row r="3131" spans="44:44">
      <c r="AR3131" s="86"/>
    </row>
    <row r="3132" spans="44:44">
      <c r="AR3132" s="86"/>
    </row>
    <row r="3133" spans="44:44">
      <c r="AR3133" s="86"/>
    </row>
    <row r="3134" spans="44:44">
      <c r="AR3134" s="86"/>
    </row>
    <row r="3135" spans="44:44">
      <c r="AR3135" s="86"/>
    </row>
    <row r="3136" spans="44:44">
      <c r="AR3136" s="86"/>
    </row>
    <row r="3137" spans="44:44">
      <c r="AR3137" s="86"/>
    </row>
    <row r="3138" spans="44:44">
      <c r="AR3138" s="86"/>
    </row>
    <row r="3139" spans="44:44">
      <c r="AR3139" s="86"/>
    </row>
    <row r="3140" spans="44:44">
      <c r="AR3140" s="86"/>
    </row>
    <row r="3141" spans="44:44">
      <c r="AR3141" s="86"/>
    </row>
    <row r="3142" spans="44:44">
      <c r="AR3142" s="86"/>
    </row>
    <row r="3143" spans="44:44">
      <c r="AR3143" s="86"/>
    </row>
    <row r="3144" spans="44:44">
      <c r="AR3144" s="86"/>
    </row>
    <row r="3145" spans="44:44">
      <c r="AR3145" s="86"/>
    </row>
    <row r="3146" spans="44:44">
      <c r="AR3146" s="86"/>
    </row>
    <row r="3147" spans="44:44">
      <c r="AR3147" s="86"/>
    </row>
    <row r="3148" spans="44:44">
      <c r="AR3148" s="86"/>
    </row>
    <row r="3149" spans="44:44">
      <c r="AR3149" s="86"/>
    </row>
    <row r="3150" spans="44:44">
      <c r="AR3150" s="86"/>
    </row>
    <row r="3151" spans="44:44">
      <c r="AR3151" s="86"/>
    </row>
    <row r="3152" spans="44:44">
      <c r="AR3152" s="86"/>
    </row>
    <row r="3153" spans="44:44">
      <c r="AR3153" s="86"/>
    </row>
    <row r="3154" spans="44:44">
      <c r="AR3154" s="86"/>
    </row>
    <row r="3155" spans="44:44">
      <c r="AR3155" s="86"/>
    </row>
    <row r="3156" spans="44:44">
      <c r="AR3156" s="86"/>
    </row>
    <row r="3157" spans="44:44">
      <c r="AR3157" s="86"/>
    </row>
    <row r="3158" spans="44:44">
      <c r="AR3158" s="86"/>
    </row>
    <row r="3159" spans="44:44">
      <c r="AR3159" s="86"/>
    </row>
    <row r="3160" spans="44:44">
      <c r="AR3160" s="86"/>
    </row>
    <row r="3161" spans="44:44">
      <c r="AR3161" s="86"/>
    </row>
    <row r="3162" spans="44:44">
      <c r="AR3162" s="86"/>
    </row>
    <row r="3163" spans="44:44">
      <c r="AR3163" s="86"/>
    </row>
    <row r="3164" spans="44:44">
      <c r="AR3164" s="86"/>
    </row>
    <row r="3165" spans="44:44">
      <c r="AR3165" s="86"/>
    </row>
    <row r="3166" spans="44:44">
      <c r="AR3166" s="86"/>
    </row>
    <row r="3167" spans="44:44">
      <c r="AR3167" s="86"/>
    </row>
    <row r="3168" spans="44:44">
      <c r="AR3168" s="86"/>
    </row>
    <row r="3169" spans="44:44">
      <c r="AR3169" s="86"/>
    </row>
    <row r="3170" spans="44:44">
      <c r="AR3170" s="86"/>
    </row>
    <row r="3171" spans="44:44">
      <c r="AR3171" s="86"/>
    </row>
    <row r="3172" spans="44:44">
      <c r="AR3172" s="86"/>
    </row>
    <row r="3173" spans="44:44">
      <c r="AR3173" s="86"/>
    </row>
    <row r="3174" spans="44:44">
      <c r="AR3174" s="86"/>
    </row>
    <row r="3175" spans="44:44">
      <c r="AR3175" s="86"/>
    </row>
    <row r="3176" spans="44:44">
      <c r="AR3176" s="86"/>
    </row>
    <row r="3177" spans="44:44">
      <c r="AR3177" s="86"/>
    </row>
    <row r="3178" spans="44:44">
      <c r="AR3178" s="86"/>
    </row>
    <row r="3179" spans="44:44">
      <c r="AR3179" s="86"/>
    </row>
    <row r="3180" spans="44:44">
      <c r="AR3180" s="86"/>
    </row>
    <row r="3181" spans="44:44">
      <c r="AR3181" s="86"/>
    </row>
    <row r="3182" spans="44:44">
      <c r="AR3182" s="86"/>
    </row>
    <row r="3183" spans="44:44">
      <c r="AR3183" s="86"/>
    </row>
    <row r="3184" spans="44:44">
      <c r="AR3184" s="86"/>
    </row>
    <row r="3185" spans="44:44">
      <c r="AR3185" s="86"/>
    </row>
    <row r="3186" spans="44:44">
      <c r="AR3186" s="86"/>
    </row>
    <row r="3187" spans="44:44">
      <c r="AR3187" s="86"/>
    </row>
    <row r="3188" spans="44:44">
      <c r="AR3188" s="86"/>
    </row>
    <row r="3189" spans="44:44">
      <c r="AR3189" s="86"/>
    </row>
    <row r="3190" spans="44:44">
      <c r="AR3190" s="86"/>
    </row>
  </sheetData>
  <mergeCells count="156">
    <mergeCell ref="B57:D57"/>
    <mergeCell ref="G57:H57"/>
    <mergeCell ref="AK12:AM12"/>
    <mergeCell ref="B54:D54"/>
    <mergeCell ref="G54:H54"/>
    <mergeCell ref="B55:D55"/>
    <mergeCell ref="G55:H55"/>
    <mergeCell ref="B56:D56"/>
    <mergeCell ref="G56:H56"/>
    <mergeCell ref="B51:D51"/>
    <mergeCell ref="G51:H51"/>
    <mergeCell ref="B52:D52"/>
    <mergeCell ref="G52:H52"/>
    <mergeCell ref="B53:D53"/>
    <mergeCell ref="G53:H53"/>
    <mergeCell ref="B48:D48"/>
    <mergeCell ref="G48:H48"/>
    <mergeCell ref="B49:D49"/>
    <mergeCell ref="G49:H49"/>
    <mergeCell ref="B50:D50"/>
    <mergeCell ref="G50:H50"/>
    <mergeCell ref="B45:D45"/>
    <mergeCell ref="G45:H45"/>
    <mergeCell ref="B46:D46"/>
    <mergeCell ref="G46:H46"/>
    <mergeCell ref="B47:D47"/>
    <mergeCell ref="G47:H47"/>
    <mergeCell ref="B42:D42"/>
    <mergeCell ref="G42:H42"/>
    <mergeCell ref="B43:D43"/>
    <mergeCell ref="G43:H43"/>
    <mergeCell ref="B44:D44"/>
    <mergeCell ref="G44:H44"/>
    <mergeCell ref="B39:D39"/>
    <mergeCell ref="G39:H39"/>
    <mergeCell ref="B40:D40"/>
    <mergeCell ref="G40:H40"/>
    <mergeCell ref="B41:D41"/>
    <mergeCell ref="G41:H41"/>
    <mergeCell ref="B36:D36"/>
    <mergeCell ref="G36:H36"/>
    <mergeCell ref="B37:D37"/>
    <mergeCell ref="G37:H37"/>
    <mergeCell ref="B38:D38"/>
    <mergeCell ref="G38:H38"/>
    <mergeCell ref="B33:D33"/>
    <mergeCell ref="G33:H33"/>
    <mergeCell ref="B34:D34"/>
    <mergeCell ref="G34:H34"/>
    <mergeCell ref="B35:D35"/>
    <mergeCell ref="G35:H35"/>
    <mergeCell ref="G29:H29"/>
    <mergeCell ref="G30:H30"/>
    <mergeCell ref="B31:D31"/>
    <mergeCell ref="G31:H31"/>
    <mergeCell ref="B32:D32"/>
    <mergeCell ref="G32:H32"/>
    <mergeCell ref="B29:D29"/>
    <mergeCell ref="B30:D30"/>
    <mergeCell ref="G26:H26"/>
    <mergeCell ref="B27:D27"/>
    <mergeCell ref="G27:H27"/>
    <mergeCell ref="A12:A13"/>
    <mergeCell ref="B12:D13"/>
    <mergeCell ref="G12:H13"/>
    <mergeCell ref="AN12:AN13"/>
    <mergeCell ref="K12:M12"/>
    <mergeCell ref="O12:Q12"/>
    <mergeCell ref="R12:T12"/>
    <mergeCell ref="W12:Y12"/>
    <mergeCell ref="B19:D19"/>
    <mergeCell ref="G19:H19"/>
    <mergeCell ref="B16:D16"/>
    <mergeCell ref="G16:H16"/>
    <mergeCell ref="B17:D17"/>
    <mergeCell ref="G17:H17"/>
    <mergeCell ref="B18:D18"/>
    <mergeCell ref="G18:H18"/>
    <mergeCell ref="B15:D15"/>
    <mergeCell ref="G15:H15"/>
    <mergeCell ref="U12:U13"/>
    <mergeCell ref="AJ12:AJ13"/>
    <mergeCell ref="B14:D14"/>
    <mergeCell ref="B28:D28"/>
    <mergeCell ref="G28:H28"/>
    <mergeCell ref="I20:J20"/>
    <mergeCell ref="I21:J21"/>
    <mergeCell ref="I22:J22"/>
    <mergeCell ref="I23:J23"/>
    <mergeCell ref="I24:J24"/>
    <mergeCell ref="B22:D22"/>
    <mergeCell ref="G22:H22"/>
    <mergeCell ref="B23:D23"/>
    <mergeCell ref="G23:H23"/>
    <mergeCell ref="B24:D24"/>
    <mergeCell ref="G24:H24"/>
    <mergeCell ref="B25:D25"/>
    <mergeCell ref="G25:H25"/>
    <mergeCell ref="B20:D20"/>
    <mergeCell ref="G20:H20"/>
    <mergeCell ref="B21:D21"/>
    <mergeCell ref="G21:H21"/>
    <mergeCell ref="I25:J25"/>
    <mergeCell ref="I26:J26"/>
    <mergeCell ref="I27:J27"/>
    <mergeCell ref="I28:J28"/>
    <mergeCell ref="B26:D26"/>
    <mergeCell ref="C7:E7"/>
    <mergeCell ref="I7:K7"/>
    <mergeCell ref="C8:E8"/>
    <mergeCell ref="I8:K8"/>
    <mergeCell ref="AB12:AH12"/>
    <mergeCell ref="AI12:AI13"/>
    <mergeCell ref="N12:N13"/>
    <mergeCell ref="I18:J18"/>
    <mergeCell ref="I19:J19"/>
    <mergeCell ref="I12:J13"/>
    <mergeCell ref="I14:J14"/>
    <mergeCell ref="G9:H9"/>
    <mergeCell ref="E12:E13"/>
    <mergeCell ref="F12:F13"/>
    <mergeCell ref="I15:J15"/>
    <mergeCell ref="I16:J16"/>
    <mergeCell ref="I17:J17"/>
    <mergeCell ref="G14:H14"/>
    <mergeCell ref="Z12:Z13"/>
    <mergeCell ref="AA12:AA13"/>
    <mergeCell ref="I29:J29"/>
    <mergeCell ref="I30:J30"/>
    <mergeCell ref="I31:J31"/>
    <mergeCell ref="I32:J32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54:J54"/>
    <mergeCell ref="I55:J55"/>
    <mergeCell ref="I56:J56"/>
    <mergeCell ref="I57:J57"/>
    <mergeCell ref="I45:J45"/>
    <mergeCell ref="I46:J46"/>
    <mergeCell ref="I47:J47"/>
    <mergeCell ref="I48:J48"/>
    <mergeCell ref="I49:J49"/>
    <mergeCell ref="I50:J50"/>
    <mergeCell ref="I51:J51"/>
    <mergeCell ref="I52:J52"/>
    <mergeCell ref="I53:J53"/>
  </mergeCells>
  <conditionalFormatting sqref="U58:V97 A58:N97 A25:H27 F23:H24 Z23:AA27 U23:V27 Z16:AA18 N14:N27 A15:D24 AI15:AI21 E15:E23 F16 O16 R16:Y16 AJ16:AN16 P15:Q20 AB15:AH33 Z58:AM97 Z34:AJ57 Z14:AJ14">
    <cfRule type="notContainsBlanks" dxfId="44" priority="96">
      <formula>LEN(TRIM(A14))&gt;0</formula>
    </cfRule>
  </conditionalFormatting>
  <conditionalFormatting sqref="O58:Q97 O23:Q27">
    <cfRule type="notContainsBlanks" dxfId="43" priority="94">
      <formula>LEN(TRIM(O23))&gt;0</formula>
    </cfRule>
  </conditionalFormatting>
  <conditionalFormatting sqref="R58:T97 R23:T27">
    <cfRule type="notContainsBlanks" dxfId="42" priority="93">
      <formula>LEN(TRIM(R23))&gt;0</formula>
    </cfRule>
  </conditionalFormatting>
  <conditionalFormatting sqref="W58:Y97 W23:Y27">
    <cfRule type="notContainsBlanks" dxfId="41" priority="92">
      <formula>LEN(TRIM(W23))&gt;0</formula>
    </cfRule>
  </conditionalFormatting>
  <conditionalFormatting sqref="AN58:AN147">
    <cfRule type="notContainsBlanks" dxfId="40" priority="90">
      <formula>LEN(TRIM(AN58))&gt;0</formula>
    </cfRule>
  </conditionalFormatting>
  <conditionalFormatting sqref="A28:H57 U28:V57 N28:N57 Z28:AA33">
    <cfRule type="notContainsBlanks" dxfId="39" priority="89">
      <formula>LEN(TRIM(A28))&gt;0</formula>
    </cfRule>
  </conditionalFormatting>
  <conditionalFormatting sqref="O28:Q57">
    <cfRule type="notContainsBlanks" dxfId="38" priority="88">
      <formula>LEN(TRIM(O28))&gt;0</formula>
    </cfRule>
  </conditionalFormatting>
  <conditionalFormatting sqref="R28:T57">
    <cfRule type="notContainsBlanks" dxfId="37" priority="87">
      <formula>LEN(TRIM(R28))&gt;0</formula>
    </cfRule>
  </conditionalFormatting>
  <conditionalFormatting sqref="W28:Y57">
    <cfRule type="notContainsBlanks" dxfId="36" priority="86">
      <formula>LEN(TRIM(W28))&gt;0</formula>
    </cfRule>
  </conditionalFormatting>
  <conditionalFormatting sqref="AN34:AN57">
    <cfRule type="notContainsBlanks" dxfId="35" priority="85">
      <formula>LEN(TRIM(AN34))&gt;0</formula>
    </cfRule>
  </conditionalFormatting>
  <conditionalFormatting sqref="AK34:AM57">
    <cfRule type="notContainsBlanks" dxfId="34" priority="83">
      <formula>LEN(TRIM(AK34))&gt;0</formula>
    </cfRule>
  </conditionalFormatting>
  <conditionalFormatting sqref="I23:I57">
    <cfRule type="notContainsBlanks" dxfId="33" priority="82">
      <formula>LEN(TRIM(I23))&gt;0</formula>
    </cfRule>
  </conditionalFormatting>
  <conditionalFormatting sqref="E24">
    <cfRule type="notContainsBlanks" dxfId="32" priority="81">
      <formula>LEN(TRIM(E24))&gt;0</formula>
    </cfRule>
  </conditionalFormatting>
  <conditionalFormatting sqref="AI23:AJ33">
    <cfRule type="notContainsBlanks" dxfId="31" priority="68">
      <formula>LEN(TRIM(AI23))&gt;0</formula>
    </cfRule>
  </conditionalFormatting>
  <conditionalFormatting sqref="AN24:AN33">
    <cfRule type="notContainsBlanks" dxfId="30" priority="64">
      <formula>LEN(TRIM(AN24))&gt;0</formula>
    </cfRule>
  </conditionalFormatting>
  <conditionalFormatting sqref="AK23:AM33">
    <cfRule type="notContainsBlanks" dxfId="29" priority="63">
      <formula>LEN(TRIM(AK23))&gt;0</formula>
    </cfRule>
  </conditionalFormatting>
  <conditionalFormatting sqref="Z19:AA22 U19:V22 F19:F22 G21:J22 A14:J14">
    <cfRule type="notContainsBlanks" dxfId="28" priority="62">
      <formula>LEN(TRIM(A14))&gt;0</formula>
    </cfRule>
  </conditionalFormatting>
  <conditionalFormatting sqref="O14:Q14 O21:Q22 O19:O20">
    <cfRule type="notContainsBlanks" dxfId="27" priority="61">
      <formula>LEN(TRIM(O14))&gt;0</formula>
    </cfRule>
  </conditionalFormatting>
  <conditionalFormatting sqref="R19:T22 R14:T14">
    <cfRule type="notContainsBlanks" dxfId="26" priority="60">
      <formula>LEN(TRIM(R14))&gt;0</formula>
    </cfRule>
  </conditionalFormatting>
  <conditionalFormatting sqref="W14:Y14 W19:Y22">
    <cfRule type="notContainsBlanks" dxfId="25" priority="59">
      <formula>LEN(TRIM(W14))&gt;0</formula>
    </cfRule>
  </conditionalFormatting>
  <conditionalFormatting sqref="AN14">
    <cfRule type="notContainsBlanks" dxfId="24" priority="58">
      <formula>LEN(TRIM(AN14))&gt;0</formula>
    </cfRule>
  </conditionalFormatting>
  <conditionalFormatting sqref="AK14:AM14">
    <cfRule type="notContainsBlanks" dxfId="23" priority="57">
      <formula>LEN(TRIM(AK14))&gt;0</formula>
    </cfRule>
  </conditionalFormatting>
  <conditionalFormatting sqref="F15 Z15">
    <cfRule type="notContainsBlanks" dxfId="22" priority="56">
      <formula>LEN(TRIM(F15))&gt;0</formula>
    </cfRule>
  </conditionalFormatting>
  <conditionalFormatting sqref="O15">
    <cfRule type="notContainsBlanks" dxfId="21" priority="55">
      <formula>LEN(TRIM(O15))&gt;0</formula>
    </cfRule>
  </conditionalFormatting>
  <conditionalFormatting sqref="R15:T15">
    <cfRule type="notContainsBlanks" dxfId="20" priority="54">
      <formula>LEN(TRIM(R15))&gt;0</formula>
    </cfRule>
  </conditionalFormatting>
  <conditionalFormatting sqref="W15:Y15">
    <cfRule type="notContainsBlanks" dxfId="19" priority="53">
      <formula>LEN(TRIM(W15))&gt;0</formula>
    </cfRule>
  </conditionalFormatting>
  <conditionalFormatting sqref="AN15">
    <cfRule type="notContainsBlanks" dxfId="18" priority="52">
      <formula>LEN(TRIM(AN15))&gt;0</formula>
    </cfRule>
  </conditionalFormatting>
  <conditionalFormatting sqref="AK15:AM15">
    <cfRule type="notContainsBlanks" dxfId="17" priority="51">
      <formula>LEN(TRIM(AK15))&gt;0</formula>
    </cfRule>
  </conditionalFormatting>
  <conditionalFormatting sqref="U17:V18 AI22:AJ22 F17:F18 AJ17:AJ21">
    <cfRule type="notContainsBlanks" dxfId="16" priority="44">
      <formula>LEN(TRIM(F17))&gt;0</formula>
    </cfRule>
  </conditionalFormatting>
  <conditionalFormatting sqref="O17:O18">
    <cfRule type="notContainsBlanks" dxfId="15" priority="43">
      <formula>LEN(TRIM(O17))&gt;0</formula>
    </cfRule>
  </conditionalFormatting>
  <conditionalFormatting sqref="R17:T18">
    <cfRule type="notContainsBlanks" dxfId="14" priority="42">
      <formula>LEN(TRIM(R17))&gt;0</formula>
    </cfRule>
  </conditionalFormatting>
  <conditionalFormatting sqref="W17:Y18">
    <cfRule type="notContainsBlanks" dxfId="13" priority="41">
      <formula>LEN(TRIM(W17))&gt;0</formula>
    </cfRule>
  </conditionalFormatting>
  <conditionalFormatting sqref="AN17:AN22">
    <cfRule type="notContainsBlanks" dxfId="12" priority="40">
      <formula>LEN(TRIM(AN17))&gt;0</formula>
    </cfRule>
  </conditionalFormatting>
  <conditionalFormatting sqref="AK17:AM22">
    <cfRule type="notContainsBlanks" dxfId="11" priority="39">
      <formula>LEN(TRIM(AK17))&gt;0</formula>
    </cfRule>
  </conditionalFormatting>
  <conditionalFormatting sqref="AN23">
    <cfRule type="notContainsBlanks" dxfId="10" priority="38">
      <formula>LEN(TRIM(AN23))&gt;0</formula>
    </cfRule>
  </conditionalFormatting>
  <conditionalFormatting sqref="G17:H20">
    <cfRule type="notContainsBlanks" dxfId="9" priority="32">
      <formula>LEN(TRIM(G17))&gt;0</formula>
    </cfRule>
  </conditionalFormatting>
  <conditionalFormatting sqref="I17:J20">
    <cfRule type="notContainsBlanks" dxfId="8" priority="31">
      <formula>LEN(TRIM(I17))&gt;0</formula>
    </cfRule>
  </conditionalFormatting>
  <conditionalFormatting sqref="G15:H15">
    <cfRule type="notContainsBlanks" dxfId="7" priority="25">
      <formula>LEN(TRIM(G15))&gt;0</formula>
    </cfRule>
  </conditionalFormatting>
  <conditionalFormatting sqref="G16:H16">
    <cfRule type="notContainsBlanks" dxfId="6" priority="22">
      <formula>LEN(TRIM(G16))&gt;0</formula>
    </cfRule>
  </conditionalFormatting>
  <conditionalFormatting sqref="I15:J15">
    <cfRule type="notContainsBlanks" dxfId="5" priority="20">
      <formula>LEN(TRIM(I15))&gt;0</formula>
    </cfRule>
  </conditionalFormatting>
  <conditionalFormatting sqref="I16:J16">
    <cfRule type="notContainsBlanks" dxfId="4" priority="17">
      <formula>LEN(TRIM(I16))&gt;0</formula>
    </cfRule>
  </conditionalFormatting>
  <conditionalFormatting sqref="AA15">
    <cfRule type="notContainsBlanks" dxfId="3" priority="9">
      <formula>LEN(TRIM(AA15))&gt;0</formula>
    </cfRule>
  </conditionalFormatting>
  <conditionalFormatting sqref="U14:V14">
    <cfRule type="notContainsBlanks" dxfId="2" priority="5">
      <formula>LEN(TRIM(U14))&gt;0</formula>
    </cfRule>
  </conditionalFormatting>
  <conditionalFormatting sqref="U15:V15">
    <cfRule type="notContainsBlanks" dxfId="1" priority="3">
      <formula>LEN(TRIM(U15))&gt;0</formula>
    </cfRule>
  </conditionalFormatting>
  <conditionalFormatting sqref="AJ15">
    <cfRule type="notContainsBlanks" dxfId="0" priority="1">
      <formula>LEN(TRIM(AJ15))&gt;0</formula>
    </cfRule>
  </conditionalFormatting>
  <dataValidations xWindow="980" yWindow="635" count="12">
    <dataValidation type="whole" allowBlank="1" showInputMessage="1" showErrorMessage="1" errorTitle="Error en los datos" error="Sólo números entre 5 y 10" promptTitle="Número entre 5 y 10" prompt="Sólo se admiten valores entre 5 y 10" sqref="A3" xr:uid="{00000000-0002-0000-0100-000000000000}">
      <formula1>5</formula1>
      <formula2>10</formula2>
    </dataValidation>
    <dataValidation type="list" allowBlank="1" showInputMessage="1" showErrorMessage="1" sqref="I9 C9 AK14:AK57 W14:W147 O14:O147 K14:K147 R14:R147" xr:uid="{00000000-0002-0000-0100-000001000000}">
      <formula1>DIA</formula1>
    </dataValidation>
    <dataValidation type="list" allowBlank="1" showInputMessage="1" showErrorMessage="1" sqref="D9 J9 X14:X147 P14:P147 L14:L147 AL14:AL57 S14:S147" xr:uid="{00000000-0002-0000-0100-000002000000}">
      <formula1>MES</formula1>
    </dataValidation>
    <dataValidation type="list" allowBlank="1" showInputMessage="1" showErrorMessage="1" sqref="E9 K9 Y14:Y147 Q14:Q147 M14:M147 AM14:AM57 T14:T147" xr:uid="{00000000-0002-0000-0100-000003000000}">
      <formula1>AÑO</formula1>
    </dataValidation>
    <dataValidation type="list" allowBlank="1" showInputMessage="1" showErrorMessage="1" prompt="Seleccione una opción" sqref="I7:K7" xr:uid="{00000000-0002-0000-0100-000004000000}">
      <formula1>MUNICIPIO</formula1>
    </dataValidation>
    <dataValidation type="list" allowBlank="1" showInputMessage="1" showErrorMessage="1" prompt="Seleccione una opción_x000a_" sqref="C8:E8" xr:uid="{00000000-0002-0000-0100-000005000000}">
      <formula1>TIPO_BROTE</formula1>
    </dataValidation>
    <dataValidation allowBlank="1" showInputMessage="1" showErrorMessage="1" errorTitle="Error en los datos" error="Sólo números entre M y F" prompt="Sólo se admiten valores M y F" sqref="F12:F13" xr:uid="{00000000-0002-0000-0100-000006000000}"/>
    <dataValidation type="list" allowBlank="1" showInputMessage="1" showErrorMessage="1" errorTitle="Error en los datos" error="Sólo números entre M y F" prompt="Sólo se admiten valores M y F" sqref="F14:F1048576" xr:uid="{00000000-0002-0000-0100-000007000000}">
      <formula1>"F,M"</formula1>
    </dataValidation>
    <dataValidation type="list" allowBlank="1" showInputMessage="1" showErrorMessage="1" errorTitle="Error en los datos" prompt="Sólo se admiten valores FAMILIAR,ESCOLAR,  COMUNITARIO,LOCALIZADO, NOSOCOMIAL, FORANEO" sqref="AI14:AI57" xr:uid="{00000000-0002-0000-0100-000008000000}">
      <formula1>"FAMILIAR,ESCOLAR,COMUNITARIO,LOCALIZADO,NOSOCOMIAL,FORANEO"</formula1>
    </dataValidation>
    <dataValidation type="list" allowBlank="1" showInputMessage="1" showErrorMessage="1" sqref="E14:E147" xr:uid="{00000000-0002-0000-0100-000009000000}">
      <formula1>EDAD_</formula1>
    </dataValidation>
    <dataValidation type="list" allowBlank="1" showInputMessage="1" showErrorMessage="1" sqref="AN14:AN1048576" xr:uid="{00000000-0002-0000-0100-00000A000000}">
      <formula1>NOTIFICACIÓN</formula1>
    </dataValidation>
    <dataValidation type="list" allowBlank="1" showInputMessage="1" showErrorMessage="1" errorTitle="Error en los datos" error="Sólo números 0 y 1" prompt="Sólo se admiten valores 0 y 1" sqref="AB14:AH1048576" xr:uid="{00000000-0002-0000-0100-00000B000000}">
      <formula1>"0,1"</formula1>
    </dataValidation>
  </dataValidations>
  <pageMargins left="0.15748031496062992" right="0.15748031496062992" top="0.98425196850393704" bottom="0.98425196850393704" header="0" footer="0"/>
  <pageSetup scale="35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LIMPIAR">
                <anchor moveWithCells="1" sizeWithCells="1">
                  <from>
                    <xdr:col>6</xdr:col>
                    <xdr:colOff>200025</xdr:colOff>
                    <xdr:row>1</xdr:row>
                    <xdr:rowOff>0</xdr:rowOff>
                  </from>
                  <to>
                    <xdr:col>8</xdr:col>
                    <xdr:colOff>609600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Hoja2.LISTADO_NOMINAL">
                <anchor moveWithCells="1" sizeWithCells="1">
                  <from>
                    <xdr:col>9</xdr:col>
                    <xdr:colOff>200025</xdr:colOff>
                    <xdr:row>0</xdr:row>
                    <xdr:rowOff>161925</xdr:rowOff>
                  </from>
                  <to>
                    <xdr:col>12</xdr:col>
                    <xdr:colOff>85725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indexed="12"/>
  </sheetPr>
  <dimension ref="A1:Q99"/>
  <sheetViews>
    <sheetView showGridLines="0" view="pageBreakPreview" zoomScale="63" zoomScaleSheetLayoutView="63" workbookViewId="0">
      <selection activeCell="P29" sqref="P29"/>
    </sheetView>
  </sheetViews>
  <sheetFormatPr baseColWidth="10" defaultRowHeight="12.75"/>
  <cols>
    <col min="1" max="1" width="13.140625" style="88" customWidth="1"/>
    <col min="2" max="2" width="9.42578125" style="21" customWidth="1"/>
    <col min="3" max="3" width="11.42578125" style="21" customWidth="1"/>
    <col min="4" max="4" width="10.140625" style="21" customWidth="1"/>
    <col min="5" max="5" width="11.5703125" style="21"/>
    <col min="6" max="6" width="10" style="21" customWidth="1"/>
    <col min="7" max="7" width="17.5703125" style="21" customWidth="1"/>
    <col min="8" max="8" width="10.85546875" style="21" customWidth="1"/>
    <col min="9" max="9" width="11.5703125" style="21"/>
    <col min="10" max="10" width="12.85546875" style="21" customWidth="1"/>
    <col min="11" max="12" width="11.5703125" style="21"/>
    <col min="13" max="13" width="2.140625" style="21" customWidth="1"/>
    <col min="14" max="256" width="11.5703125" style="21"/>
    <col min="257" max="257" width="13.140625" style="21" customWidth="1"/>
    <col min="258" max="258" width="9.42578125" style="21" customWidth="1"/>
    <col min="259" max="259" width="9.140625" style="21" customWidth="1"/>
    <col min="260" max="260" width="10.140625" style="21" customWidth="1"/>
    <col min="261" max="261" width="11.5703125" style="21"/>
    <col min="262" max="262" width="10" style="21" customWidth="1"/>
    <col min="263" max="263" width="17.5703125" style="21" customWidth="1"/>
    <col min="264" max="264" width="5" style="21" customWidth="1"/>
    <col min="265" max="265" width="11.5703125" style="21"/>
    <col min="266" max="266" width="12.85546875" style="21" customWidth="1"/>
    <col min="267" max="268" width="11.5703125" style="21"/>
    <col min="269" max="269" width="2.140625" style="21" customWidth="1"/>
    <col min="270" max="512" width="11.5703125" style="21"/>
    <col min="513" max="513" width="13.140625" style="21" customWidth="1"/>
    <col min="514" max="514" width="9.42578125" style="21" customWidth="1"/>
    <col min="515" max="515" width="9.140625" style="21" customWidth="1"/>
    <col min="516" max="516" width="10.140625" style="21" customWidth="1"/>
    <col min="517" max="517" width="11.5703125" style="21"/>
    <col min="518" max="518" width="10" style="21" customWidth="1"/>
    <col min="519" max="519" width="17.5703125" style="21" customWidth="1"/>
    <col min="520" max="520" width="5" style="21" customWidth="1"/>
    <col min="521" max="521" width="11.5703125" style="21"/>
    <col min="522" max="522" width="12.85546875" style="21" customWidth="1"/>
    <col min="523" max="524" width="11.5703125" style="21"/>
    <col min="525" max="525" width="2.140625" style="21" customWidth="1"/>
    <col min="526" max="768" width="11.5703125" style="21"/>
    <col min="769" max="769" width="13.140625" style="21" customWidth="1"/>
    <col min="770" max="770" width="9.42578125" style="21" customWidth="1"/>
    <col min="771" max="771" width="9.140625" style="21" customWidth="1"/>
    <col min="772" max="772" width="10.140625" style="21" customWidth="1"/>
    <col min="773" max="773" width="11.5703125" style="21"/>
    <col min="774" max="774" width="10" style="21" customWidth="1"/>
    <col min="775" max="775" width="17.5703125" style="21" customWidth="1"/>
    <col min="776" max="776" width="5" style="21" customWidth="1"/>
    <col min="777" max="777" width="11.5703125" style="21"/>
    <col min="778" max="778" width="12.85546875" style="21" customWidth="1"/>
    <col min="779" max="780" width="11.5703125" style="21"/>
    <col min="781" max="781" width="2.140625" style="21" customWidth="1"/>
    <col min="782" max="1024" width="11.5703125" style="21"/>
    <col min="1025" max="1025" width="13.140625" style="21" customWidth="1"/>
    <col min="1026" max="1026" width="9.42578125" style="21" customWidth="1"/>
    <col min="1027" max="1027" width="9.140625" style="21" customWidth="1"/>
    <col min="1028" max="1028" width="10.140625" style="21" customWidth="1"/>
    <col min="1029" max="1029" width="11.5703125" style="21"/>
    <col min="1030" max="1030" width="10" style="21" customWidth="1"/>
    <col min="1031" max="1031" width="17.5703125" style="21" customWidth="1"/>
    <col min="1032" max="1032" width="5" style="21" customWidth="1"/>
    <col min="1033" max="1033" width="11.5703125" style="21"/>
    <col min="1034" max="1034" width="12.85546875" style="21" customWidth="1"/>
    <col min="1035" max="1036" width="11.5703125" style="21"/>
    <col min="1037" max="1037" width="2.140625" style="21" customWidth="1"/>
    <col min="1038" max="1280" width="11.5703125" style="21"/>
    <col min="1281" max="1281" width="13.140625" style="21" customWidth="1"/>
    <col min="1282" max="1282" width="9.42578125" style="21" customWidth="1"/>
    <col min="1283" max="1283" width="9.140625" style="21" customWidth="1"/>
    <col min="1284" max="1284" width="10.140625" style="21" customWidth="1"/>
    <col min="1285" max="1285" width="11.5703125" style="21"/>
    <col min="1286" max="1286" width="10" style="21" customWidth="1"/>
    <col min="1287" max="1287" width="17.5703125" style="21" customWidth="1"/>
    <col min="1288" max="1288" width="5" style="21" customWidth="1"/>
    <col min="1289" max="1289" width="11.5703125" style="21"/>
    <col min="1290" max="1290" width="12.85546875" style="21" customWidth="1"/>
    <col min="1291" max="1292" width="11.5703125" style="21"/>
    <col min="1293" max="1293" width="2.140625" style="21" customWidth="1"/>
    <col min="1294" max="1536" width="11.5703125" style="21"/>
    <col min="1537" max="1537" width="13.140625" style="21" customWidth="1"/>
    <col min="1538" max="1538" width="9.42578125" style="21" customWidth="1"/>
    <col min="1539" max="1539" width="9.140625" style="21" customWidth="1"/>
    <col min="1540" max="1540" width="10.140625" style="21" customWidth="1"/>
    <col min="1541" max="1541" width="11.5703125" style="21"/>
    <col min="1542" max="1542" width="10" style="21" customWidth="1"/>
    <col min="1543" max="1543" width="17.5703125" style="21" customWidth="1"/>
    <col min="1544" max="1544" width="5" style="21" customWidth="1"/>
    <col min="1545" max="1545" width="11.5703125" style="21"/>
    <col min="1546" max="1546" width="12.85546875" style="21" customWidth="1"/>
    <col min="1547" max="1548" width="11.5703125" style="21"/>
    <col min="1549" max="1549" width="2.140625" style="21" customWidth="1"/>
    <col min="1550" max="1792" width="11.5703125" style="21"/>
    <col min="1793" max="1793" width="13.140625" style="21" customWidth="1"/>
    <col min="1794" max="1794" width="9.42578125" style="21" customWidth="1"/>
    <col min="1795" max="1795" width="9.140625" style="21" customWidth="1"/>
    <col min="1796" max="1796" width="10.140625" style="21" customWidth="1"/>
    <col min="1797" max="1797" width="11.5703125" style="21"/>
    <col min="1798" max="1798" width="10" style="21" customWidth="1"/>
    <col min="1799" max="1799" width="17.5703125" style="21" customWidth="1"/>
    <col min="1800" max="1800" width="5" style="21" customWidth="1"/>
    <col min="1801" max="1801" width="11.5703125" style="21"/>
    <col min="1802" max="1802" width="12.85546875" style="21" customWidth="1"/>
    <col min="1803" max="1804" width="11.5703125" style="21"/>
    <col min="1805" max="1805" width="2.140625" style="21" customWidth="1"/>
    <col min="1806" max="2048" width="11.5703125" style="21"/>
    <col min="2049" max="2049" width="13.140625" style="21" customWidth="1"/>
    <col min="2050" max="2050" width="9.42578125" style="21" customWidth="1"/>
    <col min="2051" max="2051" width="9.140625" style="21" customWidth="1"/>
    <col min="2052" max="2052" width="10.140625" style="21" customWidth="1"/>
    <col min="2053" max="2053" width="11.5703125" style="21"/>
    <col min="2054" max="2054" width="10" style="21" customWidth="1"/>
    <col min="2055" max="2055" width="17.5703125" style="21" customWidth="1"/>
    <col min="2056" max="2056" width="5" style="21" customWidth="1"/>
    <col min="2057" max="2057" width="11.5703125" style="21"/>
    <col min="2058" max="2058" width="12.85546875" style="21" customWidth="1"/>
    <col min="2059" max="2060" width="11.5703125" style="21"/>
    <col min="2061" max="2061" width="2.140625" style="21" customWidth="1"/>
    <col min="2062" max="2304" width="11.5703125" style="21"/>
    <col min="2305" max="2305" width="13.140625" style="21" customWidth="1"/>
    <col min="2306" max="2306" width="9.42578125" style="21" customWidth="1"/>
    <col min="2307" max="2307" width="9.140625" style="21" customWidth="1"/>
    <col min="2308" max="2308" width="10.140625" style="21" customWidth="1"/>
    <col min="2309" max="2309" width="11.5703125" style="21"/>
    <col min="2310" max="2310" width="10" style="21" customWidth="1"/>
    <col min="2311" max="2311" width="17.5703125" style="21" customWidth="1"/>
    <col min="2312" max="2312" width="5" style="21" customWidth="1"/>
    <col min="2313" max="2313" width="11.5703125" style="21"/>
    <col min="2314" max="2314" width="12.85546875" style="21" customWidth="1"/>
    <col min="2315" max="2316" width="11.5703125" style="21"/>
    <col min="2317" max="2317" width="2.140625" style="21" customWidth="1"/>
    <col min="2318" max="2560" width="11.5703125" style="21"/>
    <col min="2561" max="2561" width="13.140625" style="21" customWidth="1"/>
    <col min="2562" max="2562" width="9.42578125" style="21" customWidth="1"/>
    <col min="2563" max="2563" width="9.140625" style="21" customWidth="1"/>
    <col min="2564" max="2564" width="10.140625" style="21" customWidth="1"/>
    <col min="2565" max="2565" width="11.5703125" style="21"/>
    <col min="2566" max="2566" width="10" style="21" customWidth="1"/>
    <col min="2567" max="2567" width="17.5703125" style="21" customWidth="1"/>
    <col min="2568" max="2568" width="5" style="21" customWidth="1"/>
    <col min="2569" max="2569" width="11.5703125" style="21"/>
    <col min="2570" max="2570" width="12.85546875" style="21" customWidth="1"/>
    <col min="2571" max="2572" width="11.5703125" style="21"/>
    <col min="2573" max="2573" width="2.140625" style="21" customWidth="1"/>
    <col min="2574" max="2816" width="11.5703125" style="21"/>
    <col min="2817" max="2817" width="13.140625" style="21" customWidth="1"/>
    <col min="2818" max="2818" width="9.42578125" style="21" customWidth="1"/>
    <col min="2819" max="2819" width="9.140625" style="21" customWidth="1"/>
    <col min="2820" max="2820" width="10.140625" style="21" customWidth="1"/>
    <col min="2821" max="2821" width="11.5703125" style="21"/>
    <col min="2822" max="2822" width="10" style="21" customWidth="1"/>
    <col min="2823" max="2823" width="17.5703125" style="21" customWidth="1"/>
    <col min="2824" max="2824" width="5" style="21" customWidth="1"/>
    <col min="2825" max="2825" width="11.5703125" style="21"/>
    <col min="2826" max="2826" width="12.85546875" style="21" customWidth="1"/>
    <col min="2827" max="2828" width="11.5703125" style="21"/>
    <col min="2829" max="2829" width="2.140625" style="21" customWidth="1"/>
    <col min="2830" max="3072" width="11.5703125" style="21"/>
    <col min="3073" max="3073" width="13.140625" style="21" customWidth="1"/>
    <col min="3074" max="3074" width="9.42578125" style="21" customWidth="1"/>
    <col min="3075" max="3075" width="9.140625" style="21" customWidth="1"/>
    <col min="3076" max="3076" width="10.140625" style="21" customWidth="1"/>
    <col min="3077" max="3077" width="11.5703125" style="21"/>
    <col min="3078" max="3078" width="10" style="21" customWidth="1"/>
    <col min="3079" max="3079" width="17.5703125" style="21" customWidth="1"/>
    <col min="3080" max="3080" width="5" style="21" customWidth="1"/>
    <col min="3081" max="3081" width="11.5703125" style="21"/>
    <col min="3082" max="3082" width="12.85546875" style="21" customWidth="1"/>
    <col min="3083" max="3084" width="11.5703125" style="21"/>
    <col min="3085" max="3085" width="2.140625" style="21" customWidth="1"/>
    <col min="3086" max="3328" width="11.5703125" style="21"/>
    <col min="3329" max="3329" width="13.140625" style="21" customWidth="1"/>
    <col min="3330" max="3330" width="9.42578125" style="21" customWidth="1"/>
    <col min="3331" max="3331" width="9.140625" style="21" customWidth="1"/>
    <col min="3332" max="3332" width="10.140625" style="21" customWidth="1"/>
    <col min="3333" max="3333" width="11.5703125" style="21"/>
    <col min="3334" max="3334" width="10" style="21" customWidth="1"/>
    <col min="3335" max="3335" width="17.5703125" style="21" customWidth="1"/>
    <col min="3336" max="3336" width="5" style="21" customWidth="1"/>
    <col min="3337" max="3337" width="11.5703125" style="21"/>
    <col min="3338" max="3338" width="12.85546875" style="21" customWidth="1"/>
    <col min="3339" max="3340" width="11.5703125" style="21"/>
    <col min="3341" max="3341" width="2.140625" style="21" customWidth="1"/>
    <col min="3342" max="3584" width="11.5703125" style="21"/>
    <col min="3585" max="3585" width="13.140625" style="21" customWidth="1"/>
    <col min="3586" max="3586" width="9.42578125" style="21" customWidth="1"/>
    <col min="3587" max="3587" width="9.140625" style="21" customWidth="1"/>
    <col min="3588" max="3588" width="10.140625" style="21" customWidth="1"/>
    <col min="3589" max="3589" width="11.5703125" style="21"/>
    <col min="3590" max="3590" width="10" style="21" customWidth="1"/>
    <col min="3591" max="3591" width="17.5703125" style="21" customWidth="1"/>
    <col min="3592" max="3592" width="5" style="21" customWidth="1"/>
    <col min="3593" max="3593" width="11.5703125" style="21"/>
    <col min="3594" max="3594" width="12.85546875" style="21" customWidth="1"/>
    <col min="3595" max="3596" width="11.5703125" style="21"/>
    <col min="3597" max="3597" width="2.140625" style="21" customWidth="1"/>
    <col min="3598" max="3840" width="11.5703125" style="21"/>
    <col min="3841" max="3841" width="13.140625" style="21" customWidth="1"/>
    <col min="3842" max="3842" width="9.42578125" style="21" customWidth="1"/>
    <col min="3843" max="3843" width="9.140625" style="21" customWidth="1"/>
    <col min="3844" max="3844" width="10.140625" style="21" customWidth="1"/>
    <col min="3845" max="3845" width="11.5703125" style="21"/>
    <col min="3846" max="3846" width="10" style="21" customWidth="1"/>
    <col min="3847" max="3847" width="17.5703125" style="21" customWidth="1"/>
    <col min="3848" max="3848" width="5" style="21" customWidth="1"/>
    <col min="3849" max="3849" width="11.5703125" style="21"/>
    <col min="3850" max="3850" width="12.85546875" style="21" customWidth="1"/>
    <col min="3851" max="3852" width="11.5703125" style="21"/>
    <col min="3853" max="3853" width="2.140625" style="21" customWidth="1"/>
    <col min="3854" max="4096" width="11.5703125" style="21"/>
    <col min="4097" max="4097" width="13.140625" style="21" customWidth="1"/>
    <col min="4098" max="4098" width="9.42578125" style="21" customWidth="1"/>
    <col min="4099" max="4099" width="9.140625" style="21" customWidth="1"/>
    <col min="4100" max="4100" width="10.140625" style="21" customWidth="1"/>
    <col min="4101" max="4101" width="11.5703125" style="21"/>
    <col min="4102" max="4102" width="10" style="21" customWidth="1"/>
    <col min="4103" max="4103" width="17.5703125" style="21" customWidth="1"/>
    <col min="4104" max="4104" width="5" style="21" customWidth="1"/>
    <col min="4105" max="4105" width="11.5703125" style="21"/>
    <col min="4106" max="4106" width="12.85546875" style="21" customWidth="1"/>
    <col min="4107" max="4108" width="11.5703125" style="21"/>
    <col min="4109" max="4109" width="2.140625" style="21" customWidth="1"/>
    <col min="4110" max="4352" width="11.5703125" style="21"/>
    <col min="4353" max="4353" width="13.140625" style="21" customWidth="1"/>
    <col min="4354" max="4354" width="9.42578125" style="21" customWidth="1"/>
    <col min="4355" max="4355" width="9.140625" style="21" customWidth="1"/>
    <col min="4356" max="4356" width="10.140625" style="21" customWidth="1"/>
    <col min="4357" max="4357" width="11.5703125" style="21"/>
    <col min="4358" max="4358" width="10" style="21" customWidth="1"/>
    <col min="4359" max="4359" width="17.5703125" style="21" customWidth="1"/>
    <col min="4360" max="4360" width="5" style="21" customWidth="1"/>
    <col min="4361" max="4361" width="11.5703125" style="21"/>
    <col min="4362" max="4362" width="12.85546875" style="21" customWidth="1"/>
    <col min="4363" max="4364" width="11.5703125" style="21"/>
    <col min="4365" max="4365" width="2.140625" style="21" customWidth="1"/>
    <col min="4366" max="4608" width="11.5703125" style="21"/>
    <col min="4609" max="4609" width="13.140625" style="21" customWidth="1"/>
    <col min="4610" max="4610" width="9.42578125" style="21" customWidth="1"/>
    <col min="4611" max="4611" width="9.140625" style="21" customWidth="1"/>
    <col min="4612" max="4612" width="10.140625" style="21" customWidth="1"/>
    <col min="4613" max="4613" width="11.5703125" style="21"/>
    <col min="4614" max="4614" width="10" style="21" customWidth="1"/>
    <col min="4615" max="4615" width="17.5703125" style="21" customWidth="1"/>
    <col min="4616" max="4616" width="5" style="21" customWidth="1"/>
    <col min="4617" max="4617" width="11.5703125" style="21"/>
    <col min="4618" max="4618" width="12.85546875" style="21" customWidth="1"/>
    <col min="4619" max="4620" width="11.5703125" style="21"/>
    <col min="4621" max="4621" width="2.140625" style="21" customWidth="1"/>
    <col min="4622" max="4864" width="11.5703125" style="21"/>
    <col min="4865" max="4865" width="13.140625" style="21" customWidth="1"/>
    <col min="4866" max="4866" width="9.42578125" style="21" customWidth="1"/>
    <col min="4867" max="4867" width="9.140625" style="21" customWidth="1"/>
    <col min="4868" max="4868" width="10.140625" style="21" customWidth="1"/>
    <col min="4869" max="4869" width="11.5703125" style="21"/>
    <col min="4870" max="4870" width="10" style="21" customWidth="1"/>
    <col min="4871" max="4871" width="17.5703125" style="21" customWidth="1"/>
    <col min="4872" max="4872" width="5" style="21" customWidth="1"/>
    <col min="4873" max="4873" width="11.5703125" style="21"/>
    <col min="4874" max="4874" width="12.85546875" style="21" customWidth="1"/>
    <col min="4875" max="4876" width="11.5703125" style="21"/>
    <col min="4877" max="4877" width="2.140625" style="21" customWidth="1"/>
    <col min="4878" max="5120" width="11.5703125" style="21"/>
    <col min="5121" max="5121" width="13.140625" style="21" customWidth="1"/>
    <col min="5122" max="5122" width="9.42578125" style="21" customWidth="1"/>
    <col min="5123" max="5123" width="9.140625" style="21" customWidth="1"/>
    <col min="5124" max="5124" width="10.140625" style="21" customWidth="1"/>
    <col min="5125" max="5125" width="11.5703125" style="21"/>
    <col min="5126" max="5126" width="10" style="21" customWidth="1"/>
    <col min="5127" max="5127" width="17.5703125" style="21" customWidth="1"/>
    <col min="5128" max="5128" width="5" style="21" customWidth="1"/>
    <col min="5129" max="5129" width="11.5703125" style="21"/>
    <col min="5130" max="5130" width="12.85546875" style="21" customWidth="1"/>
    <col min="5131" max="5132" width="11.5703125" style="21"/>
    <col min="5133" max="5133" width="2.140625" style="21" customWidth="1"/>
    <col min="5134" max="5376" width="11.5703125" style="21"/>
    <col min="5377" max="5377" width="13.140625" style="21" customWidth="1"/>
    <col min="5378" max="5378" width="9.42578125" style="21" customWidth="1"/>
    <col min="5379" max="5379" width="9.140625" style="21" customWidth="1"/>
    <col min="5380" max="5380" width="10.140625" style="21" customWidth="1"/>
    <col min="5381" max="5381" width="11.5703125" style="21"/>
    <col min="5382" max="5382" width="10" style="21" customWidth="1"/>
    <col min="5383" max="5383" width="17.5703125" style="21" customWidth="1"/>
    <col min="5384" max="5384" width="5" style="21" customWidth="1"/>
    <col min="5385" max="5385" width="11.5703125" style="21"/>
    <col min="5386" max="5386" width="12.85546875" style="21" customWidth="1"/>
    <col min="5387" max="5388" width="11.5703125" style="21"/>
    <col min="5389" max="5389" width="2.140625" style="21" customWidth="1"/>
    <col min="5390" max="5632" width="11.5703125" style="21"/>
    <col min="5633" max="5633" width="13.140625" style="21" customWidth="1"/>
    <col min="5634" max="5634" width="9.42578125" style="21" customWidth="1"/>
    <col min="5635" max="5635" width="9.140625" style="21" customWidth="1"/>
    <col min="5636" max="5636" width="10.140625" style="21" customWidth="1"/>
    <col min="5637" max="5637" width="11.5703125" style="21"/>
    <col min="5638" max="5638" width="10" style="21" customWidth="1"/>
    <col min="5639" max="5639" width="17.5703125" style="21" customWidth="1"/>
    <col min="5640" max="5640" width="5" style="21" customWidth="1"/>
    <col min="5641" max="5641" width="11.5703125" style="21"/>
    <col min="5642" max="5642" width="12.85546875" style="21" customWidth="1"/>
    <col min="5643" max="5644" width="11.5703125" style="21"/>
    <col min="5645" max="5645" width="2.140625" style="21" customWidth="1"/>
    <col min="5646" max="5888" width="11.5703125" style="21"/>
    <col min="5889" max="5889" width="13.140625" style="21" customWidth="1"/>
    <col min="5890" max="5890" width="9.42578125" style="21" customWidth="1"/>
    <col min="5891" max="5891" width="9.140625" style="21" customWidth="1"/>
    <col min="5892" max="5892" width="10.140625" style="21" customWidth="1"/>
    <col min="5893" max="5893" width="11.5703125" style="21"/>
    <col min="5894" max="5894" width="10" style="21" customWidth="1"/>
    <col min="5895" max="5895" width="17.5703125" style="21" customWidth="1"/>
    <col min="5896" max="5896" width="5" style="21" customWidth="1"/>
    <col min="5897" max="5897" width="11.5703125" style="21"/>
    <col min="5898" max="5898" width="12.85546875" style="21" customWidth="1"/>
    <col min="5899" max="5900" width="11.5703125" style="21"/>
    <col min="5901" max="5901" width="2.140625" style="21" customWidth="1"/>
    <col min="5902" max="6144" width="11.5703125" style="21"/>
    <col min="6145" max="6145" width="13.140625" style="21" customWidth="1"/>
    <col min="6146" max="6146" width="9.42578125" style="21" customWidth="1"/>
    <col min="6147" max="6147" width="9.140625" style="21" customWidth="1"/>
    <col min="6148" max="6148" width="10.140625" style="21" customWidth="1"/>
    <col min="6149" max="6149" width="11.5703125" style="21"/>
    <col min="6150" max="6150" width="10" style="21" customWidth="1"/>
    <col min="6151" max="6151" width="17.5703125" style="21" customWidth="1"/>
    <col min="6152" max="6152" width="5" style="21" customWidth="1"/>
    <col min="6153" max="6153" width="11.5703125" style="21"/>
    <col min="6154" max="6154" width="12.85546875" style="21" customWidth="1"/>
    <col min="6155" max="6156" width="11.5703125" style="21"/>
    <col min="6157" max="6157" width="2.140625" style="21" customWidth="1"/>
    <col min="6158" max="6400" width="11.5703125" style="21"/>
    <col min="6401" max="6401" width="13.140625" style="21" customWidth="1"/>
    <col min="6402" max="6402" width="9.42578125" style="21" customWidth="1"/>
    <col min="6403" max="6403" width="9.140625" style="21" customWidth="1"/>
    <col min="6404" max="6404" width="10.140625" style="21" customWidth="1"/>
    <col min="6405" max="6405" width="11.5703125" style="21"/>
    <col min="6406" max="6406" width="10" style="21" customWidth="1"/>
    <col min="6407" max="6407" width="17.5703125" style="21" customWidth="1"/>
    <col min="6408" max="6408" width="5" style="21" customWidth="1"/>
    <col min="6409" max="6409" width="11.5703125" style="21"/>
    <col min="6410" max="6410" width="12.85546875" style="21" customWidth="1"/>
    <col min="6411" max="6412" width="11.5703125" style="21"/>
    <col min="6413" max="6413" width="2.140625" style="21" customWidth="1"/>
    <col min="6414" max="6656" width="11.5703125" style="21"/>
    <col min="6657" max="6657" width="13.140625" style="21" customWidth="1"/>
    <col min="6658" max="6658" width="9.42578125" style="21" customWidth="1"/>
    <col min="6659" max="6659" width="9.140625" style="21" customWidth="1"/>
    <col min="6660" max="6660" width="10.140625" style="21" customWidth="1"/>
    <col min="6661" max="6661" width="11.5703125" style="21"/>
    <col min="6662" max="6662" width="10" style="21" customWidth="1"/>
    <col min="6663" max="6663" width="17.5703125" style="21" customWidth="1"/>
    <col min="6664" max="6664" width="5" style="21" customWidth="1"/>
    <col min="6665" max="6665" width="11.5703125" style="21"/>
    <col min="6666" max="6666" width="12.85546875" style="21" customWidth="1"/>
    <col min="6667" max="6668" width="11.5703125" style="21"/>
    <col min="6669" max="6669" width="2.140625" style="21" customWidth="1"/>
    <col min="6670" max="6912" width="11.5703125" style="21"/>
    <col min="6913" max="6913" width="13.140625" style="21" customWidth="1"/>
    <col min="6914" max="6914" width="9.42578125" style="21" customWidth="1"/>
    <col min="6915" max="6915" width="9.140625" style="21" customWidth="1"/>
    <col min="6916" max="6916" width="10.140625" style="21" customWidth="1"/>
    <col min="6917" max="6917" width="11.5703125" style="21"/>
    <col min="6918" max="6918" width="10" style="21" customWidth="1"/>
    <col min="6919" max="6919" width="17.5703125" style="21" customWidth="1"/>
    <col min="6920" max="6920" width="5" style="21" customWidth="1"/>
    <col min="6921" max="6921" width="11.5703125" style="21"/>
    <col min="6922" max="6922" width="12.85546875" style="21" customWidth="1"/>
    <col min="6923" max="6924" width="11.5703125" style="21"/>
    <col min="6925" max="6925" width="2.140625" style="21" customWidth="1"/>
    <col min="6926" max="7168" width="11.5703125" style="21"/>
    <col min="7169" max="7169" width="13.140625" style="21" customWidth="1"/>
    <col min="7170" max="7170" width="9.42578125" style="21" customWidth="1"/>
    <col min="7171" max="7171" width="9.140625" style="21" customWidth="1"/>
    <col min="7172" max="7172" width="10.140625" style="21" customWidth="1"/>
    <col min="7173" max="7173" width="11.5703125" style="21"/>
    <col min="7174" max="7174" width="10" style="21" customWidth="1"/>
    <col min="7175" max="7175" width="17.5703125" style="21" customWidth="1"/>
    <col min="7176" max="7176" width="5" style="21" customWidth="1"/>
    <col min="7177" max="7177" width="11.5703125" style="21"/>
    <col min="7178" max="7178" width="12.85546875" style="21" customWidth="1"/>
    <col min="7179" max="7180" width="11.5703125" style="21"/>
    <col min="7181" max="7181" width="2.140625" style="21" customWidth="1"/>
    <col min="7182" max="7424" width="11.5703125" style="21"/>
    <col min="7425" max="7425" width="13.140625" style="21" customWidth="1"/>
    <col min="7426" max="7426" width="9.42578125" style="21" customWidth="1"/>
    <col min="7427" max="7427" width="9.140625" style="21" customWidth="1"/>
    <col min="7428" max="7428" width="10.140625" style="21" customWidth="1"/>
    <col min="7429" max="7429" width="11.5703125" style="21"/>
    <col min="7430" max="7430" width="10" style="21" customWidth="1"/>
    <col min="7431" max="7431" width="17.5703125" style="21" customWidth="1"/>
    <col min="7432" max="7432" width="5" style="21" customWidth="1"/>
    <col min="7433" max="7433" width="11.5703125" style="21"/>
    <col min="7434" max="7434" width="12.85546875" style="21" customWidth="1"/>
    <col min="7435" max="7436" width="11.5703125" style="21"/>
    <col min="7437" max="7437" width="2.140625" style="21" customWidth="1"/>
    <col min="7438" max="7680" width="11.5703125" style="21"/>
    <col min="7681" max="7681" width="13.140625" style="21" customWidth="1"/>
    <col min="7682" max="7682" width="9.42578125" style="21" customWidth="1"/>
    <col min="7683" max="7683" width="9.140625" style="21" customWidth="1"/>
    <col min="7684" max="7684" width="10.140625" style="21" customWidth="1"/>
    <col min="7685" max="7685" width="11.5703125" style="21"/>
    <col min="7686" max="7686" width="10" style="21" customWidth="1"/>
    <col min="7687" max="7687" width="17.5703125" style="21" customWidth="1"/>
    <col min="7688" max="7688" width="5" style="21" customWidth="1"/>
    <col min="7689" max="7689" width="11.5703125" style="21"/>
    <col min="7690" max="7690" width="12.85546875" style="21" customWidth="1"/>
    <col min="7691" max="7692" width="11.5703125" style="21"/>
    <col min="7693" max="7693" width="2.140625" style="21" customWidth="1"/>
    <col min="7694" max="7936" width="11.5703125" style="21"/>
    <col min="7937" max="7937" width="13.140625" style="21" customWidth="1"/>
    <col min="7938" max="7938" width="9.42578125" style="21" customWidth="1"/>
    <col min="7939" max="7939" width="9.140625" style="21" customWidth="1"/>
    <col min="7940" max="7940" width="10.140625" style="21" customWidth="1"/>
    <col min="7941" max="7941" width="11.5703125" style="21"/>
    <col min="7942" max="7942" width="10" style="21" customWidth="1"/>
    <col min="7943" max="7943" width="17.5703125" style="21" customWidth="1"/>
    <col min="7944" max="7944" width="5" style="21" customWidth="1"/>
    <col min="7945" max="7945" width="11.5703125" style="21"/>
    <col min="7946" max="7946" width="12.85546875" style="21" customWidth="1"/>
    <col min="7947" max="7948" width="11.5703125" style="21"/>
    <col min="7949" max="7949" width="2.140625" style="21" customWidth="1"/>
    <col min="7950" max="8192" width="11.5703125" style="21"/>
    <col min="8193" max="8193" width="13.140625" style="21" customWidth="1"/>
    <col min="8194" max="8194" width="9.42578125" style="21" customWidth="1"/>
    <col min="8195" max="8195" width="9.140625" style="21" customWidth="1"/>
    <col min="8196" max="8196" width="10.140625" style="21" customWidth="1"/>
    <col min="8197" max="8197" width="11.5703125" style="21"/>
    <col min="8198" max="8198" width="10" style="21" customWidth="1"/>
    <col min="8199" max="8199" width="17.5703125" style="21" customWidth="1"/>
    <col min="8200" max="8200" width="5" style="21" customWidth="1"/>
    <col min="8201" max="8201" width="11.5703125" style="21"/>
    <col min="8202" max="8202" width="12.85546875" style="21" customWidth="1"/>
    <col min="8203" max="8204" width="11.5703125" style="21"/>
    <col min="8205" max="8205" width="2.140625" style="21" customWidth="1"/>
    <col min="8206" max="8448" width="11.5703125" style="21"/>
    <col min="8449" max="8449" width="13.140625" style="21" customWidth="1"/>
    <col min="8450" max="8450" width="9.42578125" style="21" customWidth="1"/>
    <col min="8451" max="8451" width="9.140625" style="21" customWidth="1"/>
    <col min="8452" max="8452" width="10.140625" style="21" customWidth="1"/>
    <col min="8453" max="8453" width="11.5703125" style="21"/>
    <col min="8454" max="8454" width="10" style="21" customWidth="1"/>
    <col min="8455" max="8455" width="17.5703125" style="21" customWidth="1"/>
    <col min="8456" max="8456" width="5" style="21" customWidth="1"/>
    <col min="8457" max="8457" width="11.5703125" style="21"/>
    <col min="8458" max="8458" width="12.85546875" style="21" customWidth="1"/>
    <col min="8459" max="8460" width="11.5703125" style="21"/>
    <col min="8461" max="8461" width="2.140625" style="21" customWidth="1"/>
    <col min="8462" max="8704" width="11.5703125" style="21"/>
    <col min="8705" max="8705" width="13.140625" style="21" customWidth="1"/>
    <col min="8706" max="8706" width="9.42578125" style="21" customWidth="1"/>
    <col min="8707" max="8707" width="9.140625" style="21" customWidth="1"/>
    <col min="8708" max="8708" width="10.140625" style="21" customWidth="1"/>
    <col min="8709" max="8709" width="11.5703125" style="21"/>
    <col min="8710" max="8710" width="10" style="21" customWidth="1"/>
    <col min="8711" max="8711" width="17.5703125" style="21" customWidth="1"/>
    <col min="8712" max="8712" width="5" style="21" customWidth="1"/>
    <col min="8713" max="8713" width="11.5703125" style="21"/>
    <col min="8714" max="8714" width="12.85546875" style="21" customWidth="1"/>
    <col min="8715" max="8716" width="11.5703125" style="21"/>
    <col min="8717" max="8717" width="2.140625" style="21" customWidth="1"/>
    <col min="8718" max="8960" width="11.5703125" style="21"/>
    <col min="8961" max="8961" width="13.140625" style="21" customWidth="1"/>
    <col min="8962" max="8962" width="9.42578125" style="21" customWidth="1"/>
    <col min="8963" max="8963" width="9.140625" style="21" customWidth="1"/>
    <col min="8964" max="8964" width="10.140625" style="21" customWidth="1"/>
    <col min="8965" max="8965" width="11.5703125" style="21"/>
    <col min="8966" max="8966" width="10" style="21" customWidth="1"/>
    <col min="8967" max="8967" width="17.5703125" style="21" customWidth="1"/>
    <col min="8968" max="8968" width="5" style="21" customWidth="1"/>
    <col min="8969" max="8969" width="11.5703125" style="21"/>
    <col min="8970" max="8970" width="12.85546875" style="21" customWidth="1"/>
    <col min="8971" max="8972" width="11.5703125" style="21"/>
    <col min="8973" max="8973" width="2.140625" style="21" customWidth="1"/>
    <col min="8974" max="9216" width="11.5703125" style="21"/>
    <col min="9217" max="9217" width="13.140625" style="21" customWidth="1"/>
    <col min="9218" max="9218" width="9.42578125" style="21" customWidth="1"/>
    <col min="9219" max="9219" width="9.140625" style="21" customWidth="1"/>
    <col min="9220" max="9220" width="10.140625" style="21" customWidth="1"/>
    <col min="9221" max="9221" width="11.5703125" style="21"/>
    <col min="9222" max="9222" width="10" style="21" customWidth="1"/>
    <col min="9223" max="9223" width="17.5703125" style="21" customWidth="1"/>
    <col min="9224" max="9224" width="5" style="21" customWidth="1"/>
    <col min="9225" max="9225" width="11.5703125" style="21"/>
    <col min="9226" max="9226" width="12.85546875" style="21" customWidth="1"/>
    <col min="9227" max="9228" width="11.5703125" style="21"/>
    <col min="9229" max="9229" width="2.140625" style="21" customWidth="1"/>
    <col min="9230" max="9472" width="11.5703125" style="21"/>
    <col min="9473" max="9473" width="13.140625" style="21" customWidth="1"/>
    <col min="9474" max="9474" width="9.42578125" style="21" customWidth="1"/>
    <col min="9475" max="9475" width="9.140625" style="21" customWidth="1"/>
    <col min="9476" max="9476" width="10.140625" style="21" customWidth="1"/>
    <col min="9477" max="9477" width="11.5703125" style="21"/>
    <col min="9478" max="9478" width="10" style="21" customWidth="1"/>
    <col min="9479" max="9479" width="17.5703125" style="21" customWidth="1"/>
    <col min="9480" max="9480" width="5" style="21" customWidth="1"/>
    <col min="9481" max="9481" width="11.5703125" style="21"/>
    <col min="9482" max="9482" width="12.85546875" style="21" customWidth="1"/>
    <col min="9483" max="9484" width="11.5703125" style="21"/>
    <col min="9485" max="9485" width="2.140625" style="21" customWidth="1"/>
    <col min="9486" max="9728" width="11.5703125" style="21"/>
    <col min="9729" max="9729" width="13.140625" style="21" customWidth="1"/>
    <col min="9730" max="9730" width="9.42578125" style="21" customWidth="1"/>
    <col min="9731" max="9731" width="9.140625" style="21" customWidth="1"/>
    <col min="9732" max="9732" width="10.140625" style="21" customWidth="1"/>
    <col min="9733" max="9733" width="11.5703125" style="21"/>
    <col min="9734" max="9734" width="10" style="21" customWidth="1"/>
    <col min="9735" max="9735" width="17.5703125" style="21" customWidth="1"/>
    <col min="9736" max="9736" width="5" style="21" customWidth="1"/>
    <col min="9737" max="9737" width="11.5703125" style="21"/>
    <col min="9738" max="9738" width="12.85546875" style="21" customWidth="1"/>
    <col min="9739" max="9740" width="11.5703125" style="21"/>
    <col min="9741" max="9741" width="2.140625" style="21" customWidth="1"/>
    <col min="9742" max="9984" width="11.5703125" style="21"/>
    <col min="9985" max="9985" width="13.140625" style="21" customWidth="1"/>
    <col min="9986" max="9986" width="9.42578125" style="21" customWidth="1"/>
    <col min="9987" max="9987" width="9.140625" style="21" customWidth="1"/>
    <col min="9988" max="9988" width="10.140625" style="21" customWidth="1"/>
    <col min="9989" max="9989" width="11.5703125" style="21"/>
    <col min="9990" max="9990" width="10" style="21" customWidth="1"/>
    <col min="9991" max="9991" width="17.5703125" style="21" customWidth="1"/>
    <col min="9992" max="9992" width="5" style="21" customWidth="1"/>
    <col min="9993" max="9993" width="11.5703125" style="21"/>
    <col min="9994" max="9994" width="12.85546875" style="21" customWidth="1"/>
    <col min="9995" max="9996" width="11.5703125" style="21"/>
    <col min="9997" max="9997" width="2.140625" style="21" customWidth="1"/>
    <col min="9998" max="10240" width="11.5703125" style="21"/>
    <col min="10241" max="10241" width="13.140625" style="21" customWidth="1"/>
    <col min="10242" max="10242" width="9.42578125" style="21" customWidth="1"/>
    <col min="10243" max="10243" width="9.140625" style="21" customWidth="1"/>
    <col min="10244" max="10244" width="10.140625" style="21" customWidth="1"/>
    <col min="10245" max="10245" width="11.5703125" style="21"/>
    <col min="10246" max="10246" width="10" style="21" customWidth="1"/>
    <col min="10247" max="10247" width="17.5703125" style="21" customWidth="1"/>
    <col min="10248" max="10248" width="5" style="21" customWidth="1"/>
    <col min="10249" max="10249" width="11.5703125" style="21"/>
    <col min="10250" max="10250" width="12.85546875" style="21" customWidth="1"/>
    <col min="10251" max="10252" width="11.5703125" style="21"/>
    <col min="10253" max="10253" width="2.140625" style="21" customWidth="1"/>
    <col min="10254" max="10496" width="11.5703125" style="21"/>
    <col min="10497" max="10497" width="13.140625" style="21" customWidth="1"/>
    <col min="10498" max="10498" width="9.42578125" style="21" customWidth="1"/>
    <col min="10499" max="10499" width="9.140625" style="21" customWidth="1"/>
    <col min="10500" max="10500" width="10.140625" style="21" customWidth="1"/>
    <col min="10501" max="10501" width="11.5703125" style="21"/>
    <col min="10502" max="10502" width="10" style="21" customWidth="1"/>
    <col min="10503" max="10503" width="17.5703125" style="21" customWidth="1"/>
    <col min="10504" max="10504" width="5" style="21" customWidth="1"/>
    <col min="10505" max="10505" width="11.5703125" style="21"/>
    <col min="10506" max="10506" width="12.85546875" style="21" customWidth="1"/>
    <col min="10507" max="10508" width="11.5703125" style="21"/>
    <col min="10509" max="10509" width="2.140625" style="21" customWidth="1"/>
    <col min="10510" max="10752" width="11.5703125" style="21"/>
    <col min="10753" max="10753" width="13.140625" style="21" customWidth="1"/>
    <col min="10754" max="10754" width="9.42578125" style="21" customWidth="1"/>
    <col min="10755" max="10755" width="9.140625" style="21" customWidth="1"/>
    <col min="10756" max="10756" width="10.140625" style="21" customWidth="1"/>
    <col min="10757" max="10757" width="11.5703125" style="21"/>
    <col min="10758" max="10758" width="10" style="21" customWidth="1"/>
    <col min="10759" max="10759" width="17.5703125" style="21" customWidth="1"/>
    <col min="10760" max="10760" width="5" style="21" customWidth="1"/>
    <col min="10761" max="10761" width="11.5703125" style="21"/>
    <col min="10762" max="10762" width="12.85546875" style="21" customWidth="1"/>
    <col min="10763" max="10764" width="11.5703125" style="21"/>
    <col min="10765" max="10765" width="2.140625" style="21" customWidth="1"/>
    <col min="10766" max="11008" width="11.5703125" style="21"/>
    <col min="11009" max="11009" width="13.140625" style="21" customWidth="1"/>
    <col min="11010" max="11010" width="9.42578125" style="21" customWidth="1"/>
    <col min="11011" max="11011" width="9.140625" style="21" customWidth="1"/>
    <col min="11012" max="11012" width="10.140625" style="21" customWidth="1"/>
    <col min="11013" max="11013" width="11.5703125" style="21"/>
    <col min="11014" max="11014" width="10" style="21" customWidth="1"/>
    <col min="11015" max="11015" width="17.5703125" style="21" customWidth="1"/>
    <col min="11016" max="11016" width="5" style="21" customWidth="1"/>
    <col min="11017" max="11017" width="11.5703125" style="21"/>
    <col min="11018" max="11018" width="12.85546875" style="21" customWidth="1"/>
    <col min="11019" max="11020" width="11.5703125" style="21"/>
    <col min="11021" max="11021" width="2.140625" style="21" customWidth="1"/>
    <col min="11022" max="11264" width="11.5703125" style="21"/>
    <col min="11265" max="11265" width="13.140625" style="21" customWidth="1"/>
    <col min="11266" max="11266" width="9.42578125" style="21" customWidth="1"/>
    <col min="11267" max="11267" width="9.140625" style="21" customWidth="1"/>
    <col min="11268" max="11268" width="10.140625" style="21" customWidth="1"/>
    <col min="11269" max="11269" width="11.5703125" style="21"/>
    <col min="11270" max="11270" width="10" style="21" customWidth="1"/>
    <col min="11271" max="11271" width="17.5703125" style="21" customWidth="1"/>
    <col min="11272" max="11272" width="5" style="21" customWidth="1"/>
    <col min="11273" max="11273" width="11.5703125" style="21"/>
    <col min="11274" max="11274" width="12.85546875" style="21" customWidth="1"/>
    <col min="11275" max="11276" width="11.5703125" style="21"/>
    <col min="11277" max="11277" width="2.140625" style="21" customWidth="1"/>
    <col min="11278" max="11520" width="11.5703125" style="21"/>
    <col min="11521" max="11521" width="13.140625" style="21" customWidth="1"/>
    <col min="11522" max="11522" width="9.42578125" style="21" customWidth="1"/>
    <col min="11523" max="11523" width="9.140625" style="21" customWidth="1"/>
    <col min="11524" max="11524" width="10.140625" style="21" customWidth="1"/>
    <col min="11525" max="11525" width="11.5703125" style="21"/>
    <col min="11526" max="11526" width="10" style="21" customWidth="1"/>
    <col min="11527" max="11527" width="17.5703125" style="21" customWidth="1"/>
    <col min="11528" max="11528" width="5" style="21" customWidth="1"/>
    <col min="11529" max="11529" width="11.5703125" style="21"/>
    <col min="11530" max="11530" width="12.85546875" style="21" customWidth="1"/>
    <col min="11531" max="11532" width="11.5703125" style="21"/>
    <col min="11533" max="11533" width="2.140625" style="21" customWidth="1"/>
    <col min="11534" max="11776" width="11.5703125" style="21"/>
    <col min="11777" max="11777" width="13.140625" style="21" customWidth="1"/>
    <col min="11778" max="11778" width="9.42578125" style="21" customWidth="1"/>
    <col min="11779" max="11779" width="9.140625" style="21" customWidth="1"/>
    <col min="11780" max="11780" width="10.140625" style="21" customWidth="1"/>
    <col min="11781" max="11781" width="11.5703125" style="21"/>
    <col min="11782" max="11782" width="10" style="21" customWidth="1"/>
    <col min="11783" max="11783" width="17.5703125" style="21" customWidth="1"/>
    <col min="11784" max="11784" width="5" style="21" customWidth="1"/>
    <col min="11785" max="11785" width="11.5703125" style="21"/>
    <col min="11786" max="11786" width="12.85546875" style="21" customWidth="1"/>
    <col min="11787" max="11788" width="11.5703125" style="21"/>
    <col min="11789" max="11789" width="2.140625" style="21" customWidth="1"/>
    <col min="11790" max="12032" width="11.5703125" style="21"/>
    <col min="12033" max="12033" width="13.140625" style="21" customWidth="1"/>
    <col min="12034" max="12034" width="9.42578125" style="21" customWidth="1"/>
    <col min="12035" max="12035" width="9.140625" style="21" customWidth="1"/>
    <col min="12036" max="12036" width="10.140625" style="21" customWidth="1"/>
    <col min="12037" max="12037" width="11.5703125" style="21"/>
    <col min="12038" max="12038" width="10" style="21" customWidth="1"/>
    <col min="12039" max="12039" width="17.5703125" style="21" customWidth="1"/>
    <col min="12040" max="12040" width="5" style="21" customWidth="1"/>
    <col min="12041" max="12041" width="11.5703125" style="21"/>
    <col min="12042" max="12042" width="12.85546875" style="21" customWidth="1"/>
    <col min="12043" max="12044" width="11.5703125" style="21"/>
    <col min="12045" max="12045" width="2.140625" style="21" customWidth="1"/>
    <col min="12046" max="12288" width="11.5703125" style="21"/>
    <col min="12289" max="12289" width="13.140625" style="21" customWidth="1"/>
    <col min="12290" max="12290" width="9.42578125" style="21" customWidth="1"/>
    <col min="12291" max="12291" width="9.140625" style="21" customWidth="1"/>
    <col min="12292" max="12292" width="10.140625" style="21" customWidth="1"/>
    <col min="12293" max="12293" width="11.5703125" style="21"/>
    <col min="12294" max="12294" width="10" style="21" customWidth="1"/>
    <col min="12295" max="12295" width="17.5703125" style="21" customWidth="1"/>
    <col min="12296" max="12296" width="5" style="21" customWidth="1"/>
    <col min="12297" max="12297" width="11.5703125" style="21"/>
    <col min="12298" max="12298" width="12.85546875" style="21" customWidth="1"/>
    <col min="12299" max="12300" width="11.5703125" style="21"/>
    <col min="12301" max="12301" width="2.140625" style="21" customWidth="1"/>
    <col min="12302" max="12544" width="11.5703125" style="21"/>
    <col min="12545" max="12545" width="13.140625" style="21" customWidth="1"/>
    <col min="12546" max="12546" width="9.42578125" style="21" customWidth="1"/>
    <col min="12547" max="12547" width="9.140625" style="21" customWidth="1"/>
    <col min="12548" max="12548" width="10.140625" style="21" customWidth="1"/>
    <col min="12549" max="12549" width="11.5703125" style="21"/>
    <col min="12550" max="12550" width="10" style="21" customWidth="1"/>
    <col min="12551" max="12551" width="17.5703125" style="21" customWidth="1"/>
    <col min="12552" max="12552" width="5" style="21" customWidth="1"/>
    <col min="12553" max="12553" width="11.5703125" style="21"/>
    <col min="12554" max="12554" width="12.85546875" style="21" customWidth="1"/>
    <col min="12555" max="12556" width="11.5703125" style="21"/>
    <col min="12557" max="12557" width="2.140625" style="21" customWidth="1"/>
    <col min="12558" max="12800" width="11.5703125" style="21"/>
    <col min="12801" max="12801" width="13.140625" style="21" customWidth="1"/>
    <col min="12802" max="12802" width="9.42578125" style="21" customWidth="1"/>
    <col min="12803" max="12803" width="9.140625" style="21" customWidth="1"/>
    <col min="12804" max="12804" width="10.140625" style="21" customWidth="1"/>
    <col min="12805" max="12805" width="11.5703125" style="21"/>
    <col min="12806" max="12806" width="10" style="21" customWidth="1"/>
    <col min="12807" max="12807" width="17.5703125" style="21" customWidth="1"/>
    <col min="12808" max="12808" width="5" style="21" customWidth="1"/>
    <col min="12809" max="12809" width="11.5703125" style="21"/>
    <col min="12810" max="12810" width="12.85546875" style="21" customWidth="1"/>
    <col min="12811" max="12812" width="11.5703125" style="21"/>
    <col min="12813" max="12813" width="2.140625" style="21" customWidth="1"/>
    <col min="12814" max="13056" width="11.5703125" style="21"/>
    <col min="13057" max="13057" width="13.140625" style="21" customWidth="1"/>
    <col min="13058" max="13058" width="9.42578125" style="21" customWidth="1"/>
    <col min="13059" max="13059" width="9.140625" style="21" customWidth="1"/>
    <col min="13060" max="13060" width="10.140625" style="21" customWidth="1"/>
    <col min="13061" max="13061" width="11.5703125" style="21"/>
    <col min="13062" max="13062" width="10" style="21" customWidth="1"/>
    <col min="13063" max="13063" width="17.5703125" style="21" customWidth="1"/>
    <col min="13064" max="13064" width="5" style="21" customWidth="1"/>
    <col min="13065" max="13065" width="11.5703125" style="21"/>
    <col min="13066" max="13066" width="12.85546875" style="21" customWidth="1"/>
    <col min="13067" max="13068" width="11.5703125" style="21"/>
    <col min="13069" max="13069" width="2.140625" style="21" customWidth="1"/>
    <col min="13070" max="13312" width="11.5703125" style="21"/>
    <col min="13313" max="13313" width="13.140625" style="21" customWidth="1"/>
    <col min="13314" max="13314" width="9.42578125" style="21" customWidth="1"/>
    <col min="13315" max="13315" width="9.140625" style="21" customWidth="1"/>
    <col min="13316" max="13316" width="10.140625" style="21" customWidth="1"/>
    <col min="13317" max="13317" width="11.5703125" style="21"/>
    <col min="13318" max="13318" width="10" style="21" customWidth="1"/>
    <col min="13319" max="13319" width="17.5703125" style="21" customWidth="1"/>
    <col min="13320" max="13320" width="5" style="21" customWidth="1"/>
    <col min="13321" max="13321" width="11.5703125" style="21"/>
    <col min="13322" max="13322" width="12.85546875" style="21" customWidth="1"/>
    <col min="13323" max="13324" width="11.5703125" style="21"/>
    <col min="13325" max="13325" width="2.140625" style="21" customWidth="1"/>
    <col min="13326" max="13568" width="11.5703125" style="21"/>
    <col min="13569" max="13569" width="13.140625" style="21" customWidth="1"/>
    <col min="13570" max="13570" width="9.42578125" style="21" customWidth="1"/>
    <col min="13571" max="13571" width="9.140625" style="21" customWidth="1"/>
    <col min="13572" max="13572" width="10.140625" style="21" customWidth="1"/>
    <col min="13573" max="13573" width="11.5703125" style="21"/>
    <col min="13574" max="13574" width="10" style="21" customWidth="1"/>
    <col min="13575" max="13575" width="17.5703125" style="21" customWidth="1"/>
    <col min="13576" max="13576" width="5" style="21" customWidth="1"/>
    <col min="13577" max="13577" width="11.5703125" style="21"/>
    <col min="13578" max="13578" width="12.85546875" style="21" customWidth="1"/>
    <col min="13579" max="13580" width="11.5703125" style="21"/>
    <col min="13581" max="13581" width="2.140625" style="21" customWidth="1"/>
    <col min="13582" max="13824" width="11.5703125" style="21"/>
    <col min="13825" max="13825" width="13.140625" style="21" customWidth="1"/>
    <col min="13826" max="13826" width="9.42578125" style="21" customWidth="1"/>
    <col min="13827" max="13827" width="9.140625" style="21" customWidth="1"/>
    <col min="13828" max="13828" width="10.140625" style="21" customWidth="1"/>
    <col min="13829" max="13829" width="11.5703125" style="21"/>
    <col min="13830" max="13830" width="10" style="21" customWidth="1"/>
    <col min="13831" max="13831" width="17.5703125" style="21" customWidth="1"/>
    <col min="13832" max="13832" width="5" style="21" customWidth="1"/>
    <col min="13833" max="13833" width="11.5703125" style="21"/>
    <col min="13834" max="13834" width="12.85546875" style="21" customWidth="1"/>
    <col min="13835" max="13836" width="11.5703125" style="21"/>
    <col min="13837" max="13837" width="2.140625" style="21" customWidth="1"/>
    <col min="13838" max="14080" width="11.5703125" style="21"/>
    <col min="14081" max="14081" width="13.140625" style="21" customWidth="1"/>
    <col min="14082" max="14082" width="9.42578125" style="21" customWidth="1"/>
    <col min="14083" max="14083" width="9.140625" style="21" customWidth="1"/>
    <col min="14084" max="14084" width="10.140625" style="21" customWidth="1"/>
    <col min="14085" max="14085" width="11.5703125" style="21"/>
    <col min="14086" max="14086" width="10" style="21" customWidth="1"/>
    <col min="14087" max="14087" width="17.5703125" style="21" customWidth="1"/>
    <col min="14088" max="14088" width="5" style="21" customWidth="1"/>
    <col min="14089" max="14089" width="11.5703125" style="21"/>
    <col min="14090" max="14090" width="12.85546875" style="21" customWidth="1"/>
    <col min="14091" max="14092" width="11.5703125" style="21"/>
    <col min="14093" max="14093" width="2.140625" style="21" customWidth="1"/>
    <col min="14094" max="14336" width="11.5703125" style="21"/>
    <col min="14337" max="14337" width="13.140625" style="21" customWidth="1"/>
    <col min="14338" max="14338" width="9.42578125" style="21" customWidth="1"/>
    <col min="14339" max="14339" width="9.140625" style="21" customWidth="1"/>
    <col min="14340" max="14340" width="10.140625" style="21" customWidth="1"/>
    <col min="14341" max="14341" width="11.5703125" style="21"/>
    <col min="14342" max="14342" width="10" style="21" customWidth="1"/>
    <col min="14343" max="14343" width="17.5703125" style="21" customWidth="1"/>
    <col min="14344" max="14344" width="5" style="21" customWidth="1"/>
    <col min="14345" max="14345" width="11.5703125" style="21"/>
    <col min="14346" max="14346" width="12.85546875" style="21" customWidth="1"/>
    <col min="14347" max="14348" width="11.5703125" style="21"/>
    <col min="14349" max="14349" width="2.140625" style="21" customWidth="1"/>
    <col min="14350" max="14592" width="11.5703125" style="21"/>
    <col min="14593" max="14593" width="13.140625" style="21" customWidth="1"/>
    <col min="14594" max="14594" width="9.42578125" style="21" customWidth="1"/>
    <col min="14595" max="14595" width="9.140625" style="21" customWidth="1"/>
    <col min="14596" max="14596" width="10.140625" style="21" customWidth="1"/>
    <col min="14597" max="14597" width="11.5703125" style="21"/>
    <col min="14598" max="14598" width="10" style="21" customWidth="1"/>
    <col min="14599" max="14599" width="17.5703125" style="21" customWidth="1"/>
    <col min="14600" max="14600" width="5" style="21" customWidth="1"/>
    <col min="14601" max="14601" width="11.5703125" style="21"/>
    <col min="14602" max="14602" width="12.85546875" style="21" customWidth="1"/>
    <col min="14603" max="14604" width="11.5703125" style="21"/>
    <col min="14605" max="14605" width="2.140625" style="21" customWidth="1"/>
    <col min="14606" max="14848" width="11.5703125" style="21"/>
    <col min="14849" max="14849" width="13.140625" style="21" customWidth="1"/>
    <col min="14850" max="14850" width="9.42578125" style="21" customWidth="1"/>
    <col min="14851" max="14851" width="9.140625" style="21" customWidth="1"/>
    <col min="14852" max="14852" width="10.140625" style="21" customWidth="1"/>
    <col min="14853" max="14853" width="11.5703125" style="21"/>
    <col min="14854" max="14854" width="10" style="21" customWidth="1"/>
    <col min="14855" max="14855" width="17.5703125" style="21" customWidth="1"/>
    <col min="14856" max="14856" width="5" style="21" customWidth="1"/>
    <col min="14857" max="14857" width="11.5703125" style="21"/>
    <col min="14858" max="14858" width="12.85546875" style="21" customWidth="1"/>
    <col min="14859" max="14860" width="11.5703125" style="21"/>
    <col min="14861" max="14861" width="2.140625" style="21" customWidth="1"/>
    <col min="14862" max="15104" width="11.5703125" style="21"/>
    <col min="15105" max="15105" width="13.140625" style="21" customWidth="1"/>
    <col min="15106" max="15106" width="9.42578125" style="21" customWidth="1"/>
    <col min="15107" max="15107" width="9.140625" style="21" customWidth="1"/>
    <col min="15108" max="15108" width="10.140625" style="21" customWidth="1"/>
    <col min="15109" max="15109" width="11.5703125" style="21"/>
    <col min="15110" max="15110" width="10" style="21" customWidth="1"/>
    <col min="15111" max="15111" width="17.5703125" style="21" customWidth="1"/>
    <col min="15112" max="15112" width="5" style="21" customWidth="1"/>
    <col min="15113" max="15113" width="11.5703125" style="21"/>
    <col min="15114" max="15114" width="12.85546875" style="21" customWidth="1"/>
    <col min="15115" max="15116" width="11.5703125" style="21"/>
    <col min="15117" max="15117" width="2.140625" style="21" customWidth="1"/>
    <col min="15118" max="15360" width="11.5703125" style="21"/>
    <col min="15361" max="15361" width="13.140625" style="21" customWidth="1"/>
    <col min="15362" max="15362" width="9.42578125" style="21" customWidth="1"/>
    <col min="15363" max="15363" width="9.140625" style="21" customWidth="1"/>
    <col min="15364" max="15364" width="10.140625" style="21" customWidth="1"/>
    <col min="15365" max="15365" width="11.5703125" style="21"/>
    <col min="15366" max="15366" width="10" style="21" customWidth="1"/>
    <col min="15367" max="15367" width="17.5703125" style="21" customWidth="1"/>
    <col min="15368" max="15368" width="5" style="21" customWidth="1"/>
    <col min="15369" max="15369" width="11.5703125" style="21"/>
    <col min="15370" max="15370" width="12.85546875" style="21" customWidth="1"/>
    <col min="15371" max="15372" width="11.5703125" style="21"/>
    <col min="15373" max="15373" width="2.140625" style="21" customWidth="1"/>
    <col min="15374" max="15616" width="11.5703125" style="21"/>
    <col min="15617" max="15617" width="13.140625" style="21" customWidth="1"/>
    <col min="15618" max="15618" width="9.42578125" style="21" customWidth="1"/>
    <col min="15619" max="15619" width="9.140625" style="21" customWidth="1"/>
    <col min="15620" max="15620" width="10.140625" style="21" customWidth="1"/>
    <col min="15621" max="15621" width="11.5703125" style="21"/>
    <col min="15622" max="15622" width="10" style="21" customWidth="1"/>
    <col min="15623" max="15623" width="17.5703125" style="21" customWidth="1"/>
    <col min="15624" max="15624" width="5" style="21" customWidth="1"/>
    <col min="15625" max="15625" width="11.5703125" style="21"/>
    <col min="15626" max="15626" width="12.85546875" style="21" customWidth="1"/>
    <col min="15627" max="15628" width="11.5703125" style="21"/>
    <col min="15629" max="15629" width="2.140625" style="21" customWidth="1"/>
    <col min="15630" max="15872" width="11.5703125" style="21"/>
    <col min="15873" max="15873" width="13.140625" style="21" customWidth="1"/>
    <col min="15874" max="15874" width="9.42578125" style="21" customWidth="1"/>
    <col min="15875" max="15875" width="9.140625" style="21" customWidth="1"/>
    <col min="15876" max="15876" width="10.140625" style="21" customWidth="1"/>
    <col min="15877" max="15877" width="11.5703125" style="21"/>
    <col min="15878" max="15878" width="10" style="21" customWidth="1"/>
    <col min="15879" max="15879" width="17.5703125" style="21" customWidth="1"/>
    <col min="15880" max="15880" width="5" style="21" customWidth="1"/>
    <col min="15881" max="15881" width="11.5703125" style="21"/>
    <col min="15882" max="15882" width="12.85546875" style="21" customWidth="1"/>
    <col min="15883" max="15884" width="11.5703125" style="21"/>
    <col min="15885" max="15885" width="2.140625" style="21" customWidth="1"/>
    <col min="15886" max="16128" width="11.5703125" style="21"/>
    <col min="16129" max="16129" width="13.140625" style="21" customWidth="1"/>
    <col min="16130" max="16130" width="9.42578125" style="21" customWidth="1"/>
    <col min="16131" max="16131" width="9.140625" style="21" customWidth="1"/>
    <col min="16132" max="16132" width="10.140625" style="21" customWidth="1"/>
    <col min="16133" max="16133" width="11.5703125" style="21"/>
    <col min="16134" max="16134" width="10" style="21" customWidth="1"/>
    <col min="16135" max="16135" width="17.5703125" style="21" customWidth="1"/>
    <col min="16136" max="16136" width="5" style="21" customWidth="1"/>
    <col min="16137" max="16137" width="11.5703125" style="21"/>
    <col min="16138" max="16138" width="12.85546875" style="21" customWidth="1"/>
    <col min="16139" max="16140" width="11.5703125" style="21"/>
    <col min="16141" max="16141" width="2.140625" style="21" customWidth="1"/>
    <col min="16142" max="16384" width="11.5703125" style="21"/>
  </cols>
  <sheetData>
    <row r="1" spans="1:17">
      <c r="A1" s="29" t="s">
        <v>61</v>
      </c>
    </row>
    <row r="2" spans="1:17">
      <c r="A2" s="29" t="s">
        <v>62</v>
      </c>
    </row>
    <row r="3" spans="1:17">
      <c r="A3" s="29" t="s">
        <v>63</v>
      </c>
    </row>
    <row r="4" spans="1:17">
      <c r="A4" s="22"/>
    </row>
    <row r="5" spans="1:17">
      <c r="A5" s="30" t="s">
        <v>89</v>
      </c>
    </row>
    <row r="6" spans="1:17">
      <c r="A6" s="30"/>
    </row>
    <row r="7" spans="1:17">
      <c r="A7" s="24" t="s">
        <v>64</v>
      </c>
      <c r="B7" s="31"/>
      <c r="C7" s="200" t="s">
        <v>347</v>
      </c>
      <c r="D7" s="201"/>
      <c r="E7" s="202"/>
      <c r="F7" s="26"/>
      <c r="G7" s="24" t="s">
        <v>65</v>
      </c>
      <c r="H7" s="200" t="s">
        <v>344</v>
      </c>
      <c r="I7" s="201"/>
      <c r="J7" s="202"/>
    </row>
    <row r="8" spans="1:17">
      <c r="A8" s="24" t="s">
        <v>66</v>
      </c>
      <c r="B8" s="31"/>
      <c r="C8" s="203" t="s">
        <v>151</v>
      </c>
      <c r="D8" s="204"/>
      <c r="E8" s="205"/>
      <c r="F8" s="26"/>
      <c r="G8" s="24" t="s">
        <v>3</v>
      </c>
      <c r="H8" s="200" t="s">
        <v>341</v>
      </c>
      <c r="I8" s="201"/>
      <c r="J8" s="202"/>
    </row>
    <row r="9" spans="1:17">
      <c r="A9" s="24" t="s">
        <v>67</v>
      </c>
      <c r="B9" s="31"/>
      <c r="C9" s="110">
        <v>14</v>
      </c>
      <c r="D9" s="110">
        <v>1</v>
      </c>
      <c r="E9" s="111">
        <v>2025</v>
      </c>
      <c r="F9" s="26"/>
      <c r="G9" s="24" t="s">
        <v>90</v>
      </c>
      <c r="H9" s="110"/>
      <c r="I9" s="110"/>
      <c r="J9" s="111"/>
    </row>
    <row r="10" spans="1:17">
      <c r="A10" s="32"/>
      <c r="C10" s="34" t="s">
        <v>172</v>
      </c>
      <c r="D10" s="34" t="s">
        <v>119</v>
      </c>
      <c r="E10" s="34" t="s">
        <v>120</v>
      </c>
      <c r="F10" s="26"/>
      <c r="G10" s="32"/>
      <c r="H10" s="34" t="s">
        <v>172</v>
      </c>
      <c r="I10" s="34" t="s">
        <v>119</v>
      </c>
      <c r="J10" s="34" t="s">
        <v>120</v>
      </c>
    </row>
    <row r="11" spans="1:17">
      <c r="A11" s="206" t="s">
        <v>91</v>
      </c>
      <c r="B11" s="206"/>
      <c r="C11" s="101"/>
      <c r="D11" s="101"/>
      <c r="E11" s="101"/>
      <c r="F11" s="101"/>
      <c r="G11" s="101"/>
      <c r="H11" s="101"/>
      <c r="I11" s="26"/>
    </row>
    <row r="12" spans="1:17">
      <c r="A12" s="45" t="s">
        <v>95</v>
      </c>
      <c r="B12" s="45">
        <v>2</v>
      </c>
    </row>
    <row r="13" spans="1:17">
      <c r="A13" s="33" t="s">
        <v>325</v>
      </c>
      <c r="B13" s="33" t="s">
        <v>326</v>
      </c>
      <c r="C13" s="34"/>
      <c r="D13" s="207" t="s">
        <v>44</v>
      </c>
      <c r="E13" s="208"/>
      <c r="F13" s="208"/>
      <c r="G13" s="209"/>
      <c r="I13" s="210" t="s">
        <v>82</v>
      </c>
      <c r="J13" s="210"/>
      <c r="K13" s="210"/>
      <c r="L13" s="210"/>
      <c r="N13" s="211" t="s">
        <v>92</v>
      </c>
      <c r="O13" s="211"/>
      <c r="P13" s="211"/>
      <c r="Q13" s="211"/>
    </row>
    <row r="14" spans="1:17">
      <c r="A14" s="35">
        <v>45671</v>
      </c>
      <c r="B14" s="36">
        <v>2</v>
      </c>
      <c r="C14" s="87"/>
      <c r="D14" s="37" t="s">
        <v>93</v>
      </c>
      <c r="E14" s="37" t="s">
        <v>85</v>
      </c>
      <c r="F14" s="37" t="s">
        <v>86</v>
      </c>
      <c r="G14" s="37" t="s">
        <v>50</v>
      </c>
      <c r="H14" s="88"/>
      <c r="I14" s="212" t="s">
        <v>82</v>
      </c>
      <c r="J14" s="212"/>
      <c r="K14" s="37" t="s">
        <v>50</v>
      </c>
      <c r="L14" s="37" t="s">
        <v>43</v>
      </c>
      <c r="N14" s="213" t="s">
        <v>94</v>
      </c>
      <c r="O14" s="213"/>
      <c r="P14" s="33" t="s">
        <v>50</v>
      </c>
      <c r="Q14" s="33" t="s">
        <v>43</v>
      </c>
    </row>
    <row r="15" spans="1:17" ht="13.15" customHeight="1">
      <c r="A15" s="35"/>
      <c r="B15" s="36"/>
      <c r="C15" s="87"/>
      <c r="D15" s="38" t="s">
        <v>22</v>
      </c>
      <c r="E15" s="39"/>
      <c r="F15" s="39"/>
      <c r="G15" s="39"/>
      <c r="H15" s="88"/>
      <c r="I15" s="214" t="s">
        <v>329</v>
      </c>
      <c r="J15" s="215"/>
      <c r="K15" s="39">
        <v>2</v>
      </c>
      <c r="L15" s="81">
        <v>100</v>
      </c>
      <c r="N15" s="216" t="s">
        <v>151</v>
      </c>
      <c r="O15" s="216"/>
      <c r="P15" s="39">
        <v>2</v>
      </c>
      <c r="Q15" s="81">
        <v>100</v>
      </c>
    </row>
    <row r="16" spans="1:17">
      <c r="A16" s="35"/>
      <c r="B16" s="36"/>
      <c r="C16" s="87"/>
      <c r="D16" s="40" t="s">
        <v>23</v>
      </c>
      <c r="E16" s="39"/>
      <c r="F16" s="39"/>
      <c r="G16" s="39"/>
      <c r="H16" s="88"/>
      <c r="I16" s="214" t="s">
        <v>331</v>
      </c>
      <c r="J16" s="215"/>
      <c r="K16" s="39">
        <v>2</v>
      </c>
      <c r="L16" s="81">
        <v>100</v>
      </c>
      <c r="N16" s="216" t="s">
        <v>114</v>
      </c>
      <c r="O16" s="216"/>
      <c r="P16" s="39"/>
      <c r="Q16" s="81"/>
    </row>
    <row r="17" spans="1:17" ht="13.15" customHeight="1">
      <c r="A17" s="35"/>
      <c r="B17" s="36"/>
      <c r="C17" s="87"/>
      <c r="D17" s="41" t="s">
        <v>24</v>
      </c>
      <c r="E17" s="39">
        <v>1</v>
      </c>
      <c r="F17" s="39"/>
      <c r="G17" s="39">
        <v>1</v>
      </c>
      <c r="H17" s="88"/>
      <c r="I17" s="214" t="s">
        <v>336</v>
      </c>
      <c r="J17" s="215"/>
      <c r="K17" s="39">
        <v>2</v>
      </c>
      <c r="L17" s="81">
        <v>100</v>
      </c>
      <c r="N17" s="216" t="s">
        <v>153</v>
      </c>
      <c r="O17" s="216"/>
      <c r="P17" s="39"/>
      <c r="Q17" s="81"/>
    </row>
    <row r="18" spans="1:17" ht="13.15" customHeight="1">
      <c r="A18" s="35"/>
      <c r="B18" s="36"/>
      <c r="C18" s="87"/>
      <c r="D18" s="38" t="s">
        <v>25</v>
      </c>
      <c r="E18" s="39"/>
      <c r="F18" s="39"/>
      <c r="G18" s="39"/>
      <c r="H18" s="88"/>
      <c r="I18" s="214" t="s">
        <v>332</v>
      </c>
      <c r="J18" s="215"/>
      <c r="K18" s="39">
        <v>1</v>
      </c>
      <c r="L18" s="81">
        <v>50</v>
      </c>
      <c r="N18" s="216" t="s">
        <v>154</v>
      </c>
      <c r="O18" s="216"/>
      <c r="P18" s="39"/>
      <c r="Q18" s="81"/>
    </row>
    <row r="19" spans="1:17" ht="13.15" customHeight="1">
      <c r="A19" s="35"/>
      <c r="B19" s="36"/>
      <c r="C19" s="87"/>
      <c r="D19" s="38" t="s">
        <v>26</v>
      </c>
      <c r="E19" s="39"/>
      <c r="F19" s="39"/>
      <c r="G19" s="39"/>
      <c r="I19" s="214" t="s">
        <v>328</v>
      </c>
      <c r="J19" s="215"/>
      <c r="K19" s="39">
        <v>1</v>
      </c>
      <c r="L19" s="81"/>
      <c r="N19" s="216" t="s">
        <v>155</v>
      </c>
      <c r="O19" s="216"/>
      <c r="P19" s="39"/>
      <c r="Q19" s="81"/>
    </row>
    <row r="20" spans="1:17" ht="13.15" customHeight="1">
      <c r="A20" s="35"/>
      <c r="B20" s="36"/>
      <c r="C20" s="87"/>
      <c r="D20" s="38" t="s">
        <v>27</v>
      </c>
      <c r="E20" s="39"/>
      <c r="F20" s="39">
        <v>1</v>
      </c>
      <c r="G20" s="39">
        <v>1</v>
      </c>
      <c r="I20" s="214" t="s">
        <v>330</v>
      </c>
      <c r="J20" s="215"/>
      <c r="K20" s="39">
        <v>2</v>
      </c>
      <c r="L20" s="81"/>
      <c r="N20" s="216" t="s">
        <v>116</v>
      </c>
      <c r="O20" s="216"/>
      <c r="P20" s="39"/>
      <c r="Q20" s="81"/>
    </row>
    <row r="21" spans="1:17" ht="13.15" customHeight="1">
      <c r="A21" s="35"/>
      <c r="B21" s="36"/>
      <c r="C21" s="87"/>
      <c r="D21" s="38" t="s">
        <v>28</v>
      </c>
      <c r="E21" s="39"/>
      <c r="F21" s="39"/>
      <c r="G21" s="39"/>
      <c r="I21" s="214"/>
      <c r="J21" s="215"/>
      <c r="K21" s="39"/>
      <c r="L21" s="81"/>
      <c r="N21" s="222" t="s">
        <v>50</v>
      </c>
      <c r="O21" s="222"/>
      <c r="P21" s="42">
        <v>2</v>
      </c>
      <c r="Q21" s="82">
        <v>100</v>
      </c>
    </row>
    <row r="22" spans="1:17" ht="13.15" customHeight="1">
      <c r="A22" s="35"/>
      <c r="B22" s="36"/>
      <c r="C22" s="87"/>
      <c r="D22" s="38" t="s">
        <v>29</v>
      </c>
      <c r="E22" s="39"/>
      <c r="F22" s="39"/>
      <c r="G22" s="39"/>
      <c r="I22" s="214"/>
      <c r="J22" s="215"/>
      <c r="K22" s="39"/>
      <c r="L22" s="81"/>
      <c r="N22" s="219"/>
      <c r="O22" s="219"/>
      <c r="P22" s="26"/>
      <c r="Q22" s="43"/>
    </row>
    <row r="23" spans="1:17" ht="13.15" customHeight="1">
      <c r="A23" s="35"/>
      <c r="B23" s="36"/>
      <c r="C23" s="87"/>
      <c r="D23" s="44" t="s">
        <v>30</v>
      </c>
      <c r="E23" s="42">
        <v>1</v>
      </c>
      <c r="F23" s="42">
        <v>1</v>
      </c>
      <c r="G23" s="42">
        <v>2</v>
      </c>
      <c r="I23" s="220"/>
      <c r="J23" s="221"/>
      <c r="K23" s="39"/>
      <c r="L23" s="81"/>
      <c r="N23" s="219"/>
      <c r="O23" s="219"/>
      <c r="P23" s="26"/>
      <c r="Q23" s="43"/>
    </row>
    <row r="24" spans="1:17" ht="13.15" customHeight="1">
      <c r="A24" s="35"/>
      <c r="B24" s="36"/>
      <c r="C24" s="87"/>
      <c r="I24" s="220"/>
      <c r="J24" s="221"/>
      <c r="K24" s="39"/>
      <c r="L24" s="81"/>
    </row>
    <row r="25" spans="1:17" ht="13.15" customHeight="1">
      <c r="A25" s="35"/>
      <c r="B25" s="36"/>
      <c r="C25" s="87"/>
      <c r="I25" s="220"/>
      <c r="J25" s="221"/>
      <c r="K25" s="39"/>
      <c r="L25" s="81"/>
    </row>
    <row r="26" spans="1:17" ht="13.15" customHeight="1">
      <c r="A26" s="35"/>
      <c r="B26" s="36"/>
      <c r="C26" s="87"/>
      <c r="I26" s="220"/>
      <c r="J26" s="221"/>
      <c r="K26" s="39"/>
      <c r="L26" s="81"/>
    </row>
    <row r="27" spans="1:17" ht="13.15" customHeight="1">
      <c r="A27" s="35"/>
      <c r="B27" s="36"/>
      <c r="I27" s="220"/>
      <c r="J27" s="221"/>
      <c r="K27" s="39"/>
      <c r="L27" s="81"/>
    </row>
    <row r="28" spans="1:17" ht="13.15" customHeight="1">
      <c r="A28" s="35"/>
      <c r="B28" s="36"/>
      <c r="I28" s="220"/>
      <c r="J28" s="221"/>
      <c r="K28" s="39"/>
      <c r="L28" s="81"/>
    </row>
    <row r="29" spans="1:17">
      <c r="A29" s="35"/>
      <c r="B29" s="36"/>
      <c r="I29" s="217" t="s">
        <v>50</v>
      </c>
      <c r="J29" s="218"/>
      <c r="K29" s="42">
        <v>2</v>
      </c>
      <c r="L29" s="83">
        <v>100</v>
      </c>
    </row>
    <row r="30" spans="1:17">
      <c r="A30" s="35"/>
      <c r="B30" s="36"/>
    </row>
    <row r="31" spans="1:17">
      <c r="A31" s="35"/>
      <c r="B31" s="36"/>
    </row>
    <row r="32" spans="1:17">
      <c r="A32" s="35"/>
      <c r="B32" s="36"/>
    </row>
    <row r="33" spans="1:2">
      <c r="A33" s="35"/>
      <c r="B33" s="36"/>
    </row>
    <row r="34" spans="1:2">
      <c r="A34" s="35"/>
      <c r="B34" s="36"/>
    </row>
    <row r="35" spans="1:2">
      <c r="A35" s="35"/>
      <c r="B35" s="36"/>
    </row>
    <row r="36" spans="1:2">
      <c r="A36" s="35"/>
      <c r="B36" s="36"/>
    </row>
    <row r="37" spans="1:2">
      <c r="A37" s="35"/>
      <c r="B37" s="36"/>
    </row>
    <row r="38" spans="1:2">
      <c r="A38" s="35"/>
      <c r="B38" s="36"/>
    </row>
    <row r="39" spans="1:2">
      <c r="A39" s="35"/>
      <c r="B39" s="36"/>
    </row>
    <row r="40" spans="1:2">
      <c r="A40" s="35"/>
      <c r="B40" s="36"/>
    </row>
    <row r="41" spans="1:2">
      <c r="A41" s="35"/>
      <c r="B41" s="36"/>
    </row>
    <row r="42" spans="1:2">
      <c r="A42" s="35"/>
      <c r="B42" s="36"/>
    </row>
    <row r="43" spans="1:2">
      <c r="A43" s="35"/>
      <c r="B43" s="36"/>
    </row>
    <row r="44" spans="1:2">
      <c r="A44" s="35"/>
      <c r="B44" s="36"/>
    </row>
    <row r="45" spans="1:2">
      <c r="A45" s="35"/>
      <c r="B45" s="36"/>
    </row>
    <row r="46" spans="1:2">
      <c r="A46" s="35"/>
      <c r="B46" s="36"/>
    </row>
    <row r="47" spans="1:2">
      <c r="A47" s="35"/>
      <c r="B47" s="36"/>
    </row>
    <row r="48" spans="1:2">
      <c r="A48" s="35"/>
      <c r="B48" s="36"/>
    </row>
    <row r="49" spans="1:2">
      <c r="A49" s="35"/>
      <c r="B49" s="36"/>
    </row>
    <row r="50" spans="1:2">
      <c r="A50" s="35"/>
      <c r="B50" s="36"/>
    </row>
    <row r="51" spans="1:2">
      <c r="A51" s="35"/>
      <c r="B51" s="36"/>
    </row>
    <row r="52" spans="1:2">
      <c r="A52" s="35"/>
      <c r="B52" s="36"/>
    </row>
    <row r="53" spans="1:2">
      <c r="A53" s="35"/>
      <c r="B53" s="36"/>
    </row>
    <row r="54" spans="1:2">
      <c r="A54" s="35"/>
      <c r="B54" s="36"/>
    </row>
    <row r="55" spans="1:2">
      <c r="A55" s="35"/>
      <c r="B55" s="36"/>
    </row>
    <row r="56" spans="1:2">
      <c r="A56" s="35"/>
      <c r="B56" s="36"/>
    </row>
    <row r="57" spans="1:2">
      <c r="A57" s="35"/>
      <c r="B57" s="36"/>
    </row>
    <row r="58" spans="1:2">
      <c r="A58" s="35"/>
      <c r="B58" s="36"/>
    </row>
    <row r="59" spans="1:2">
      <c r="A59" s="35"/>
      <c r="B59" s="36"/>
    </row>
    <row r="60" spans="1:2">
      <c r="A60" s="35"/>
      <c r="B60" s="36"/>
    </row>
    <row r="61" spans="1:2">
      <c r="A61" s="35"/>
      <c r="B61" s="36"/>
    </row>
    <row r="62" spans="1:2">
      <c r="A62" s="35"/>
      <c r="B62" s="36"/>
    </row>
    <row r="63" spans="1:2">
      <c r="A63" s="35"/>
      <c r="B63" s="36"/>
    </row>
    <row r="64" spans="1:2">
      <c r="A64" s="35"/>
      <c r="B64" s="36"/>
    </row>
    <row r="65" spans="1:2">
      <c r="A65" s="35"/>
      <c r="B65" s="36"/>
    </row>
    <row r="66" spans="1:2">
      <c r="A66" s="35"/>
      <c r="B66" s="36"/>
    </row>
    <row r="67" spans="1:2">
      <c r="A67" s="35"/>
      <c r="B67" s="36"/>
    </row>
    <row r="68" spans="1:2">
      <c r="A68" s="35"/>
      <c r="B68" s="36"/>
    </row>
    <row r="69" spans="1:2">
      <c r="A69" s="35"/>
      <c r="B69" s="36"/>
    </row>
    <row r="70" spans="1:2">
      <c r="A70" s="35"/>
      <c r="B70" s="36"/>
    </row>
    <row r="71" spans="1:2" ht="16.5" customHeight="1">
      <c r="A71" s="35"/>
      <c r="B71" s="36"/>
    </row>
    <row r="72" spans="1:2" ht="16.5" customHeight="1">
      <c r="A72" s="35"/>
      <c r="B72" s="36"/>
    </row>
    <row r="73" spans="1:2">
      <c r="A73" s="35"/>
      <c r="B73" s="36"/>
    </row>
    <row r="74" spans="1:2">
      <c r="A74" s="35"/>
      <c r="B74" s="36"/>
    </row>
    <row r="75" spans="1:2">
      <c r="A75" s="35"/>
      <c r="B75" s="36"/>
    </row>
    <row r="76" spans="1:2">
      <c r="A76" s="35"/>
      <c r="B76" s="36"/>
    </row>
    <row r="77" spans="1:2">
      <c r="A77" s="35"/>
      <c r="B77" s="36"/>
    </row>
    <row r="78" spans="1:2">
      <c r="A78" s="35"/>
      <c r="B78" s="36"/>
    </row>
    <row r="79" spans="1:2" ht="16.5" customHeight="1">
      <c r="A79" s="35"/>
      <c r="B79" s="36"/>
    </row>
    <row r="80" spans="1:2">
      <c r="A80" s="35"/>
      <c r="B80" s="36"/>
    </row>
    <row r="81" spans="1:2">
      <c r="A81" s="35"/>
      <c r="B81" s="36"/>
    </row>
    <row r="82" spans="1:2">
      <c r="A82" s="35"/>
      <c r="B82" s="36"/>
    </row>
    <row r="83" spans="1:2">
      <c r="A83" s="35"/>
      <c r="B83" s="36"/>
    </row>
    <row r="84" spans="1:2">
      <c r="A84" s="35"/>
      <c r="B84" s="36"/>
    </row>
    <row r="85" spans="1:2">
      <c r="A85" s="35"/>
      <c r="B85" s="36"/>
    </row>
    <row r="86" spans="1:2">
      <c r="A86" s="35"/>
      <c r="B86" s="36"/>
    </row>
    <row r="87" spans="1:2">
      <c r="A87" s="35"/>
      <c r="B87" s="36"/>
    </row>
    <row r="88" spans="1:2">
      <c r="A88" s="35"/>
      <c r="B88" s="36"/>
    </row>
    <row r="89" spans="1:2">
      <c r="A89" s="35"/>
      <c r="B89" s="36"/>
    </row>
    <row r="90" spans="1:2">
      <c r="A90" s="35"/>
      <c r="B90" s="36"/>
    </row>
    <row r="91" spans="1:2">
      <c r="A91" s="35"/>
      <c r="B91" s="36"/>
    </row>
    <row r="92" spans="1:2">
      <c r="A92" s="35"/>
      <c r="B92" s="36"/>
    </row>
    <row r="93" spans="1:2">
      <c r="A93" s="35"/>
      <c r="B93" s="36"/>
    </row>
    <row r="94" spans="1:2">
      <c r="A94" s="35"/>
      <c r="B94" s="36"/>
    </row>
    <row r="95" spans="1:2">
      <c r="A95" s="35"/>
      <c r="B95" s="36"/>
    </row>
    <row r="96" spans="1:2">
      <c r="A96" s="35"/>
      <c r="B96" s="36"/>
    </row>
    <row r="97" spans="1:2">
      <c r="A97" s="35"/>
      <c r="B97" s="36"/>
    </row>
    <row r="98" spans="1:2">
      <c r="A98" s="35"/>
      <c r="B98" s="36"/>
    </row>
    <row r="99" spans="1:2">
      <c r="A99" s="35"/>
      <c r="B99" s="36"/>
    </row>
  </sheetData>
  <dataConsolidate/>
  <mergeCells count="34">
    <mergeCell ref="I29:J29"/>
    <mergeCell ref="I21:J21"/>
    <mergeCell ref="I22:J22"/>
    <mergeCell ref="N22:O22"/>
    <mergeCell ref="I23:J23"/>
    <mergeCell ref="N23:O23"/>
    <mergeCell ref="I24:J24"/>
    <mergeCell ref="I25:J25"/>
    <mergeCell ref="I26:J26"/>
    <mergeCell ref="I27:J27"/>
    <mergeCell ref="I28:J28"/>
    <mergeCell ref="N21:O21"/>
    <mergeCell ref="I18:J18"/>
    <mergeCell ref="N18:O18"/>
    <mergeCell ref="I19:J19"/>
    <mergeCell ref="N19:O19"/>
    <mergeCell ref="I20:J20"/>
    <mergeCell ref="N20:O20"/>
    <mergeCell ref="I15:J15"/>
    <mergeCell ref="N15:O15"/>
    <mergeCell ref="I16:J16"/>
    <mergeCell ref="N16:O16"/>
    <mergeCell ref="I17:J17"/>
    <mergeCell ref="N17:O17"/>
    <mergeCell ref="D13:G13"/>
    <mergeCell ref="I13:L13"/>
    <mergeCell ref="N13:Q13"/>
    <mergeCell ref="I14:J14"/>
    <mergeCell ref="N14:O14"/>
    <mergeCell ref="C7:E7"/>
    <mergeCell ref="H7:J7"/>
    <mergeCell ref="C8:E8"/>
    <mergeCell ref="H8:J8"/>
    <mergeCell ref="A11:B11"/>
  </mergeCells>
  <dataValidations count="3">
    <dataValidation type="list" allowBlank="1" showInputMessage="1" showErrorMessage="1" sqref="E9 J9" xr:uid="{00000000-0002-0000-0200-000000000000}">
      <formula1>AÑO</formula1>
    </dataValidation>
    <dataValidation type="list" allowBlank="1" showInputMessage="1" showErrorMessage="1" sqref="I9 D9" xr:uid="{00000000-0002-0000-0200-000001000000}">
      <formula1>MES</formula1>
    </dataValidation>
    <dataValidation type="list" allowBlank="1" showInputMessage="1" showErrorMessage="1" sqref="H9 C9" xr:uid="{00000000-0002-0000-0200-000002000000}">
      <formula1>DIA</formula1>
    </dataValidation>
  </dataValidations>
  <pageMargins left="0.75" right="0.75" top="1" bottom="1" header="0" footer="0"/>
  <pageSetup scale="6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Hoja3.ANALISIS_EPIDEMIOLOGICO">
                <anchor moveWithCells="1" sizeWithCells="1">
                  <from>
                    <xdr:col>4</xdr:col>
                    <xdr:colOff>619125</xdr:colOff>
                    <xdr:row>0</xdr:row>
                    <xdr:rowOff>66675</xdr:rowOff>
                  </from>
                  <to>
                    <xdr:col>6</xdr:col>
                    <xdr:colOff>619125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indexed="33"/>
  </sheetPr>
  <dimension ref="A1:K61"/>
  <sheetViews>
    <sheetView showGridLines="0" view="pageBreakPreview" topLeftCell="A6" zoomScale="75" zoomScaleSheetLayoutView="75" workbookViewId="0">
      <selection activeCell="A13" sqref="A13:J53"/>
    </sheetView>
  </sheetViews>
  <sheetFormatPr baseColWidth="10" defaultRowHeight="12.75"/>
  <cols>
    <col min="1" max="5" width="11.5703125" style="21"/>
    <col min="6" max="6" width="7.85546875" style="21" customWidth="1"/>
    <col min="7" max="7" width="17.5703125" style="21" customWidth="1"/>
    <col min="8" max="8" width="11.5703125" style="21"/>
    <col min="9" max="9" width="15.140625" style="21" customWidth="1"/>
    <col min="10" max="261" width="11.5703125" style="21"/>
    <col min="262" max="262" width="7.85546875" style="21" customWidth="1"/>
    <col min="263" max="263" width="17.5703125" style="21" customWidth="1"/>
    <col min="264" max="517" width="11.5703125" style="21"/>
    <col min="518" max="518" width="7.85546875" style="21" customWidth="1"/>
    <col min="519" max="519" width="17.5703125" style="21" customWidth="1"/>
    <col min="520" max="773" width="11.5703125" style="21"/>
    <col min="774" max="774" width="7.85546875" style="21" customWidth="1"/>
    <col min="775" max="775" width="17.5703125" style="21" customWidth="1"/>
    <col min="776" max="1029" width="11.5703125" style="21"/>
    <col min="1030" max="1030" width="7.85546875" style="21" customWidth="1"/>
    <col min="1031" max="1031" width="17.5703125" style="21" customWidth="1"/>
    <col min="1032" max="1285" width="11.5703125" style="21"/>
    <col min="1286" max="1286" width="7.85546875" style="21" customWidth="1"/>
    <col min="1287" max="1287" width="17.5703125" style="21" customWidth="1"/>
    <col min="1288" max="1541" width="11.5703125" style="21"/>
    <col min="1542" max="1542" width="7.85546875" style="21" customWidth="1"/>
    <col min="1543" max="1543" width="17.5703125" style="21" customWidth="1"/>
    <col min="1544" max="1797" width="11.5703125" style="21"/>
    <col min="1798" max="1798" width="7.85546875" style="21" customWidth="1"/>
    <col min="1799" max="1799" width="17.5703125" style="21" customWidth="1"/>
    <col min="1800" max="2053" width="11.5703125" style="21"/>
    <col min="2054" max="2054" width="7.85546875" style="21" customWidth="1"/>
    <col min="2055" max="2055" width="17.5703125" style="21" customWidth="1"/>
    <col min="2056" max="2309" width="11.5703125" style="21"/>
    <col min="2310" max="2310" width="7.85546875" style="21" customWidth="1"/>
    <col min="2311" max="2311" width="17.5703125" style="21" customWidth="1"/>
    <col min="2312" max="2565" width="11.5703125" style="21"/>
    <col min="2566" max="2566" width="7.85546875" style="21" customWidth="1"/>
    <col min="2567" max="2567" width="17.5703125" style="21" customWidth="1"/>
    <col min="2568" max="2821" width="11.5703125" style="21"/>
    <col min="2822" max="2822" width="7.85546875" style="21" customWidth="1"/>
    <col min="2823" max="2823" width="17.5703125" style="21" customWidth="1"/>
    <col min="2824" max="3077" width="11.5703125" style="21"/>
    <col min="3078" max="3078" width="7.85546875" style="21" customWidth="1"/>
    <col min="3079" max="3079" width="17.5703125" style="21" customWidth="1"/>
    <col min="3080" max="3333" width="11.5703125" style="21"/>
    <col min="3334" max="3334" width="7.85546875" style="21" customWidth="1"/>
    <col min="3335" max="3335" width="17.5703125" style="21" customWidth="1"/>
    <col min="3336" max="3589" width="11.5703125" style="21"/>
    <col min="3590" max="3590" width="7.85546875" style="21" customWidth="1"/>
    <col min="3591" max="3591" width="17.5703125" style="21" customWidth="1"/>
    <col min="3592" max="3845" width="11.5703125" style="21"/>
    <col min="3846" max="3846" width="7.85546875" style="21" customWidth="1"/>
    <col min="3847" max="3847" width="17.5703125" style="21" customWidth="1"/>
    <col min="3848" max="4101" width="11.5703125" style="21"/>
    <col min="4102" max="4102" width="7.85546875" style="21" customWidth="1"/>
    <col min="4103" max="4103" width="17.5703125" style="21" customWidth="1"/>
    <col min="4104" max="4357" width="11.5703125" style="21"/>
    <col min="4358" max="4358" width="7.85546875" style="21" customWidth="1"/>
    <col min="4359" max="4359" width="17.5703125" style="21" customWidth="1"/>
    <col min="4360" max="4613" width="11.5703125" style="21"/>
    <col min="4614" max="4614" width="7.85546875" style="21" customWidth="1"/>
    <col min="4615" max="4615" width="17.5703125" style="21" customWidth="1"/>
    <col min="4616" max="4869" width="11.5703125" style="21"/>
    <col min="4870" max="4870" width="7.85546875" style="21" customWidth="1"/>
    <col min="4871" max="4871" width="17.5703125" style="21" customWidth="1"/>
    <col min="4872" max="5125" width="11.5703125" style="21"/>
    <col min="5126" max="5126" width="7.85546875" style="21" customWidth="1"/>
    <col min="5127" max="5127" width="17.5703125" style="21" customWidth="1"/>
    <col min="5128" max="5381" width="11.5703125" style="21"/>
    <col min="5382" max="5382" width="7.85546875" style="21" customWidth="1"/>
    <col min="5383" max="5383" width="17.5703125" style="21" customWidth="1"/>
    <col min="5384" max="5637" width="11.5703125" style="21"/>
    <col min="5638" max="5638" width="7.85546875" style="21" customWidth="1"/>
    <col min="5639" max="5639" width="17.5703125" style="21" customWidth="1"/>
    <col min="5640" max="5893" width="11.5703125" style="21"/>
    <col min="5894" max="5894" width="7.85546875" style="21" customWidth="1"/>
    <col min="5895" max="5895" width="17.5703125" style="21" customWidth="1"/>
    <col min="5896" max="6149" width="11.5703125" style="21"/>
    <col min="6150" max="6150" width="7.85546875" style="21" customWidth="1"/>
    <col min="6151" max="6151" width="17.5703125" style="21" customWidth="1"/>
    <col min="6152" max="6405" width="11.5703125" style="21"/>
    <col min="6406" max="6406" width="7.85546875" style="21" customWidth="1"/>
    <col min="6407" max="6407" width="17.5703125" style="21" customWidth="1"/>
    <col min="6408" max="6661" width="11.5703125" style="21"/>
    <col min="6662" max="6662" width="7.85546875" style="21" customWidth="1"/>
    <col min="6663" max="6663" width="17.5703125" style="21" customWidth="1"/>
    <col min="6664" max="6917" width="11.5703125" style="21"/>
    <col min="6918" max="6918" width="7.85546875" style="21" customWidth="1"/>
    <col min="6919" max="6919" width="17.5703125" style="21" customWidth="1"/>
    <col min="6920" max="7173" width="11.5703125" style="21"/>
    <col min="7174" max="7174" width="7.85546875" style="21" customWidth="1"/>
    <col min="7175" max="7175" width="17.5703125" style="21" customWidth="1"/>
    <col min="7176" max="7429" width="11.5703125" style="21"/>
    <col min="7430" max="7430" width="7.85546875" style="21" customWidth="1"/>
    <col min="7431" max="7431" width="17.5703125" style="21" customWidth="1"/>
    <col min="7432" max="7685" width="11.5703125" style="21"/>
    <col min="7686" max="7686" width="7.85546875" style="21" customWidth="1"/>
    <col min="7687" max="7687" width="17.5703125" style="21" customWidth="1"/>
    <col min="7688" max="7941" width="11.5703125" style="21"/>
    <col min="7942" max="7942" width="7.85546875" style="21" customWidth="1"/>
    <col min="7943" max="7943" width="17.5703125" style="21" customWidth="1"/>
    <col min="7944" max="8197" width="11.5703125" style="21"/>
    <col min="8198" max="8198" width="7.85546875" style="21" customWidth="1"/>
    <col min="8199" max="8199" width="17.5703125" style="21" customWidth="1"/>
    <col min="8200" max="8453" width="11.5703125" style="21"/>
    <col min="8454" max="8454" width="7.85546875" style="21" customWidth="1"/>
    <col min="8455" max="8455" width="17.5703125" style="21" customWidth="1"/>
    <col min="8456" max="8709" width="11.5703125" style="21"/>
    <col min="8710" max="8710" width="7.85546875" style="21" customWidth="1"/>
    <col min="8711" max="8711" width="17.5703125" style="21" customWidth="1"/>
    <col min="8712" max="8965" width="11.5703125" style="21"/>
    <col min="8966" max="8966" width="7.85546875" style="21" customWidth="1"/>
    <col min="8967" max="8967" width="17.5703125" style="21" customWidth="1"/>
    <col min="8968" max="9221" width="11.5703125" style="21"/>
    <col min="9222" max="9222" width="7.85546875" style="21" customWidth="1"/>
    <col min="9223" max="9223" width="17.5703125" style="21" customWidth="1"/>
    <col min="9224" max="9477" width="11.5703125" style="21"/>
    <col min="9478" max="9478" width="7.85546875" style="21" customWidth="1"/>
    <col min="9479" max="9479" width="17.5703125" style="21" customWidth="1"/>
    <col min="9480" max="9733" width="11.5703125" style="21"/>
    <col min="9734" max="9734" width="7.85546875" style="21" customWidth="1"/>
    <col min="9735" max="9735" width="17.5703125" style="21" customWidth="1"/>
    <col min="9736" max="9989" width="11.5703125" style="21"/>
    <col min="9990" max="9990" width="7.85546875" style="21" customWidth="1"/>
    <col min="9991" max="9991" width="17.5703125" style="21" customWidth="1"/>
    <col min="9992" max="10245" width="11.5703125" style="21"/>
    <col min="10246" max="10246" width="7.85546875" style="21" customWidth="1"/>
    <col min="10247" max="10247" width="17.5703125" style="21" customWidth="1"/>
    <col min="10248" max="10501" width="11.5703125" style="21"/>
    <col min="10502" max="10502" width="7.85546875" style="21" customWidth="1"/>
    <col min="10503" max="10503" width="17.5703125" style="21" customWidth="1"/>
    <col min="10504" max="10757" width="11.5703125" style="21"/>
    <col min="10758" max="10758" width="7.85546875" style="21" customWidth="1"/>
    <col min="10759" max="10759" width="17.5703125" style="21" customWidth="1"/>
    <col min="10760" max="11013" width="11.5703125" style="21"/>
    <col min="11014" max="11014" width="7.85546875" style="21" customWidth="1"/>
    <col min="11015" max="11015" width="17.5703125" style="21" customWidth="1"/>
    <col min="11016" max="11269" width="11.5703125" style="21"/>
    <col min="11270" max="11270" width="7.85546875" style="21" customWidth="1"/>
    <col min="11271" max="11271" width="17.5703125" style="21" customWidth="1"/>
    <col min="11272" max="11525" width="11.5703125" style="21"/>
    <col min="11526" max="11526" width="7.85546875" style="21" customWidth="1"/>
    <col min="11527" max="11527" width="17.5703125" style="21" customWidth="1"/>
    <col min="11528" max="11781" width="11.5703125" style="21"/>
    <col min="11782" max="11782" width="7.85546875" style="21" customWidth="1"/>
    <col min="11783" max="11783" width="17.5703125" style="21" customWidth="1"/>
    <col min="11784" max="12037" width="11.5703125" style="21"/>
    <col min="12038" max="12038" width="7.85546875" style="21" customWidth="1"/>
    <col min="12039" max="12039" width="17.5703125" style="21" customWidth="1"/>
    <col min="12040" max="12293" width="11.5703125" style="21"/>
    <col min="12294" max="12294" width="7.85546875" style="21" customWidth="1"/>
    <col min="12295" max="12295" width="17.5703125" style="21" customWidth="1"/>
    <col min="12296" max="12549" width="11.5703125" style="21"/>
    <col min="12550" max="12550" width="7.85546875" style="21" customWidth="1"/>
    <col min="12551" max="12551" width="17.5703125" style="21" customWidth="1"/>
    <col min="12552" max="12805" width="11.5703125" style="21"/>
    <col min="12806" max="12806" width="7.85546875" style="21" customWidth="1"/>
    <col min="12807" max="12807" width="17.5703125" style="21" customWidth="1"/>
    <col min="12808" max="13061" width="11.5703125" style="21"/>
    <col min="13062" max="13062" width="7.85546875" style="21" customWidth="1"/>
    <col min="13063" max="13063" width="17.5703125" style="21" customWidth="1"/>
    <col min="13064" max="13317" width="11.5703125" style="21"/>
    <col min="13318" max="13318" width="7.85546875" style="21" customWidth="1"/>
    <col min="13319" max="13319" width="17.5703125" style="21" customWidth="1"/>
    <col min="13320" max="13573" width="11.5703125" style="21"/>
    <col min="13574" max="13574" width="7.85546875" style="21" customWidth="1"/>
    <col min="13575" max="13575" width="17.5703125" style="21" customWidth="1"/>
    <col min="13576" max="13829" width="11.5703125" style="21"/>
    <col min="13830" max="13830" width="7.85546875" style="21" customWidth="1"/>
    <col min="13831" max="13831" width="17.5703125" style="21" customWidth="1"/>
    <col min="13832" max="14085" width="11.5703125" style="21"/>
    <col min="14086" max="14086" width="7.85546875" style="21" customWidth="1"/>
    <col min="14087" max="14087" width="17.5703125" style="21" customWidth="1"/>
    <col min="14088" max="14341" width="11.5703125" style="21"/>
    <col min="14342" max="14342" width="7.85546875" style="21" customWidth="1"/>
    <col min="14343" max="14343" width="17.5703125" style="21" customWidth="1"/>
    <col min="14344" max="14597" width="11.5703125" style="21"/>
    <col min="14598" max="14598" width="7.85546875" style="21" customWidth="1"/>
    <col min="14599" max="14599" width="17.5703125" style="21" customWidth="1"/>
    <col min="14600" max="14853" width="11.5703125" style="21"/>
    <col min="14854" max="14854" width="7.85546875" style="21" customWidth="1"/>
    <col min="14855" max="14855" width="17.5703125" style="21" customWidth="1"/>
    <col min="14856" max="15109" width="11.5703125" style="21"/>
    <col min="15110" max="15110" width="7.85546875" style="21" customWidth="1"/>
    <col min="15111" max="15111" width="17.5703125" style="21" customWidth="1"/>
    <col min="15112" max="15365" width="11.5703125" style="21"/>
    <col min="15366" max="15366" width="7.85546875" style="21" customWidth="1"/>
    <col min="15367" max="15367" width="17.5703125" style="21" customWidth="1"/>
    <col min="15368" max="15621" width="11.5703125" style="21"/>
    <col min="15622" max="15622" width="7.85546875" style="21" customWidth="1"/>
    <col min="15623" max="15623" width="17.5703125" style="21" customWidth="1"/>
    <col min="15624" max="15877" width="11.5703125" style="21"/>
    <col min="15878" max="15878" width="7.85546875" style="21" customWidth="1"/>
    <col min="15879" max="15879" width="17.5703125" style="21" customWidth="1"/>
    <col min="15880" max="16133" width="11.5703125" style="21"/>
    <col min="16134" max="16134" width="7.85546875" style="21" customWidth="1"/>
    <col min="16135" max="16135" width="17.5703125" style="21" customWidth="1"/>
    <col min="16136" max="16384" width="11.5703125" style="21"/>
  </cols>
  <sheetData>
    <row r="1" spans="1:11">
      <c r="A1" s="46"/>
      <c r="B1" s="46"/>
      <c r="C1" s="46"/>
      <c r="D1" s="46"/>
      <c r="E1" s="46"/>
      <c r="F1" s="46"/>
      <c r="G1" s="46"/>
      <c r="H1" s="46"/>
      <c r="I1" s="46"/>
    </row>
    <row r="3" spans="1:11">
      <c r="A3" s="227" t="s">
        <v>61</v>
      </c>
      <c r="B3" s="227"/>
      <c r="C3" s="227"/>
      <c r="D3" s="227"/>
      <c r="E3" s="227"/>
      <c r="F3" s="227"/>
      <c r="G3" s="227"/>
      <c r="H3" s="227"/>
      <c r="I3" s="227"/>
    </row>
    <row r="4" spans="1:11">
      <c r="A4" s="227" t="s">
        <v>62</v>
      </c>
      <c r="B4" s="227"/>
      <c r="C4" s="227"/>
      <c r="D4" s="227"/>
      <c r="E4" s="227"/>
      <c r="F4" s="227"/>
      <c r="G4" s="227"/>
      <c r="H4" s="227"/>
      <c r="I4" s="227"/>
    </row>
    <row r="5" spans="1:11">
      <c r="A5" s="227" t="s">
        <v>63</v>
      </c>
      <c r="B5" s="227"/>
      <c r="C5" s="227"/>
      <c r="D5" s="227"/>
      <c r="E5" s="227"/>
      <c r="F5" s="227"/>
      <c r="G5" s="227"/>
      <c r="H5" s="227"/>
      <c r="I5" s="227"/>
    </row>
    <row r="6" spans="1:11">
      <c r="A6" s="22"/>
    </row>
    <row r="7" spans="1:11">
      <c r="A7" s="228" t="s">
        <v>96</v>
      </c>
      <c r="B7" s="228"/>
      <c r="C7" s="228"/>
      <c r="D7" s="228"/>
      <c r="E7" s="228"/>
      <c r="F7" s="228"/>
      <c r="G7" s="228"/>
      <c r="H7" s="228"/>
      <c r="I7" s="228"/>
    </row>
    <row r="9" spans="1:11">
      <c r="A9" s="24" t="s">
        <v>64</v>
      </c>
      <c r="B9" s="31"/>
      <c r="C9" s="203" t="s">
        <v>347</v>
      </c>
      <c r="D9" s="204"/>
      <c r="E9" s="205"/>
      <c r="F9" s="26"/>
      <c r="G9" s="24" t="s">
        <v>65</v>
      </c>
      <c r="H9" s="223" t="s">
        <v>342</v>
      </c>
      <c r="I9" s="223"/>
      <c r="J9" s="223"/>
    </row>
    <row r="10" spans="1:11">
      <c r="A10" s="24" t="s">
        <v>66</v>
      </c>
      <c r="B10" s="31"/>
      <c r="C10" s="203" t="s">
        <v>339</v>
      </c>
      <c r="D10" s="204"/>
      <c r="E10" s="205"/>
      <c r="F10" s="26"/>
      <c r="G10" s="24" t="s">
        <v>3</v>
      </c>
      <c r="H10" s="223" t="s">
        <v>341</v>
      </c>
      <c r="I10" s="223"/>
      <c r="J10" s="223"/>
    </row>
    <row r="11" spans="1:11" ht="14.1" customHeight="1">
      <c r="A11" s="24" t="s">
        <v>67</v>
      </c>
      <c r="B11" s="31"/>
      <c r="C11" s="110">
        <v>14</v>
      </c>
      <c r="D11" s="110">
        <v>1</v>
      </c>
      <c r="E11" s="111">
        <v>2025</v>
      </c>
      <c r="F11" s="26"/>
      <c r="G11" s="24" t="s">
        <v>90</v>
      </c>
      <c r="H11" s="110"/>
      <c r="I11" s="110"/>
      <c r="J11" s="111"/>
    </row>
    <row r="12" spans="1:11">
      <c r="C12" s="34" t="s">
        <v>172</v>
      </c>
      <c r="D12" s="34" t="s">
        <v>119</v>
      </c>
      <c r="E12" s="34" t="s">
        <v>120</v>
      </c>
      <c r="H12" s="34" t="s">
        <v>172</v>
      </c>
      <c r="I12" s="34" t="s">
        <v>119</v>
      </c>
      <c r="J12" s="34" t="s">
        <v>120</v>
      </c>
    </row>
    <row r="13" spans="1:11" ht="12.75" customHeight="1">
      <c r="A13" s="224" t="s">
        <v>364</v>
      </c>
      <c r="B13" s="225"/>
      <c r="C13" s="225"/>
      <c r="D13" s="225"/>
      <c r="E13" s="225"/>
      <c r="F13" s="225"/>
      <c r="G13" s="225"/>
      <c r="H13" s="225"/>
      <c r="I13" s="225"/>
      <c r="J13" s="225"/>
      <c r="K13" s="21" t="s">
        <v>70</v>
      </c>
    </row>
    <row r="14" spans="1:11" ht="12.75" customHeight="1">
      <c r="A14" s="226"/>
      <c r="B14" s="225"/>
      <c r="C14" s="225"/>
      <c r="D14" s="225"/>
      <c r="E14" s="225"/>
      <c r="F14" s="225"/>
      <c r="G14" s="225"/>
      <c r="H14" s="225"/>
      <c r="I14" s="225"/>
      <c r="J14" s="225"/>
    </row>
    <row r="15" spans="1:11" ht="12.75" customHeight="1">
      <c r="A15" s="226"/>
      <c r="B15" s="225"/>
      <c r="C15" s="225"/>
      <c r="D15" s="225"/>
      <c r="E15" s="225"/>
      <c r="F15" s="225"/>
      <c r="G15" s="225"/>
      <c r="H15" s="225"/>
      <c r="I15" s="225"/>
      <c r="J15" s="225"/>
    </row>
    <row r="16" spans="1:11" ht="12.75" customHeight="1">
      <c r="A16" s="226"/>
      <c r="B16" s="225"/>
      <c r="C16" s="225"/>
      <c r="D16" s="225"/>
      <c r="E16" s="225"/>
      <c r="F16" s="225"/>
      <c r="G16" s="225"/>
      <c r="H16" s="225"/>
      <c r="I16" s="225"/>
      <c r="J16" s="225"/>
    </row>
    <row r="17" spans="1:10" ht="12.75" customHeight="1">
      <c r="A17" s="226"/>
      <c r="B17" s="225"/>
      <c r="C17" s="225"/>
      <c r="D17" s="225"/>
      <c r="E17" s="225"/>
      <c r="F17" s="225"/>
      <c r="G17" s="225"/>
      <c r="H17" s="225"/>
      <c r="I17" s="225"/>
      <c r="J17" s="225"/>
    </row>
    <row r="18" spans="1:10" ht="12.75" customHeight="1">
      <c r="A18" s="226"/>
      <c r="B18" s="225"/>
      <c r="C18" s="225"/>
      <c r="D18" s="225"/>
      <c r="E18" s="225"/>
      <c r="F18" s="225"/>
      <c r="G18" s="225"/>
      <c r="H18" s="225"/>
      <c r="I18" s="225"/>
      <c r="J18" s="225"/>
    </row>
    <row r="19" spans="1:10" ht="12.75" customHeight="1">
      <c r="A19" s="226"/>
      <c r="B19" s="225"/>
      <c r="C19" s="225"/>
      <c r="D19" s="225"/>
      <c r="E19" s="225"/>
      <c r="F19" s="225"/>
      <c r="G19" s="225"/>
      <c r="H19" s="225"/>
      <c r="I19" s="225"/>
      <c r="J19" s="225"/>
    </row>
    <row r="20" spans="1:10" ht="12.75" customHeight="1">
      <c r="A20" s="226"/>
      <c r="B20" s="225"/>
      <c r="C20" s="225"/>
      <c r="D20" s="225"/>
      <c r="E20" s="225"/>
      <c r="F20" s="225"/>
      <c r="G20" s="225"/>
      <c r="H20" s="225"/>
      <c r="I20" s="225"/>
      <c r="J20" s="225"/>
    </row>
    <row r="21" spans="1:10" ht="12.75" customHeight="1">
      <c r="A21" s="226"/>
      <c r="B21" s="225"/>
      <c r="C21" s="225"/>
      <c r="D21" s="225"/>
      <c r="E21" s="225"/>
      <c r="F21" s="225"/>
      <c r="G21" s="225"/>
      <c r="H21" s="225"/>
      <c r="I21" s="225"/>
      <c r="J21" s="225"/>
    </row>
    <row r="22" spans="1:10" ht="12.75" customHeight="1">
      <c r="A22" s="226"/>
      <c r="B22" s="225"/>
      <c r="C22" s="225"/>
      <c r="D22" s="225"/>
      <c r="E22" s="225"/>
      <c r="F22" s="225"/>
      <c r="G22" s="225"/>
      <c r="H22" s="225"/>
      <c r="I22" s="225"/>
      <c r="J22" s="225"/>
    </row>
    <row r="23" spans="1:10" ht="12.75" customHeight="1">
      <c r="A23" s="226"/>
      <c r="B23" s="225"/>
      <c r="C23" s="225"/>
      <c r="D23" s="225"/>
      <c r="E23" s="225"/>
      <c r="F23" s="225"/>
      <c r="G23" s="225"/>
      <c r="H23" s="225"/>
      <c r="I23" s="225"/>
      <c r="J23" s="225"/>
    </row>
    <row r="24" spans="1:10" ht="12.75" customHeight="1">
      <c r="A24" s="226"/>
      <c r="B24" s="225"/>
      <c r="C24" s="225"/>
      <c r="D24" s="225"/>
      <c r="E24" s="225"/>
      <c r="F24" s="225"/>
      <c r="G24" s="225"/>
      <c r="H24" s="225"/>
      <c r="I24" s="225"/>
      <c r="J24" s="225"/>
    </row>
    <row r="25" spans="1:10" ht="12.75" customHeight="1">
      <c r="A25" s="226"/>
      <c r="B25" s="225"/>
      <c r="C25" s="225"/>
      <c r="D25" s="225"/>
      <c r="E25" s="225"/>
      <c r="F25" s="225"/>
      <c r="G25" s="225"/>
      <c r="H25" s="225"/>
      <c r="I25" s="225"/>
      <c r="J25" s="225"/>
    </row>
    <row r="26" spans="1:10" ht="12.75" customHeight="1">
      <c r="A26" s="226"/>
      <c r="B26" s="225"/>
      <c r="C26" s="225"/>
      <c r="D26" s="225"/>
      <c r="E26" s="225"/>
      <c r="F26" s="225"/>
      <c r="G26" s="225"/>
      <c r="H26" s="225"/>
      <c r="I26" s="225"/>
      <c r="J26" s="225"/>
    </row>
    <row r="27" spans="1:10" ht="12.75" customHeight="1">
      <c r="A27" s="226"/>
      <c r="B27" s="225"/>
      <c r="C27" s="225"/>
      <c r="D27" s="225"/>
      <c r="E27" s="225"/>
      <c r="F27" s="225"/>
      <c r="G27" s="225"/>
      <c r="H27" s="225"/>
      <c r="I27" s="225"/>
      <c r="J27" s="225"/>
    </row>
    <row r="28" spans="1:10" ht="12.75" customHeight="1">
      <c r="A28" s="226"/>
      <c r="B28" s="225"/>
      <c r="C28" s="225"/>
      <c r="D28" s="225"/>
      <c r="E28" s="225"/>
      <c r="F28" s="225"/>
      <c r="G28" s="225"/>
      <c r="H28" s="225"/>
      <c r="I28" s="225"/>
      <c r="J28" s="225"/>
    </row>
    <row r="29" spans="1:10" ht="12.75" customHeight="1">
      <c r="A29" s="226"/>
      <c r="B29" s="225"/>
      <c r="C29" s="225"/>
      <c r="D29" s="225"/>
      <c r="E29" s="225"/>
      <c r="F29" s="225"/>
      <c r="G29" s="225"/>
      <c r="H29" s="225"/>
      <c r="I29" s="225"/>
      <c r="J29" s="225"/>
    </row>
    <row r="30" spans="1:10" ht="12.75" customHeight="1">
      <c r="A30" s="226"/>
      <c r="B30" s="225"/>
      <c r="C30" s="225"/>
      <c r="D30" s="225"/>
      <c r="E30" s="225"/>
      <c r="F30" s="225"/>
      <c r="G30" s="225"/>
      <c r="H30" s="225"/>
      <c r="I30" s="225"/>
      <c r="J30" s="225"/>
    </row>
    <row r="31" spans="1:10" ht="12.75" customHeight="1">
      <c r="A31" s="226"/>
      <c r="B31" s="225"/>
      <c r="C31" s="225"/>
      <c r="D31" s="225"/>
      <c r="E31" s="225"/>
      <c r="F31" s="225"/>
      <c r="G31" s="225"/>
      <c r="H31" s="225"/>
      <c r="I31" s="225"/>
      <c r="J31" s="225"/>
    </row>
    <row r="32" spans="1:10" ht="12.75" customHeight="1">
      <c r="A32" s="226"/>
      <c r="B32" s="225"/>
      <c r="C32" s="225"/>
      <c r="D32" s="225"/>
      <c r="E32" s="225"/>
      <c r="F32" s="225"/>
      <c r="G32" s="225"/>
      <c r="H32" s="225"/>
      <c r="I32" s="225"/>
      <c r="J32" s="225"/>
    </row>
    <row r="33" spans="1:10" ht="12.75" customHeight="1">
      <c r="A33" s="226"/>
      <c r="B33" s="225"/>
      <c r="C33" s="225"/>
      <c r="D33" s="225"/>
      <c r="E33" s="225"/>
      <c r="F33" s="225"/>
      <c r="G33" s="225"/>
      <c r="H33" s="225"/>
      <c r="I33" s="225"/>
      <c r="J33" s="225"/>
    </row>
    <row r="34" spans="1:10" ht="12.75" customHeight="1">
      <c r="A34" s="226"/>
      <c r="B34" s="225"/>
      <c r="C34" s="225"/>
      <c r="D34" s="225"/>
      <c r="E34" s="225"/>
      <c r="F34" s="225"/>
      <c r="G34" s="225"/>
      <c r="H34" s="225"/>
      <c r="I34" s="225"/>
      <c r="J34" s="225"/>
    </row>
    <row r="35" spans="1:10" ht="12.75" customHeight="1">
      <c r="A35" s="226"/>
      <c r="B35" s="225"/>
      <c r="C35" s="225"/>
      <c r="D35" s="225"/>
      <c r="E35" s="225"/>
      <c r="F35" s="225"/>
      <c r="G35" s="225"/>
      <c r="H35" s="225"/>
      <c r="I35" s="225"/>
      <c r="J35" s="225"/>
    </row>
    <row r="36" spans="1:10" ht="12.75" customHeight="1">
      <c r="A36" s="226"/>
      <c r="B36" s="225"/>
      <c r="C36" s="225"/>
      <c r="D36" s="225"/>
      <c r="E36" s="225"/>
      <c r="F36" s="225"/>
      <c r="G36" s="225"/>
      <c r="H36" s="225"/>
      <c r="I36" s="225"/>
      <c r="J36" s="225"/>
    </row>
    <row r="37" spans="1:10" ht="12.75" customHeight="1">
      <c r="A37" s="226"/>
      <c r="B37" s="225"/>
      <c r="C37" s="225"/>
      <c r="D37" s="225"/>
      <c r="E37" s="225"/>
      <c r="F37" s="225"/>
      <c r="G37" s="225"/>
      <c r="H37" s="225"/>
      <c r="I37" s="225"/>
      <c r="J37" s="225"/>
    </row>
    <row r="38" spans="1:10" ht="12.75" customHeight="1">
      <c r="A38" s="226"/>
      <c r="B38" s="225"/>
      <c r="C38" s="225"/>
      <c r="D38" s="225"/>
      <c r="E38" s="225"/>
      <c r="F38" s="225"/>
      <c r="G38" s="225"/>
      <c r="H38" s="225"/>
      <c r="I38" s="225"/>
      <c r="J38" s="225"/>
    </row>
    <row r="39" spans="1:10" ht="12.75" customHeight="1">
      <c r="A39" s="226"/>
      <c r="B39" s="225"/>
      <c r="C39" s="225"/>
      <c r="D39" s="225"/>
      <c r="E39" s="225"/>
      <c r="F39" s="225"/>
      <c r="G39" s="225"/>
      <c r="H39" s="225"/>
      <c r="I39" s="225"/>
      <c r="J39" s="225"/>
    </row>
    <row r="40" spans="1:10" ht="12.75" customHeight="1">
      <c r="A40" s="226"/>
      <c r="B40" s="225"/>
      <c r="C40" s="225"/>
      <c r="D40" s="225"/>
      <c r="E40" s="225"/>
      <c r="F40" s="225"/>
      <c r="G40" s="225"/>
      <c r="H40" s="225"/>
      <c r="I40" s="225"/>
      <c r="J40" s="225"/>
    </row>
    <row r="41" spans="1:10" ht="12.75" customHeight="1">
      <c r="A41" s="226"/>
      <c r="B41" s="225"/>
      <c r="C41" s="225"/>
      <c r="D41" s="225"/>
      <c r="E41" s="225"/>
      <c r="F41" s="225"/>
      <c r="G41" s="225"/>
      <c r="H41" s="225"/>
      <c r="I41" s="225"/>
      <c r="J41" s="225"/>
    </row>
    <row r="42" spans="1:10" ht="12.75" customHeight="1">
      <c r="A42" s="226"/>
      <c r="B42" s="225"/>
      <c r="C42" s="225"/>
      <c r="D42" s="225"/>
      <c r="E42" s="225"/>
      <c r="F42" s="225"/>
      <c r="G42" s="225"/>
      <c r="H42" s="225"/>
      <c r="I42" s="225"/>
      <c r="J42" s="225"/>
    </row>
    <row r="43" spans="1:10" ht="12.75" customHeight="1">
      <c r="A43" s="226"/>
      <c r="B43" s="225"/>
      <c r="C43" s="225"/>
      <c r="D43" s="225"/>
      <c r="E43" s="225"/>
      <c r="F43" s="225"/>
      <c r="G43" s="225"/>
      <c r="H43" s="225"/>
      <c r="I43" s="225"/>
      <c r="J43" s="225"/>
    </row>
    <row r="44" spans="1:10" ht="12.75" customHeight="1">
      <c r="A44" s="226"/>
      <c r="B44" s="225"/>
      <c r="C44" s="225"/>
      <c r="D44" s="225"/>
      <c r="E44" s="225"/>
      <c r="F44" s="225"/>
      <c r="G44" s="225"/>
      <c r="H44" s="225"/>
      <c r="I44" s="225"/>
      <c r="J44" s="225"/>
    </row>
    <row r="45" spans="1:10" ht="12.75" customHeight="1">
      <c r="A45" s="226"/>
      <c r="B45" s="225"/>
      <c r="C45" s="225"/>
      <c r="D45" s="225"/>
      <c r="E45" s="225"/>
      <c r="F45" s="225"/>
      <c r="G45" s="225"/>
      <c r="H45" s="225"/>
      <c r="I45" s="225"/>
      <c r="J45" s="225"/>
    </row>
    <row r="46" spans="1:10" ht="12.75" customHeight="1">
      <c r="A46" s="226"/>
      <c r="B46" s="225"/>
      <c r="C46" s="225"/>
      <c r="D46" s="225"/>
      <c r="E46" s="225"/>
      <c r="F46" s="225"/>
      <c r="G46" s="225"/>
      <c r="H46" s="225"/>
      <c r="I46" s="225"/>
      <c r="J46" s="225"/>
    </row>
    <row r="47" spans="1:10" ht="12.75" customHeight="1">
      <c r="A47" s="226"/>
      <c r="B47" s="225"/>
      <c r="C47" s="225"/>
      <c r="D47" s="225"/>
      <c r="E47" s="225"/>
      <c r="F47" s="225"/>
      <c r="G47" s="225"/>
      <c r="H47" s="225"/>
      <c r="I47" s="225"/>
      <c r="J47" s="225"/>
    </row>
    <row r="48" spans="1:10" ht="12.75" customHeight="1">
      <c r="A48" s="226"/>
      <c r="B48" s="225"/>
      <c r="C48" s="225"/>
      <c r="D48" s="225"/>
      <c r="E48" s="225"/>
      <c r="F48" s="225"/>
      <c r="G48" s="225"/>
      <c r="H48" s="225"/>
      <c r="I48" s="225"/>
      <c r="J48" s="225"/>
    </row>
    <row r="49" spans="1:10" ht="12.75" customHeight="1">
      <c r="A49" s="226"/>
      <c r="B49" s="225"/>
      <c r="C49" s="225"/>
      <c r="D49" s="225"/>
      <c r="E49" s="225"/>
      <c r="F49" s="225"/>
      <c r="G49" s="225"/>
      <c r="H49" s="225"/>
      <c r="I49" s="225"/>
      <c r="J49" s="225"/>
    </row>
    <row r="50" spans="1:10" ht="12.75" customHeight="1">
      <c r="A50" s="226"/>
      <c r="B50" s="225"/>
      <c r="C50" s="225"/>
      <c r="D50" s="225"/>
      <c r="E50" s="225"/>
      <c r="F50" s="225"/>
      <c r="G50" s="225"/>
      <c r="H50" s="225"/>
      <c r="I50" s="225"/>
      <c r="J50" s="225"/>
    </row>
    <row r="51" spans="1:10" ht="12.75" customHeight="1">
      <c r="A51" s="226"/>
      <c r="B51" s="225"/>
      <c r="C51" s="225"/>
      <c r="D51" s="225"/>
      <c r="E51" s="225"/>
      <c r="F51" s="225"/>
      <c r="G51" s="225"/>
      <c r="H51" s="225"/>
      <c r="I51" s="225"/>
      <c r="J51" s="225"/>
    </row>
    <row r="52" spans="1:10" ht="12.75" customHeight="1">
      <c r="A52" s="226"/>
      <c r="B52" s="225"/>
      <c r="C52" s="225"/>
      <c r="D52" s="225"/>
      <c r="E52" s="225"/>
      <c r="F52" s="225"/>
      <c r="G52" s="225"/>
      <c r="H52" s="225"/>
      <c r="I52" s="225"/>
      <c r="J52" s="225"/>
    </row>
    <row r="53" spans="1:10" ht="12.75" customHeight="1">
      <c r="A53" s="226"/>
      <c r="B53" s="225"/>
      <c r="C53" s="225"/>
      <c r="D53" s="225"/>
      <c r="E53" s="225"/>
      <c r="F53" s="225"/>
      <c r="G53" s="225"/>
      <c r="H53" s="225"/>
      <c r="I53" s="225"/>
      <c r="J53" s="225"/>
    </row>
    <row r="54" spans="1:10">
      <c r="A54" s="47" t="s">
        <v>97</v>
      </c>
      <c r="B54" s="48"/>
      <c r="C54" s="103">
        <v>22</v>
      </c>
      <c r="D54" s="103">
        <v>1</v>
      </c>
      <c r="E54" s="102">
        <v>2025</v>
      </c>
    </row>
    <row r="55" spans="1:10">
      <c r="A55" s="21" t="s">
        <v>70</v>
      </c>
      <c r="C55" s="34" t="s">
        <v>172</v>
      </c>
      <c r="D55" s="34" t="s">
        <v>119</v>
      </c>
      <c r="E55" s="34" t="s">
        <v>120</v>
      </c>
    </row>
    <row r="59" spans="1:10">
      <c r="A59" s="229" t="s">
        <v>98</v>
      </c>
      <c r="B59" s="229"/>
      <c r="C59" s="229"/>
      <c r="D59" s="229"/>
      <c r="E59" s="49"/>
      <c r="F59" s="229" t="s">
        <v>99</v>
      </c>
      <c r="G59" s="229"/>
      <c r="H59" s="229"/>
      <c r="I59" s="46"/>
    </row>
    <row r="60" spans="1:10">
      <c r="A60" s="230" t="s">
        <v>350</v>
      </c>
      <c r="B60" s="231"/>
      <c r="C60" s="231"/>
      <c r="D60" s="232"/>
      <c r="E60" s="49"/>
      <c r="F60" s="230" t="s">
        <v>365</v>
      </c>
      <c r="G60" s="231"/>
      <c r="H60" s="232"/>
      <c r="I60" s="46"/>
    </row>
    <row r="61" spans="1:10">
      <c r="A61" s="229" t="s">
        <v>100</v>
      </c>
      <c r="B61" s="229"/>
      <c r="C61" s="229"/>
      <c r="D61" s="229"/>
      <c r="E61" s="49"/>
      <c r="F61" s="229" t="s">
        <v>100</v>
      </c>
      <c r="G61" s="229"/>
      <c r="H61" s="229"/>
      <c r="I61" s="46"/>
    </row>
  </sheetData>
  <mergeCells count="15">
    <mergeCell ref="A59:D59"/>
    <mergeCell ref="F59:H59"/>
    <mergeCell ref="A60:D60"/>
    <mergeCell ref="F60:H60"/>
    <mergeCell ref="A61:D61"/>
    <mergeCell ref="F61:H61"/>
    <mergeCell ref="C10:E10"/>
    <mergeCell ref="H10:J10"/>
    <mergeCell ref="H9:J9"/>
    <mergeCell ref="A13:J53"/>
    <mergeCell ref="A3:I3"/>
    <mergeCell ref="A4:I4"/>
    <mergeCell ref="A5:I5"/>
    <mergeCell ref="A7:I7"/>
    <mergeCell ref="C9:E9"/>
  </mergeCells>
  <dataValidations count="3">
    <dataValidation type="list" allowBlank="1" showInputMessage="1" showErrorMessage="1" sqref="C54 C11 H11" xr:uid="{00000000-0002-0000-0300-000000000000}">
      <formula1>DIA</formula1>
    </dataValidation>
    <dataValidation type="list" allowBlank="1" showInputMessage="1" showErrorMessage="1" sqref="D54 D11 I11" xr:uid="{00000000-0002-0000-0300-000001000000}">
      <formula1>MES</formula1>
    </dataValidation>
    <dataValidation type="list" allowBlank="1" showInputMessage="1" showErrorMessage="1" sqref="E54 E11 J11" xr:uid="{00000000-0002-0000-0300-000002000000}">
      <formula1>AÑO</formula1>
    </dataValidation>
  </dataValidations>
  <printOptions horizontalCentered="1" verticalCentered="1"/>
  <pageMargins left="0.23622047244094491" right="0.27559055118110237" top="0.43" bottom="0.46" header="0" footer="0"/>
  <pageSetup scale="83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Hoja4.INFORME_NARRATIVO">
                <anchor moveWithCells="1" sizeWithCells="1">
                  <from>
                    <xdr:col>10</xdr:col>
                    <xdr:colOff>257175</xdr:colOff>
                    <xdr:row>1</xdr:row>
                    <xdr:rowOff>57150</xdr:rowOff>
                  </from>
                  <to>
                    <xdr:col>12</xdr:col>
                    <xdr:colOff>152400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C00000"/>
  </sheetPr>
  <dimension ref="B1:L61"/>
  <sheetViews>
    <sheetView showGridLines="0" view="pageBreakPreview" topLeftCell="A13" zoomScale="90" zoomScaleSheetLayoutView="90" workbookViewId="0">
      <selection activeCell="L54" sqref="L54"/>
    </sheetView>
  </sheetViews>
  <sheetFormatPr baseColWidth="10" defaultRowHeight="12.75"/>
  <cols>
    <col min="1" max="1" width="3.140625" style="21" customWidth="1"/>
    <col min="2" max="2" width="18.140625" style="21" customWidth="1"/>
    <col min="3" max="6" width="11.85546875" style="21" customWidth="1"/>
    <col min="7" max="7" width="17.140625" style="21" customWidth="1"/>
    <col min="8" max="10" width="11.85546875" style="21" customWidth="1"/>
    <col min="11" max="11" width="5.140625" style="21" customWidth="1"/>
    <col min="12" max="12" width="12.140625" style="21" customWidth="1"/>
    <col min="13" max="257" width="11.5703125" style="21"/>
    <col min="258" max="258" width="3.140625" style="21" customWidth="1"/>
    <col min="259" max="266" width="11.85546875" style="21" customWidth="1"/>
    <col min="267" max="267" width="5.140625" style="21" customWidth="1"/>
    <col min="268" max="268" width="12.140625" style="21" customWidth="1"/>
    <col min="269" max="513" width="11.5703125" style="21"/>
    <col min="514" max="514" width="3.140625" style="21" customWidth="1"/>
    <col min="515" max="522" width="11.85546875" style="21" customWidth="1"/>
    <col min="523" max="523" width="5.140625" style="21" customWidth="1"/>
    <col min="524" max="524" width="12.140625" style="21" customWidth="1"/>
    <col min="525" max="769" width="11.5703125" style="21"/>
    <col min="770" max="770" width="3.140625" style="21" customWidth="1"/>
    <col min="771" max="778" width="11.85546875" style="21" customWidth="1"/>
    <col min="779" max="779" width="5.140625" style="21" customWidth="1"/>
    <col min="780" max="780" width="12.140625" style="21" customWidth="1"/>
    <col min="781" max="1025" width="11.5703125" style="21"/>
    <col min="1026" max="1026" width="3.140625" style="21" customWidth="1"/>
    <col min="1027" max="1034" width="11.85546875" style="21" customWidth="1"/>
    <col min="1035" max="1035" width="5.140625" style="21" customWidth="1"/>
    <col min="1036" max="1036" width="12.140625" style="21" customWidth="1"/>
    <col min="1037" max="1281" width="11.5703125" style="21"/>
    <col min="1282" max="1282" width="3.140625" style="21" customWidth="1"/>
    <col min="1283" max="1290" width="11.85546875" style="21" customWidth="1"/>
    <col min="1291" max="1291" width="5.140625" style="21" customWidth="1"/>
    <col min="1292" max="1292" width="12.140625" style="21" customWidth="1"/>
    <col min="1293" max="1537" width="11.5703125" style="21"/>
    <col min="1538" max="1538" width="3.140625" style="21" customWidth="1"/>
    <col min="1539" max="1546" width="11.85546875" style="21" customWidth="1"/>
    <col min="1547" max="1547" width="5.140625" style="21" customWidth="1"/>
    <col min="1548" max="1548" width="12.140625" style="21" customWidth="1"/>
    <col min="1549" max="1793" width="11.5703125" style="21"/>
    <col min="1794" max="1794" width="3.140625" style="21" customWidth="1"/>
    <col min="1795" max="1802" width="11.85546875" style="21" customWidth="1"/>
    <col min="1803" max="1803" width="5.140625" style="21" customWidth="1"/>
    <col min="1804" max="1804" width="12.140625" style="21" customWidth="1"/>
    <col min="1805" max="2049" width="11.5703125" style="21"/>
    <col min="2050" max="2050" width="3.140625" style="21" customWidth="1"/>
    <col min="2051" max="2058" width="11.85546875" style="21" customWidth="1"/>
    <col min="2059" max="2059" width="5.140625" style="21" customWidth="1"/>
    <col min="2060" max="2060" width="12.140625" style="21" customWidth="1"/>
    <col min="2061" max="2305" width="11.5703125" style="21"/>
    <col min="2306" max="2306" width="3.140625" style="21" customWidth="1"/>
    <col min="2307" max="2314" width="11.85546875" style="21" customWidth="1"/>
    <col min="2315" max="2315" width="5.140625" style="21" customWidth="1"/>
    <col min="2316" max="2316" width="12.140625" style="21" customWidth="1"/>
    <col min="2317" max="2561" width="11.5703125" style="21"/>
    <col min="2562" max="2562" width="3.140625" style="21" customWidth="1"/>
    <col min="2563" max="2570" width="11.85546875" style="21" customWidth="1"/>
    <col min="2571" max="2571" width="5.140625" style="21" customWidth="1"/>
    <col min="2572" max="2572" width="12.140625" style="21" customWidth="1"/>
    <col min="2573" max="2817" width="11.5703125" style="21"/>
    <col min="2818" max="2818" width="3.140625" style="21" customWidth="1"/>
    <col min="2819" max="2826" width="11.85546875" style="21" customWidth="1"/>
    <col min="2827" max="2827" width="5.140625" style="21" customWidth="1"/>
    <col min="2828" max="2828" width="12.140625" style="21" customWidth="1"/>
    <col min="2829" max="3073" width="11.5703125" style="21"/>
    <col min="3074" max="3074" width="3.140625" style="21" customWidth="1"/>
    <col min="3075" max="3082" width="11.85546875" style="21" customWidth="1"/>
    <col min="3083" max="3083" width="5.140625" style="21" customWidth="1"/>
    <col min="3084" max="3084" width="12.140625" style="21" customWidth="1"/>
    <col min="3085" max="3329" width="11.5703125" style="21"/>
    <col min="3330" max="3330" width="3.140625" style="21" customWidth="1"/>
    <col min="3331" max="3338" width="11.85546875" style="21" customWidth="1"/>
    <col min="3339" max="3339" width="5.140625" style="21" customWidth="1"/>
    <col min="3340" max="3340" width="12.140625" style="21" customWidth="1"/>
    <col min="3341" max="3585" width="11.5703125" style="21"/>
    <col min="3586" max="3586" width="3.140625" style="21" customWidth="1"/>
    <col min="3587" max="3594" width="11.85546875" style="21" customWidth="1"/>
    <col min="3595" max="3595" width="5.140625" style="21" customWidth="1"/>
    <col min="3596" max="3596" width="12.140625" style="21" customWidth="1"/>
    <col min="3597" max="3841" width="11.5703125" style="21"/>
    <col min="3842" max="3842" width="3.140625" style="21" customWidth="1"/>
    <col min="3843" max="3850" width="11.85546875" style="21" customWidth="1"/>
    <col min="3851" max="3851" width="5.140625" style="21" customWidth="1"/>
    <col min="3852" max="3852" width="12.140625" style="21" customWidth="1"/>
    <col min="3853" max="4097" width="11.5703125" style="21"/>
    <col min="4098" max="4098" width="3.140625" style="21" customWidth="1"/>
    <col min="4099" max="4106" width="11.85546875" style="21" customWidth="1"/>
    <col min="4107" max="4107" width="5.140625" style="21" customWidth="1"/>
    <col min="4108" max="4108" width="12.140625" style="21" customWidth="1"/>
    <col min="4109" max="4353" width="11.5703125" style="21"/>
    <col min="4354" max="4354" width="3.140625" style="21" customWidth="1"/>
    <col min="4355" max="4362" width="11.85546875" style="21" customWidth="1"/>
    <col min="4363" max="4363" width="5.140625" style="21" customWidth="1"/>
    <col min="4364" max="4364" width="12.140625" style="21" customWidth="1"/>
    <col min="4365" max="4609" width="11.5703125" style="21"/>
    <col min="4610" max="4610" width="3.140625" style="21" customWidth="1"/>
    <col min="4611" max="4618" width="11.85546875" style="21" customWidth="1"/>
    <col min="4619" max="4619" width="5.140625" style="21" customWidth="1"/>
    <col min="4620" max="4620" width="12.140625" style="21" customWidth="1"/>
    <col min="4621" max="4865" width="11.5703125" style="21"/>
    <col min="4866" max="4866" width="3.140625" style="21" customWidth="1"/>
    <col min="4867" max="4874" width="11.85546875" style="21" customWidth="1"/>
    <col min="4875" max="4875" width="5.140625" style="21" customWidth="1"/>
    <col min="4876" max="4876" width="12.140625" style="21" customWidth="1"/>
    <col min="4877" max="5121" width="11.5703125" style="21"/>
    <col min="5122" max="5122" width="3.140625" style="21" customWidth="1"/>
    <col min="5123" max="5130" width="11.85546875" style="21" customWidth="1"/>
    <col min="5131" max="5131" width="5.140625" style="21" customWidth="1"/>
    <col min="5132" max="5132" width="12.140625" style="21" customWidth="1"/>
    <col min="5133" max="5377" width="11.5703125" style="21"/>
    <col min="5378" max="5378" width="3.140625" style="21" customWidth="1"/>
    <col min="5379" max="5386" width="11.85546875" style="21" customWidth="1"/>
    <col min="5387" max="5387" width="5.140625" style="21" customWidth="1"/>
    <col min="5388" max="5388" width="12.140625" style="21" customWidth="1"/>
    <col min="5389" max="5633" width="11.5703125" style="21"/>
    <col min="5634" max="5634" width="3.140625" style="21" customWidth="1"/>
    <col min="5635" max="5642" width="11.85546875" style="21" customWidth="1"/>
    <col min="5643" max="5643" width="5.140625" style="21" customWidth="1"/>
    <col min="5644" max="5644" width="12.140625" style="21" customWidth="1"/>
    <col min="5645" max="5889" width="11.5703125" style="21"/>
    <col min="5890" max="5890" width="3.140625" style="21" customWidth="1"/>
    <col min="5891" max="5898" width="11.85546875" style="21" customWidth="1"/>
    <col min="5899" max="5899" width="5.140625" style="21" customWidth="1"/>
    <col min="5900" max="5900" width="12.140625" style="21" customWidth="1"/>
    <col min="5901" max="6145" width="11.5703125" style="21"/>
    <col min="6146" max="6146" width="3.140625" style="21" customWidth="1"/>
    <col min="6147" max="6154" width="11.85546875" style="21" customWidth="1"/>
    <col min="6155" max="6155" width="5.140625" style="21" customWidth="1"/>
    <col min="6156" max="6156" width="12.140625" style="21" customWidth="1"/>
    <col min="6157" max="6401" width="11.5703125" style="21"/>
    <col min="6402" max="6402" width="3.140625" style="21" customWidth="1"/>
    <col min="6403" max="6410" width="11.85546875" style="21" customWidth="1"/>
    <col min="6411" max="6411" width="5.140625" style="21" customWidth="1"/>
    <col min="6412" max="6412" width="12.140625" style="21" customWidth="1"/>
    <col min="6413" max="6657" width="11.5703125" style="21"/>
    <col min="6658" max="6658" width="3.140625" style="21" customWidth="1"/>
    <col min="6659" max="6666" width="11.85546875" style="21" customWidth="1"/>
    <col min="6667" max="6667" width="5.140625" style="21" customWidth="1"/>
    <col min="6668" max="6668" width="12.140625" style="21" customWidth="1"/>
    <col min="6669" max="6913" width="11.5703125" style="21"/>
    <col min="6914" max="6914" width="3.140625" style="21" customWidth="1"/>
    <col min="6915" max="6922" width="11.85546875" style="21" customWidth="1"/>
    <col min="6923" max="6923" width="5.140625" style="21" customWidth="1"/>
    <col min="6924" max="6924" width="12.140625" style="21" customWidth="1"/>
    <col min="6925" max="7169" width="11.5703125" style="21"/>
    <col min="7170" max="7170" width="3.140625" style="21" customWidth="1"/>
    <col min="7171" max="7178" width="11.85546875" style="21" customWidth="1"/>
    <col min="7179" max="7179" width="5.140625" style="21" customWidth="1"/>
    <col min="7180" max="7180" width="12.140625" style="21" customWidth="1"/>
    <col min="7181" max="7425" width="11.5703125" style="21"/>
    <col min="7426" max="7426" width="3.140625" style="21" customWidth="1"/>
    <col min="7427" max="7434" width="11.85546875" style="21" customWidth="1"/>
    <col min="7435" max="7435" width="5.140625" style="21" customWidth="1"/>
    <col min="7436" max="7436" width="12.140625" style="21" customWidth="1"/>
    <col min="7437" max="7681" width="11.5703125" style="21"/>
    <col min="7682" max="7682" width="3.140625" style="21" customWidth="1"/>
    <col min="7683" max="7690" width="11.85546875" style="21" customWidth="1"/>
    <col min="7691" max="7691" width="5.140625" style="21" customWidth="1"/>
    <col min="7692" max="7692" width="12.140625" style="21" customWidth="1"/>
    <col min="7693" max="7937" width="11.5703125" style="21"/>
    <col min="7938" max="7938" width="3.140625" style="21" customWidth="1"/>
    <col min="7939" max="7946" width="11.85546875" style="21" customWidth="1"/>
    <col min="7947" max="7947" width="5.140625" style="21" customWidth="1"/>
    <col min="7948" max="7948" width="12.140625" style="21" customWidth="1"/>
    <col min="7949" max="8193" width="11.5703125" style="21"/>
    <col min="8194" max="8194" width="3.140625" style="21" customWidth="1"/>
    <col min="8195" max="8202" width="11.85546875" style="21" customWidth="1"/>
    <col min="8203" max="8203" width="5.140625" style="21" customWidth="1"/>
    <col min="8204" max="8204" width="12.140625" style="21" customWidth="1"/>
    <col min="8205" max="8449" width="11.5703125" style="21"/>
    <col min="8450" max="8450" width="3.140625" style="21" customWidth="1"/>
    <col min="8451" max="8458" width="11.85546875" style="21" customWidth="1"/>
    <col min="8459" max="8459" width="5.140625" style="21" customWidth="1"/>
    <col min="8460" max="8460" width="12.140625" style="21" customWidth="1"/>
    <col min="8461" max="8705" width="11.5703125" style="21"/>
    <col min="8706" max="8706" width="3.140625" style="21" customWidth="1"/>
    <col min="8707" max="8714" width="11.85546875" style="21" customWidth="1"/>
    <col min="8715" max="8715" width="5.140625" style="21" customWidth="1"/>
    <col min="8716" max="8716" width="12.140625" style="21" customWidth="1"/>
    <col min="8717" max="8961" width="11.5703125" style="21"/>
    <col min="8962" max="8962" width="3.140625" style="21" customWidth="1"/>
    <col min="8963" max="8970" width="11.85546875" style="21" customWidth="1"/>
    <col min="8971" max="8971" width="5.140625" style="21" customWidth="1"/>
    <col min="8972" max="8972" width="12.140625" style="21" customWidth="1"/>
    <col min="8973" max="9217" width="11.5703125" style="21"/>
    <col min="9218" max="9218" width="3.140625" style="21" customWidth="1"/>
    <col min="9219" max="9226" width="11.85546875" style="21" customWidth="1"/>
    <col min="9227" max="9227" width="5.140625" style="21" customWidth="1"/>
    <col min="9228" max="9228" width="12.140625" style="21" customWidth="1"/>
    <col min="9229" max="9473" width="11.5703125" style="21"/>
    <col min="9474" max="9474" width="3.140625" style="21" customWidth="1"/>
    <col min="9475" max="9482" width="11.85546875" style="21" customWidth="1"/>
    <col min="9483" max="9483" width="5.140625" style="21" customWidth="1"/>
    <col min="9484" max="9484" width="12.140625" style="21" customWidth="1"/>
    <col min="9485" max="9729" width="11.5703125" style="21"/>
    <col min="9730" max="9730" width="3.140625" style="21" customWidth="1"/>
    <col min="9731" max="9738" width="11.85546875" style="21" customWidth="1"/>
    <col min="9739" max="9739" width="5.140625" style="21" customWidth="1"/>
    <col min="9740" max="9740" width="12.140625" style="21" customWidth="1"/>
    <col min="9741" max="9985" width="11.5703125" style="21"/>
    <col min="9986" max="9986" width="3.140625" style="21" customWidth="1"/>
    <col min="9987" max="9994" width="11.85546875" style="21" customWidth="1"/>
    <col min="9995" max="9995" width="5.140625" style="21" customWidth="1"/>
    <col min="9996" max="9996" width="12.140625" style="21" customWidth="1"/>
    <col min="9997" max="10241" width="11.5703125" style="21"/>
    <col min="10242" max="10242" width="3.140625" style="21" customWidth="1"/>
    <col min="10243" max="10250" width="11.85546875" style="21" customWidth="1"/>
    <col min="10251" max="10251" width="5.140625" style="21" customWidth="1"/>
    <col min="10252" max="10252" width="12.140625" style="21" customWidth="1"/>
    <col min="10253" max="10497" width="11.5703125" style="21"/>
    <col min="10498" max="10498" width="3.140625" style="21" customWidth="1"/>
    <col min="10499" max="10506" width="11.85546875" style="21" customWidth="1"/>
    <col min="10507" max="10507" width="5.140625" style="21" customWidth="1"/>
    <col min="10508" max="10508" width="12.140625" style="21" customWidth="1"/>
    <col min="10509" max="10753" width="11.5703125" style="21"/>
    <col min="10754" max="10754" width="3.140625" style="21" customWidth="1"/>
    <col min="10755" max="10762" width="11.85546875" style="21" customWidth="1"/>
    <col min="10763" max="10763" width="5.140625" style="21" customWidth="1"/>
    <col min="10764" max="10764" width="12.140625" style="21" customWidth="1"/>
    <col min="10765" max="11009" width="11.5703125" style="21"/>
    <col min="11010" max="11010" width="3.140625" style="21" customWidth="1"/>
    <col min="11011" max="11018" width="11.85546875" style="21" customWidth="1"/>
    <col min="11019" max="11019" width="5.140625" style="21" customWidth="1"/>
    <col min="11020" max="11020" width="12.140625" style="21" customWidth="1"/>
    <col min="11021" max="11265" width="11.5703125" style="21"/>
    <col min="11266" max="11266" width="3.140625" style="21" customWidth="1"/>
    <col min="11267" max="11274" width="11.85546875" style="21" customWidth="1"/>
    <col min="11275" max="11275" width="5.140625" style="21" customWidth="1"/>
    <col min="11276" max="11276" width="12.140625" style="21" customWidth="1"/>
    <col min="11277" max="11521" width="11.5703125" style="21"/>
    <col min="11522" max="11522" width="3.140625" style="21" customWidth="1"/>
    <col min="11523" max="11530" width="11.85546875" style="21" customWidth="1"/>
    <col min="11531" max="11531" width="5.140625" style="21" customWidth="1"/>
    <col min="11532" max="11532" width="12.140625" style="21" customWidth="1"/>
    <col min="11533" max="11777" width="11.5703125" style="21"/>
    <col min="11778" max="11778" width="3.140625" style="21" customWidth="1"/>
    <col min="11779" max="11786" width="11.85546875" style="21" customWidth="1"/>
    <col min="11787" max="11787" width="5.140625" style="21" customWidth="1"/>
    <col min="11788" max="11788" width="12.140625" style="21" customWidth="1"/>
    <col min="11789" max="12033" width="11.5703125" style="21"/>
    <col min="12034" max="12034" width="3.140625" style="21" customWidth="1"/>
    <col min="12035" max="12042" width="11.85546875" style="21" customWidth="1"/>
    <col min="12043" max="12043" width="5.140625" style="21" customWidth="1"/>
    <col min="12044" max="12044" width="12.140625" style="21" customWidth="1"/>
    <col min="12045" max="12289" width="11.5703125" style="21"/>
    <col min="12290" max="12290" width="3.140625" style="21" customWidth="1"/>
    <col min="12291" max="12298" width="11.85546875" style="21" customWidth="1"/>
    <col min="12299" max="12299" width="5.140625" style="21" customWidth="1"/>
    <col min="12300" max="12300" width="12.140625" style="21" customWidth="1"/>
    <col min="12301" max="12545" width="11.5703125" style="21"/>
    <col min="12546" max="12546" width="3.140625" style="21" customWidth="1"/>
    <col min="12547" max="12554" width="11.85546875" style="21" customWidth="1"/>
    <col min="12555" max="12555" width="5.140625" style="21" customWidth="1"/>
    <col min="12556" max="12556" width="12.140625" style="21" customWidth="1"/>
    <col min="12557" max="12801" width="11.5703125" style="21"/>
    <col min="12802" max="12802" width="3.140625" style="21" customWidth="1"/>
    <col min="12803" max="12810" width="11.85546875" style="21" customWidth="1"/>
    <col min="12811" max="12811" width="5.140625" style="21" customWidth="1"/>
    <col min="12812" max="12812" width="12.140625" style="21" customWidth="1"/>
    <col min="12813" max="13057" width="11.5703125" style="21"/>
    <col min="13058" max="13058" width="3.140625" style="21" customWidth="1"/>
    <col min="13059" max="13066" width="11.85546875" style="21" customWidth="1"/>
    <col min="13067" max="13067" width="5.140625" style="21" customWidth="1"/>
    <col min="13068" max="13068" width="12.140625" style="21" customWidth="1"/>
    <col min="13069" max="13313" width="11.5703125" style="21"/>
    <col min="13314" max="13314" width="3.140625" style="21" customWidth="1"/>
    <col min="13315" max="13322" width="11.85546875" style="21" customWidth="1"/>
    <col min="13323" max="13323" width="5.140625" style="21" customWidth="1"/>
    <col min="13324" max="13324" width="12.140625" style="21" customWidth="1"/>
    <col min="13325" max="13569" width="11.5703125" style="21"/>
    <col min="13570" max="13570" width="3.140625" style="21" customWidth="1"/>
    <col min="13571" max="13578" width="11.85546875" style="21" customWidth="1"/>
    <col min="13579" max="13579" width="5.140625" style="21" customWidth="1"/>
    <col min="13580" max="13580" width="12.140625" style="21" customWidth="1"/>
    <col min="13581" max="13825" width="11.5703125" style="21"/>
    <col min="13826" max="13826" width="3.140625" style="21" customWidth="1"/>
    <col min="13827" max="13834" width="11.85546875" style="21" customWidth="1"/>
    <col min="13835" max="13835" width="5.140625" style="21" customWidth="1"/>
    <col min="13836" max="13836" width="12.140625" style="21" customWidth="1"/>
    <col min="13837" max="14081" width="11.5703125" style="21"/>
    <col min="14082" max="14082" width="3.140625" style="21" customWidth="1"/>
    <col min="14083" max="14090" width="11.85546875" style="21" customWidth="1"/>
    <col min="14091" max="14091" width="5.140625" style="21" customWidth="1"/>
    <col min="14092" max="14092" width="12.140625" style="21" customWidth="1"/>
    <col min="14093" max="14337" width="11.5703125" style="21"/>
    <col min="14338" max="14338" width="3.140625" style="21" customWidth="1"/>
    <col min="14339" max="14346" width="11.85546875" style="21" customWidth="1"/>
    <col min="14347" max="14347" width="5.140625" style="21" customWidth="1"/>
    <col min="14348" max="14348" width="12.140625" style="21" customWidth="1"/>
    <col min="14349" max="14593" width="11.5703125" style="21"/>
    <col min="14594" max="14594" width="3.140625" style="21" customWidth="1"/>
    <col min="14595" max="14602" width="11.85546875" style="21" customWidth="1"/>
    <col min="14603" max="14603" width="5.140625" style="21" customWidth="1"/>
    <col min="14604" max="14604" width="12.140625" style="21" customWidth="1"/>
    <col min="14605" max="14849" width="11.5703125" style="21"/>
    <col min="14850" max="14850" width="3.140625" style="21" customWidth="1"/>
    <col min="14851" max="14858" width="11.85546875" style="21" customWidth="1"/>
    <col min="14859" max="14859" width="5.140625" style="21" customWidth="1"/>
    <col min="14860" max="14860" width="12.140625" style="21" customWidth="1"/>
    <col min="14861" max="15105" width="11.5703125" style="21"/>
    <col min="15106" max="15106" width="3.140625" style="21" customWidth="1"/>
    <col min="15107" max="15114" width="11.85546875" style="21" customWidth="1"/>
    <col min="15115" max="15115" width="5.140625" style="21" customWidth="1"/>
    <col min="15116" max="15116" width="12.140625" style="21" customWidth="1"/>
    <col min="15117" max="15361" width="11.5703125" style="21"/>
    <col min="15362" max="15362" width="3.140625" style="21" customWidth="1"/>
    <col min="15363" max="15370" width="11.85546875" style="21" customWidth="1"/>
    <col min="15371" max="15371" width="5.140625" style="21" customWidth="1"/>
    <col min="15372" max="15372" width="12.140625" style="21" customWidth="1"/>
    <col min="15373" max="15617" width="11.5703125" style="21"/>
    <col min="15618" max="15618" width="3.140625" style="21" customWidth="1"/>
    <col min="15619" max="15626" width="11.85546875" style="21" customWidth="1"/>
    <col min="15627" max="15627" width="5.140625" style="21" customWidth="1"/>
    <col min="15628" max="15628" width="12.140625" style="21" customWidth="1"/>
    <col min="15629" max="15873" width="11.5703125" style="21"/>
    <col min="15874" max="15874" width="3.140625" style="21" customWidth="1"/>
    <col min="15875" max="15882" width="11.85546875" style="21" customWidth="1"/>
    <col min="15883" max="15883" width="5.140625" style="21" customWidth="1"/>
    <col min="15884" max="15884" width="12.140625" style="21" customWidth="1"/>
    <col min="15885" max="16129" width="11.5703125" style="21"/>
    <col min="16130" max="16130" width="3.140625" style="21" customWidth="1"/>
    <col min="16131" max="16138" width="11.85546875" style="21" customWidth="1"/>
    <col min="16139" max="16139" width="5.140625" style="21" customWidth="1"/>
    <col min="16140" max="16140" width="12.140625" style="21" customWidth="1"/>
    <col min="16141" max="16384" width="11.5703125" style="21"/>
  </cols>
  <sheetData>
    <row r="1" spans="2:12">
      <c r="B1" s="46"/>
      <c r="C1" s="46"/>
      <c r="D1" s="46"/>
      <c r="E1" s="46"/>
      <c r="F1" s="46"/>
      <c r="G1" s="46"/>
      <c r="H1" s="46"/>
      <c r="I1" s="46"/>
      <c r="J1" s="46"/>
    </row>
    <row r="3" spans="2:12">
      <c r="B3" s="227" t="s">
        <v>61</v>
      </c>
      <c r="C3" s="227"/>
      <c r="D3" s="227"/>
      <c r="E3" s="227"/>
      <c r="F3" s="227"/>
      <c r="G3" s="227"/>
      <c r="H3" s="227"/>
      <c r="I3" s="227"/>
      <c r="J3" s="227"/>
    </row>
    <row r="4" spans="2:12">
      <c r="B4" s="227" t="s">
        <v>62</v>
      </c>
      <c r="C4" s="227"/>
      <c r="D4" s="227"/>
      <c r="E4" s="227"/>
      <c r="F4" s="227"/>
      <c r="G4" s="227"/>
      <c r="H4" s="227"/>
      <c r="I4" s="227"/>
      <c r="J4" s="227"/>
    </row>
    <row r="5" spans="2:12">
      <c r="B5" s="227" t="s">
        <v>63</v>
      </c>
      <c r="C5" s="227"/>
      <c r="D5" s="227"/>
      <c r="E5" s="227"/>
      <c r="F5" s="227"/>
      <c r="G5" s="227"/>
      <c r="H5" s="227"/>
      <c r="I5" s="227"/>
      <c r="J5" s="227"/>
    </row>
    <row r="6" spans="2:12">
      <c r="B6" s="22"/>
    </row>
    <row r="7" spans="2:12">
      <c r="B7" s="228" t="s">
        <v>101</v>
      </c>
      <c r="C7" s="228"/>
      <c r="D7" s="228"/>
      <c r="E7" s="228"/>
      <c r="F7" s="228"/>
      <c r="G7" s="228"/>
      <c r="H7" s="228"/>
      <c r="I7" s="228"/>
      <c r="J7" s="228"/>
    </row>
    <row r="9" spans="2:12">
      <c r="B9" s="24" t="s">
        <v>64</v>
      </c>
      <c r="C9" s="242" t="s">
        <v>347</v>
      </c>
      <c r="D9" s="242"/>
      <c r="E9" s="242"/>
      <c r="F9" s="50"/>
      <c r="G9" s="24" t="s">
        <v>65</v>
      </c>
      <c r="H9" s="243" t="s">
        <v>342</v>
      </c>
      <c r="I9" s="243"/>
      <c r="J9" s="243"/>
    </row>
    <row r="10" spans="2:12">
      <c r="B10" s="24" t="s">
        <v>66</v>
      </c>
      <c r="C10" s="243" t="s">
        <v>339</v>
      </c>
      <c r="D10" s="243"/>
      <c r="E10" s="243"/>
      <c r="F10" s="51"/>
      <c r="G10" s="24" t="s">
        <v>3</v>
      </c>
      <c r="H10" s="243" t="s">
        <v>345</v>
      </c>
      <c r="I10" s="243"/>
      <c r="J10" s="243"/>
    </row>
    <row r="11" spans="2:12">
      <c r="B11" s="24" t="s">
        <v>67</v>
      </c>
      <c r="C11" s="84">
        <v>14</v>
      </c>
      <c r="D11" s="77">
        <v>1</v>
      </c>
      <c r="E11" s="62">
        <v>2025</v>
      </c>
      <c r="F11" s="50"/>
      <c r="G11" s="24" t="s">
        <v>90</v>
      </c>
      <c r="H11" s="84"/>
      <c r="I11" s="77"/>
      <c r="J11" s="62"/>
    </row>
    <row r="12" spans="2:12" ht="13.5" thickBot="1">
      <c r="C12" s="34" t="s">
        <v>172</v>
      </c>
      <c r="D12" s="34" t="s">
        <v>119</v>
      </c>
      <c r="E12" s="34" t="s">
        <v>120</v>
      </c>
      <c r="H12" s="34" t="s">
        <v>172</v>
      </c>
      <c r="I12" s="34" t="s">
        <v>119</v>
      </c>
      <c r="J12" s="34" t="s">
        <v>120</v>
      </c>
    </row>
    <row r="13" spans="2:12" ht="12.75" customHeight="1">
      <c r="B13" s="233"/>
      <c r="C13" s="234"/>
      <c r="D13" s="234"/>
      <c r="E13" s="234"/>
      <c r="F13" s="234"/>
      <c r="G13" s="234"/>
      <c r="H13" s="234"/>
      <c r="I13" s="234"/>
      <c r="J13" s="235"/>
    </row>
    <row r="14" spans="2:12" ht="12.75" customHeight="1">
      <c r="B14" s="236"/>
      <c r="C14" s="237"/>
      <c r="D14" s="237"/>
      <c r="E14" s="237"/>
      <c r="F14" s="237"/>
      <c r="G14" s="237"/>
      <c r="H14" s="237"/>
      <c r="I14" s="237"/>
      <c r="J14" s="238"/>
    </row>
    <row r="15" spans="2:12" ht="12.75" customHeight="1">
      <c r="B15" s="236"/>
      <c r="C15" s="237"/>
      <c r="D15" s="237"/>
      <c r="E15" s="237"/>
      <c r="F15" s="237"/>
      <c r="G15" s="237"/>
      <c r="H15" s="237"/>
      <c r="I15" s="237"/>
      <c r="J15" s="238"/>
      <c r="L15" s="52" t="s">
        <v>102</v>
      </c>
    </row>
    <row r="16" spans="2:12" ht="12.75" customHeight="1">
      <c r="B16" s="236"/>
      <c r="C16" s="237"/>
      <c r="D16" s="237"/>
      <c r="E16" s="237"/>
      <c r="F16" s="237"/>
      <c r="G16" s="237"/>
      <c r="H16" s="237"/>
      <c r="I16" s="237"/>
      <c r="J16" s="238"/>
      <c r="L16" s="52"/>
    </row>
    <row r="17" spans="2:12" ht="12.75" customHeight="1">
      <c r="B17" s="236"/>
      <c r="C17" s="237"/>
      <c r="D17" s="237"/>
      <c r="E17" s="237"/>
      <c r="F17" s="237"/>
      <c r="G17" s="237"/>
      <c r="H17" s="237"/>
      <c r="I17" s="237"/>
      <c r="J17" s="238"/>
      <c r="L17" s="52" t="s">
        <v>103</v>
      </c>
    </row>
    <row r="18" spans="2:12" ht="12.75" customHeight="1">
      <c r="B18" s="236"/>
      <c r="C18" s="237"/>
      <c r="D18" s="237"/>
      <c r="E18" s="237"/>
      <c r="F18" s="237"/>
      <c r="G18" s="237"/>
      <c r="H18" s="237"/>
      <c r="I18" s="237"/>
      <c r="J18" s="238"/>
      <c r="L18" s="52"/>
    </row>
    <row r="19" spans="2:12" ht="12.75" customHeight="1">
      <c r="B19" s="236"/>
      <c r="C19" s="237"/>
      <c r="D19" s="237"/>
      <c r="E19" s="237"/>
      <c r="F19" s="237"/>
      <c r="G19" s="237"/>
      <c r="H19" s="237"/>
      <c r="I19" s="237"/>
      <c r="J19" s="238"/>
      <c r="L19" s="52" t="s">
        <v>104</v>
      </c>
    </row>
    <row r="20" spans="2:12" ht="12.75" customHeight="1">
      <c r="B20" s="236"/>
      <c r="C20" s="237"/>
      <c r="D20" s="237"/>
      <c r="E20" s="237"/>
      <c r="F20" s="237"/>
      <c r="G20" s="237"/>
      <c r="H20" s="237"/>
      <c r="I20" s="237"/>
      <c r="J20" s="238"/>
    </row>
    <row r="21" spans="2:12" ht="12.75" customHeight="1">
      <c r="B21" s="236"/>
      <c r="C21" s="237"/>
      <c r="D21" s="237"/>
      <c r="E21" s="237"/>
      <c r="F21" s="237"/>
      <c r="G21" s="237"/>
      <c r="H21" s="237"/>
      <c r="I21" s="237"/>
      <c r="J21" s="238"/>
    </row>
    <row r="22" spans="2:12" ht="12.75" customHeight="1">
      <c r="B22" s="236"/>
      <c r="C22" s="237"/>
      <c r="D22" s="237"/>
      <c r="E22" s="237"/>
      <c r="F22" s="237"/>
      <c r="G22" s="237"/>
      <c r="H22" s="237"/>
      <c r="I22" s="237"/>
      <c r="J22" s="238"/>
    </row>
    <row r="23" spans="2:12" ht="12.75" customHeight="1">
      <c r="B23" s="236"/>
      <c r="C23" s="237"/>
      <c r="D23" s="237"/>
      <c r="E23" s="237"/>
      <c r="F23" s="237"/>
      <c r="G23" s="237"/>
      <c r="H23" s="237"/>
      <c r="I23" s="237"/>
      <c r="J23" s="238"/>
    </row>
    <row r="24" spans="2:12" ht="12.75" customHeight="1">
      <c r="B24" s="236"/>
      <c r="C24" s="237"/>
      <c r="D24" s="237"/>
      <c r="E24" s="237"/>
      <c r="F24" s="237"/>
      <c r="G24" s="237"/>
      <c r="H24" s="237"/>
      <c r="I24" s="237"/>
      <c r="J24" s="238"/>
    </row>
    <row r="25" spans="2:12" ht="12.75" customHeight="1">
      <c r="B25" s="236"/>
      <c r="C25" s="237"/>
      <c r="D25" s="237"/>
      <c r="E25" s="237"/>
      <c r="F25" s="237"/>
      <c r="G25" s="237"/>
      <c r="H25" s="237"/>
      <c r="I25" s="237"/>
      <c r="J25" s="238"/>
    </row>
    <row r="26" spans="2:12" ht="12.75" customHeight="1">
      <c r="B26" s="236"/>
      <c r="C26" s="237"/>
      <c r="D26" s="237"/>
      <c r="E26" s="237"/>
      <c r="F26" s="237"/>
      <c r="G26" s="237"/>
      <c r="H26" s="237"/>
      <c r="I26" s="237"/>
      <c r="J26" s="238"/>
    </row>
    <row r="27" spans="2:12" ht="12.75" customHeight="1">
      <c r="B27" s="236"/>
      <c r="C27" s="237"/>
      <c r="D27" s="237"/>
      <c r="E27" s="237"/>
      <c r="F27" s="237"/>
      <c r="G27" s="237"/>
      <c r="H27" s="237"/>
      <c r="I27" s="237"/>
      <c r="J27" s="238"/>
    </row>
    <row r="28" spans="2:12" ht="12.75" customHeight="1">
      <c r="B28" s="236"/>
      <c r="C28" s="237"/>
      <c r="D28" s="237"/>
      <c r="E28" s="237"/>
      <c r="F28" s="237"/>
      <c r="G28" s="237"/>
      <c r="H28" s="237"/>
      <c r="I28" s="237"/>
      <c r="J28" s="238"/>
    </row>
    <row r="29" spans="2:12" ht="12.75" customHeight="1">
      <c r="B29" s="236"/>
      <c r="C29" s="237"/>
      <c r="D29" s="237"/>
      <c r="E29" s="237"/>
      <c r="F29" s="237"/>
      <c r="G29" s="237"/>
      <c r="H29" s="237"/>
      <c r="I29" s="237"/>
      <c r="J29" s="238"/>
    </row>
    <row r="30" spans="2:12" ht="12.75" customHeight="1">
      <c r="B30" s="236"/>
      <c r="C30" s="237"/>
      <c r="D30" s="237"/>
      <c r="E30" s="237"/>
      <c r="F30" s="237"/>
      <c r="G30" s="237"/>
      <c r="H30" s="237"/>
      <c r="I30" s="237"/>
      <c r="J30" s="238"/>
    </row>
    <row r="31" spans="2:12" ht="12.75" customHeight="1">
      <c r="B31" s="236"/>
      <c r="C31" s="237"/>
      <c r="D31" s="237"/>
      <c r="E31" s="237"/>
      <c r="F31" s="237"/>
      <c r="G31" s="237"/>
      <c r="H31" s="237"/>
      <c r="I31" s="237"/>
      <c r="J31" s="238"/>
    </row>
    <row r="32" spans="2:12" ht="12.75" customHeight="1">
      <c r="B32" s="236"/>
      <c r="C32" s="237"/>
      <c r="D32" s="237"/>
      <c r="E32" s="237"/>
      <c r="F32" s="237"/>
      <c r="G32" s="237"/>
      <c r="H32" s="237"/>
      <c r="I32" s="237"/>
      <c r="J32" s="238"/>
    </row>
    <row r="33" spans="2:10" ht="12.75" customHeight="1">
      <c r="B33" s="236"/>
      <c r="C33" s="237"/>
      <c r="D33" s="237"/>
      <c r="E33" s="237"/>
      <c r="F33" s="237"/>
      <c r="G33" s="237"/>
      <c r="H33" s="237"/>
      <c r="I33" s="237"/>
      <c r="J33" s="238"/>
    </row>
    <row r="34" spans="2:10" ht="12.75" customHeight="1">
      <c r="B34" s="236"/>
      <c r="C34" s="237"/>
      <c r="D34" s="237"/>
      <c r="E34" s="237"/>
      <c r="F34" s="237"/>
      <c r="G34" s="237"/>
      <c r="H34" s="237"/>
      <c r="I34" s="237"/>
      <c r="J34" s="238"/>
    </row>
    <row r="35" spans="2:10" ht="12.75" customHeight="1">
      <c r="B35" s="236"/>
      <c r="C35" s="237"/>
      <c r="D35" s="237"/>
      <c r="E35" s="237"/>
      <c r="F35" s="237"/>
      <c r="G35" s="237"/>
      <c r="H35" s="237"/>
      <c r="I35" s="237"/>
      <c r="J35" s="238"/>
    </row>
    <row r="36" spans="2:10" ht="12.75" customHeight="1">
      <c r="B36" s="236"/>
      <c r="C36" s="237"/>
      <c r="D36" s="237"/>
      <c r="E36" s="237"/>
      <c r="F36" s="237"/>
      <c r="G36" s="237"/>
      <c r="H36" s="237"/>
      <c r="I36" s="237"/>
      <c r="J36" s="238"/>
    </row>
    <row r="37" spans="2:10" ht="12.75" customHeight="1">
      <c r="B37" s="236"/>
      <c r="C37" s="237"/>
      <c r="D37" s="237"/>
      <c r="E37" s="237"/>
      <c r="F37" s="237"/>
      <c r="G37" s="237"/>
      <c r="H37" s="237"/>
      <c r="I37" s="237"/>
      <c r="J37" s="238"/>
    </row>
    <row r="38" spans="2:10" ht="12.75" customHeight="1">
      <c r="B38" s="236"/>
      <c r="C38" s="237"/>
      <c r="D38" s="237"/>
      <c r="E38" s="237"/>
      <c r="F38" s="237"/>
      <c r="G38" s="237"/>
      <c r="H38" s="237"/>
      <c r="I38" s="237"/>
      <c r="J38" s="238"/>
    </row>
    <row r="39" spans="2:10" ht="12.75" customHeight="1">
      <c r="B39" s="236"/>
      <c r="C39" s="237"/>
      <c r="D39" s="237"/>
      <c r="E39" s="237"/>
      <c r="F39" s="237"/>
      <c r="G39" s="237"/>
      <c r="H39" s="237"/>
      <c r="I39" s="237"/>
      <c r="J39" s="238"/>
    </row>
    <row r="40" spans="2:10" ht="12.75" customHeight="1">
      <c r="B40" s="236"/>
      <c r="C40" s="237"/>
      <c r="D40" s="237"/>
      <c r="E40" s="237"/>
      <c r="F40" s="237"/>
      <c r="G40" s="237"/>
      <c r="H40" s="237"/>
      <c r="I40" s="237"/>
      <c r="J40" s="238"/>
    </row>
    <row r="41" spans="2:10" ht="12.75" customHeight="1">
      <c r="B41" s="236"/>
      <c r="C41" s="237"/>
      <c r="D41" s="237"/>
      <c r="E41" s="237"/>
      <c r="F41" s="237"/>
      <c r="G41" s="237"/>
      <c r="H41" s="237"/>
      <c r="I41" s="237"/>
      <c r="J41" s="238"/>
    </row>
    <row r="42" spans="2:10" ht="12.75" customHeight="1">
      <c r="B42" s="236"/>
      <c r="C42" s="237"/>
      <c r="D42" s="237"/>
      <c r="E42" s="237"/>
      <c r="F42" s="237"/>
      <c r="G42" s="237"/>
      <c r="H42" s="237"/>
      <c r="I42" s="237"/>
      <c r="J42" s="238"/>
    </row>
    <row r="43" spans="2:10" ht="12.75" customHeight="1">
      <c r="B43" s="236"/>
      <c r="C43" s="237"/>
      <c r="D43" s="237"/>
      <c r="E43" s="237"/>
      <c r="F43" s="237"/>
      <c r="G43" s="237"/>
      <c r="H43" s="237"/>
      <c r="I43" s="237"/>
      <c r="J43" s="238"/>
    </row>
    <row r="44" spans="2:10" ht="12.75" customHeight="1">
      <c r="B44" s="236"/>
      <c r="C44" s="237"/>
      <c r="D44" s="237"/>
      <c r="E44" s="237"/>
      <c r="F44" s="237"/>
      <c r="G44" s="237"/>
      <c r="H44" s="237"/>
      <c r="I44" s="237"/>
      <c r="J44" s="238"/>
    </row>
    <row r="45" spans="2:10" ht="12.75" customHeight="1">
      <c r="B45" s="236"/>
      <c r="C45" s="237"/>
      <c r="D45" s="237"/>
      <c r="E45" s="237"/>
      <c r="F45" s="237"/>
      <c r="G45" s="237"/>
      <c r="H45" s="237"/>
      <c r="I45" s="237"/>
      <c r="J45" s="238"/>
    </row>
    <row r="46" spans="2:10" ht="12.75" customHeight="1">
      <c r="B46" s="236"/>
      <c r="C46" s="237"/>
      <c r="D46" s="237"/>
      <c r="E46" s="237"/>
      <c r="F46" s="237"/>
      <c r="G46" s="237"/>
      <c r="H46" s="237"/>
      <c r="I46" s="237"/>
      <c r="J46" s="238"/>
    </row>
    <row r="47" spans="2:10" ht="12.75" customHeight="1">
      <c r="B47" s="236"/>
      <c r="C47" s="237"/>
      <c r="D47" s="237"/>
      <c r="E47" s="237"/>
      <c r="F47" s="237"/>
      <c r="G47" s="237"/>
      <c r="H47" s="237"/>
      <c r="I47" s="237"/>
      <c r="J47" s="238"/>
    </row>
    <row r="48" spans="2:10" ht="12.75" customHeight="1">
      <c r="B48" s="236"/>
      <c r="C48" s="237"/>
      <c r="D48" s="237"/>
      <c r="E48" s="237"/>
      <c r="F48" s="237"/>
      <c r="G48" s="237"/>
      <c r="H48" s="237"/>
      <c r="I48" s="237"/>
      <c r="J48" s="238"/>
    </row>
    <row r="49" spans="2:10" ht="12.75" customHeight="1">
      <c r="B49" s="236"/>
      <c r="C49" s="237"/>
      <c r="D49" s="237"/>
      <c r="E49" s="237"/>
      <c r="F49" s="237"/>
      <c r="G49" s="237"/>
      <c r="H49" s="237"/>
      <c r="I49" s="237"/>
      <c r="J49" s="238"/>
    </row>
    <row r="50" spans="2:10" ht="12.75" customHeight="1">
      <c r="B50" s="236"/>
      <c r="C50" s="237"/>
      <c r="D50" s="237"/>
      <c r="E50" s="237"/>
      <c r="F50" s="237"/>
      <c r="G50" s="237"/>
      <c r="H50" s="237"/>
      <c r="I50" s="237"/>
      <c r="J50" s="238"/>
    </row>
    <row r="51" spans="2:10" ht="12.75" customHeight="1">
      <c r="B51" s="236"/>
      <c r="C51" s="237"/>
      <c r="D51" s="237"/>
      <c r="E51" s="237"/>
      <c r="F51" s="237"/>
      <c r="G51" s="237"/>
      <c r="H51" s="237"/>
      <c r="I51" s="237"/>
      <c r="J51" s="238"/>
    </row>
    <row r="52" spans="2:10" ht="12.75" customHeight="1">
      <c r="B52" s="236"/>
      <c r="C52" s="237"/>
      <c r="D52" s="237"/>
      <c r="E52" s="237"/>
      <c r="F52" s="237"/>
      <c r="G52" s="237"/>
      <c r="H52" s="237"/>
      <c r="I52" s="237"/>
      <c r="J52" s="238"/>
    </row>
    <row r="53" spans="2:10" ht="12.75" customHeight="1" thickBot="1">
      <c r="B53" s="239"/>
      <c r="C53" s="240"/>
      <c r="D53" s="240"/>
      <c r="E53" s="240"/>
      <c r="F53" s="240"/>
      <c r="G53" s="240"/>
      <c r="H53" s="240"/>
      <c r="I53" s="240"/>
      <c r="J53" s="241"/>
    </row>
    <row r="54" spans="2:10">
      <c r="B54" s="100" t="s">
        <v>97</v>
      </c>
      <c r="C54" s="103">
        <v>22</v>
      </c>
      <c r="D54" s="103">
        <v>1</v>
      </c>
      <c r="E54" s="102">
        <v>2025</v>
      </c>
      <c r="F54" s="99"/>
    </row>
    <row r="55" spans="2:10">
      <c r="B55" s="21" t="s">
        <v>70</v>
      </c>
      <c r="C55" s="34" t="s">
        <v>172</v>
      </c>
      <c r="D55" s="34" t="s">
        <v>119</v>
      </c>
      <c r="E55" s="34" t="s">
        <v>120</v>
      </c>
    </row>
    <row r="59" spans="2:10">
      <c r="B59" s="229" t="s">
        <v>98</v>
      </c>
      <c r="C59" s="229"/>
      <c r="D59" s="229"/>
      <c r="E59" s="229"/>
      <c r="F59" s="229"/>
      <c r="G59" s="49"/>
      <c r="H59" s="229" t="s">
        <v>99</v>
      </c>
      <c r="I59" s="229"/>
      <c r="J59" s="46"/>
    </row>
    <row r="60" spans="2:10">
      <c r="B60" s="230" t="s">
        <v>346</v>
      </c>
      <c r="C60" s="231"/>
      <c r="D60" s="231"/>
      <c r="E60" s="231"/>
      <c r="F60" s="232"/>
      <c r="G60" s="49"/>
      <c r="H60" s="230" t="s">
        <v>363</v>
      </c>
      <c r="I60" s="231"/>
      <c r="J60" s="232"/>
    </row>
    <row r="61" spans="2:10">
      <c r="B61" s="229" t="s">
        <v>100</v>
      </c>
      <c r="C61" s="229"/>
      <c r="D61" s="229"/>
      <c r="E61" s="229"/>
      <c r="F61" s="229"/>
      <c r="G61" s="49"/>
      <c r="H61" s="229" t="s">
        <v>100</v>
      </c>
      <c r="I61" s="229"/>
      <c r="J61" s="46"/>
    </row>
  </sheetData>
  <mergeCells count="15">
    <mergeCell ref="B59:F59"/>
    <mergeCell ref="H59:I59"/>
    <mergeCell ref="B60:F60"/>
    <mergeCell ref="B61:F61"/>
    <mergeCell ref="H61:I61"/>
    <mergeCell ref="H60:J60"/>
    <mergeCell ref="B3:J3"/>
    <mergeCell ref="B4:J4"/>
    <mergeCell ref="B5:J5"/>
    <mergeCell ref="B7:J7"/>
    <mergeCell ref="B13:J53"/>
    <mergeCell ref="C9:E9"/>
    <mergeCell ref="C10:E10"/>
    <mergeCell ref="H10:J10"/>
    <mergeCell ref="H9:J9"/>
  </mergeCells>
  <dataValidations count="3">
    <dataValidation type="list" allowBlank="1" showInputMessage="1" showErrorMessage="1" sqref="E11 J11 E54" xr:uid="{00000000-0002-0000-0400-000000000000}">
      <formula1>AÑO</formula1>
    </dataValidation>
    <dataValidation type="list" allowBlank="1" showInputMessage="1" showErrorMessage="1" sqref="D11 I11 D54" xr:uid="{00000000-0002-0000-0400-000001000000}">
      <formula1>MES</formula1>
    </dataValidation>
    <dataValidation type="list" allowBlank="1" showInputMessage="1" showErrorMessage="1" sqref="C11 H11 C54" xr:uid="{00000000-0002-0000-0400-000002000000}">
      <formula1>DIA</formula1>
    </dataValidation>
  </dataValidations>
  <pageMargins left="0.70866141732283472" right="0.70866141732283472" top="0.74803149606299213" bottom="0.74803149606299213" header="0.31496062992125984" footer="0.31496062992125984"/>
  <pageSetup scale="65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B3"/>
  <sheetViews>
    <sheetView zoomScale="85" zoomScaleNormal="85" workbookViewId="0">
      <selection activeCell="B3" sqref="B3"/>
    </sheetView>
  </sheetViews>
  <sheetFormatPr baseColWidth="10" defaultColWidth="11.42578125" defaultRowHeight="15"/>
  <cols>
    <col min="1" max="1" width="18.85546875" style="109" customWidth="1"/>
    <col min="2" max="2" width="26" style="109" customWidth="1"/>
    <col min="3" max="3" width="20.5703125" style="109" bestFit="1" customWidth="1"/>
    <col min="4" max="4" width="16.85546875" style="109" customWidth="1"/>
    <col min="5" max="5" width="15.5703125" style="109" bestFit="1" customWidth="1"/>
    <col min="6" max="6" width="21.140625" style="109" customWidth="1"/>
    <col min="7" max="7" width="18.140625" style="109" customWidth="1"/>
    <col min="8" max="52" width="11.42578125" style="109"/>
    <col min="53" max="53" width="23.42578125" style="109" customWidth="1"/>
    <col min="54" max="54" width="14.140625" style="109" customWidth="1"/>
    <col min="55" max="16384" width="11.42578125" style="109"/>
  </cols>
  <sheetData>
    <row r="1" spans="1:80">
      <c r="BB1" s="104">
        <v>1</v>
      </c>
      <c r="BC1" s="105">
        <v>2</v>
      </c>
      <c r="BD1" s="105">
        <v>3</v>
      </c>
      <c r="BE1" s="104">
        <v>4</v>
      </c>
      <c r="BF1" s="105">
        <v>5</v>
      </c>
      <c r="BG1" s="105">
        <v>6</v>
      </c>
      <c r="BH1" s="104">
        <v>7</v>
      </c>
      <c r="BI1" s="105">
        <v>8</v>
      </c>
      <c r="BJ1" s="105">
        <v>9</v>
      </c>
      <c r="BK1" s="104">
        <v>10</v>
      </c>
      <c r="BL1" s="105">
        <v>11</v>
      </c>
      <c r="BM1" s="105">
        <v>12</v>
      </c>
      <c r="BN1" s="104">
        <v>13</v>
      </c>
      <c r="BO1" s="105">
        <v>14</v>
      </c>
      <c r="BP1" s="105">
        <v>15</v>
      </c>
      <c r="BQ1" s="104">
        <v>16</v>
      </c>
      <c r="BR1" s="105">
        <v>17</v>
      </c>
      <c r="BS1" s="105">
        <v>18</v>
      </c>
      <c r="BT1" s="104">
        <v>19</v>
      </c>
      <c r="BU1" s="105">
        <v>20</v>
      </c>
      <c r="BV1" s="105">
        <v>21</v>
      </c>
      <c r="BW1" s="104">
        <v>22</v>
      </c>
      <c r="BX1" s="105">
        <v>23</v>
      </c>
      <c r="BY1" s="105">
        <v>24</v>
      </c>
      <c r="BZ1" s="104">
        <v>25</v>
      </c>
    </row>
    <row r="2" spans="1:80" s="104" customFormat="1" ht="46.5" customHeight="1">
      <c r="A2" s="105" t="s">
        <v>169</v>
      </c>
      <c r="B2" s="105" t="s">
        <v>170</v>
      </c>
      <c r="C2" s="106" t="s">
        <v>160</v>
      </c>
      <c r="D2" s="106" t="s">
        <v>157</v>
      </c>
      <c r="E2" s="106" t="s">
        <v>158</v>
      </c>
      <c r="F2" s="106" t="s">
        <v>115</v>
      </c>
      <c r="G2" s="106" t="s">
        <v>159</v>
      </c>
      <c r="H2" s="107" t="s">
        <v>257</v>
      </c>
      <c r="I2" s="107" t="s">
        <v>161</v>
      </c>
      <c r="J2" s="107" t="s">
        <v>162</v>
      </c>
      <c r="K2" s="107" t="s">
        <v>163</v>
      </c>
      <c r="L2" s="107" t="s">
        <v>164</v>
      </c>
      <c r="M2" s="107" t="s">
        <v>165</v>
      </c>
      <c r="N2" s="107" t="s">
        <v>28</v>
      </c>
      <c r="O2" s="107" t="s">
        <v>257</v>
      </c>
      <c r="P2" s="107" t="s">
        <v>161</v>
      </c>
      <c r="Q2" s="107" t="s">
        <v>162</v>
      </c>
      <c r="R2" s="107" t="s">
        <v>163</v>
      </c>
      <c r="S2" s="107" t="s">
        <v>164</v>
      </c>
      <c r="T2" s="107" t="s">
        <v>165</v>
      </c>
      <c r="U2" s="107" t="s">
        <v>28</v>
      </c>
      <c r="V2" s="107" t="s">
        <v>44</v>
      </c>
      <c r="W2" s="107" t="s">
        <v>257</v>
      </c>
      <c r="X2" s="107" t="s">
        <v>161</v>
      </c>
      <c r="Y2" s="107" t="s">
        <v>162</v>
      </c>
      <c r="Z2" s="107" t="s">
        <v>163</v>
      </c>
      <c r="AA2" s="107" t="s">
        <v>164</v>
      </c>
      <c r="AB2" s="107" t="s">
        <v>165</v>
      </c>
      <c r="AC2" s="107" t="s">
        <v>28</v>
      </c>
      <c r="AD2" s="107" t="s">
        <v>257</v>
      </c>
      <c r="AE2" s="107" t="s">
        <v>161</v>
      </c>
      <c r="AF2" s="107" t="s">
        <v>162</v>
      </c>
      <c r="AG2" s="107" t="s">
        <v>163</v>
      </c>
      <c r="AH2" s="107" t="s">
        <v>164</v>
      </c>
      <c r="AI2" s="107" t="s">
        <v>165</v>
      </c>
      <c r="AJ2" s="107" t="s">
        <v>28</v>
      </c>
      <c r="AK2" s="107" t="s">
        <v>166</v>
      </c>
      <c r="AL2" s="107" t="s">
        <v>257</v>
      </c>
      <c r="AM2" s="107" t="s">
        <v>161</v>
      </c>
      <c r="AN2" s="107" t="s">
        <v>162</v>
      </c>
      <c r="AO2" s="107" t="s">
        <v>163</v>
      </c>
      <c r="AP2" s="107" t="s">
        <v>164</v>
      </c>
      <c r="AQ2" s="107" t="s">
        <v>165</v>
      </c>
      <c r="AR2" s="107" t="s">
        <v>28</v>
      </c>
      <c r="AS2" s="107" t="s">
        <v>257</v>
      </c>
      <c r="AT2" s="107" t="s">
        <v>161</v>
      </c>
      <c r="AU2" s="107" t="s">
        <v>162</v>
      </c>
      <c r="AV2" s="107" t="s">
        <v>163</v>
      </c>
      <c r="AW2" s="107" t="s">
        <v>164</v>
      </c>
      <c r="AX2" s="107" t="s">
        <v>165</v>
      </c>
      <c r="AY2" s="107" t="s">
        <v>28</v>
      </c>
      <c r="AZ2" s="107" t="s">
        <v>167</v>
      </c>
      <c r="BA2" s="104" t="s">
        <v>168</v>
      </c>
      <c r="BB2" s="108" t="s">
        <v>171</v>
      </c>
      <c r="BC2" s="108" t="s">
        <v>171</v>
      </c>
      <c r="BD2" s="108" t="s">
        <v>171</v>
      </c>
      <c r="BE2" s="108" t="s">
        <v>171</v>
      </c>
      <c r="BF2" s="108" t="s">
        <v>171</v>
      </c>
      <c r="BG2" s="108" t="s">
        <v>171</v>
      </c>
      <c r="BH2" s="108" t="s">
        <v>171</v>
      </c>
      <c r="BI2" s="108" t="s">
        <v>171</v>
      </c>
      <c r="BJ2" s="108" t="s">
        <v>171</v>
      </c>
      <c r="BK2" s="108" t="s">
        <v>171</v>
      </c>
      <c r="BL2" s="108" t="s">
        <v>171</v>
      </c>
      <c r="BM2" s="108" t="s">
        <v>171</v>
      </c>
      <c r="BN2" s="108" t="s">
        <v>171</v>
      </c>
      <c r="BO2" s="108" t="s">
        <v>171</v>
      </c>
      <c r="BP2" s="108" t="s">
        <v>171</v>
      </c>
      <c r="BQ2" s="108" t="s">
        <v>171</v>
      </c>
      <c r="BR2" s="108" t="s">
        <v>171</v>
      </c>
      <c r="BS2" s="108" t="s">
        <v>171</v>
      </c>
      <c r="BT2" s="108" t="s">
        <v>171</v>
      </c>
      <c r="BU2" s="108" t="s">
        <v>171</v>
      </c>
      <c r="BV2" s="108" t="s">
        <v>171</v>
      </c>
      <c r="BW2" s="108" t="s">
        <v>171</v>
      </c>
      <c r="BX2" s="108" t="s">
        <v>171</v>
      </c>
      <c r="BY2" s="108" t="s">
        <v>171</v>
      </c>
      <c r="BZ2" s="108" t="s">
        <v>171</v>
      </c>
      <c r="CA2" s="105"/>
      <c r="CB2" s="108"/>
    </row>
    <row r="3" spans="1:80">
      <c r="A3" s="109" t="str">
        <f>INF_INICIAL!F13</f>
        <v>IMSS</v>
      </c>
      <c r="B3" s="113">
        <f>MAX(VARIABLES!AB14:AB500)</f>
        <v>45671</v>
      </c>
      <c r="C3" s="112" t="str">
        <f>INF_INICIAL!G18</f>
        <v>PBE. COVID 19</v>
      </c>
      <c r="D3" s="112" t="str">
        <f>CONCATENATE(LISTADO_NOM!C9,"/",LISTADO_NOM!D9,"/",LISTADO_NOM!E9)</f>
        <v>14/1/2025</v>
      </c>
      <c r="E3" s="112" t="str">
        <f>LISTADO_NOM!C7</f>
        <v>TULA ALLENDE</v>
      </c>
      <c r="F3" s="112" t="str">
        <f>LISTADO_NOM!I7</f>
        <v>10 ATITALAQUIA</v>
      </c>
      <c r="G3" s="112" t="str">
        <f>LISTADO_NOM!I8</f>
        <v xml:space="preserve">TEZOQUIPA </v>
      </c>
      <c r="H3" s="112">
        <f>COUNTIFS(Sexo_LN,"M",Edad,"&lt;"&amp;1,NOTIFICACION,0)</f>
        <v>0</v>
      </c>
      <c r="I3" s="112">
        <f>COUNTIFS(Sexo_LN,"M",Edad,"&gt;="&amp;1,Edad,"&lt;="&amp;4,NOTIFICACION,0)</f>
        <v>0</v>
      </c>
      <c r="J3" s="112">
        <f>COUNTIFS(Sexo_LN,"M",Edad,"&gt;="&amp;5,Edad,"&lt;="&amp;14,NOTIFICACION,0)</f>
        <v>1</v>
      </c>
      <c r="K3" s="112">
        <f>COUNTIFS(Sexo_LN,"M",Edad,"&gt;="&amp;15,Edad,"&lt;="&amp;24,NOTIFICACION,0)</f>
        <v>0</v>
      </c>
      <c r="L3" s="112">
        <f>COUNTIFS(Sexo_LN,"M",Edad,"&gt;="&amp;25,Edad,"&lt;="&amp;44,NOTIFICACION,0)</f>
        <v>0</v>
      </c>
      <c r="M3" s="112">
        <f>COUNTIFS(Sexo_LN,"M",Edad,"&gt;="&amp;45,Edad,"&lt;="&amp;64,NOTIFICACION,0)</f>
        <v>0</v>
      </c>
      <c r="N3" s="112">
        <f>COUNTIFS(Sexo_LN,"M",Edad,"&gt;="&amp;65,NOTIFICACION,0)</f>
        <v>0</v>
      </c>
      <c r="O3" s="112">
        <f>COUNTIFS(Sexo_LN,"F",Edad,"&lt;"&amp;1,NOTIFICACION,0)</f>
        <v>0</v>
      </c>
      <c r="P3" s="112">
        <f>COUNTIFS(Sexo_LN,"F",Edad,"&gt;="&amp;1,Edad,"&lt;="&amp;4,NOTIFICACION,0)</f>
        <v>0</v>
      </c>
      <c r="Q3" s="112">
        <f>COUNTIFS(Sexo_LN,"F",Edad,"&gt;="&amp;5,Edad,"&lt;="&amp;14,NOTIFICACION,0)</f>
        <v>0</v>
      </c>
      <c r="R3" s="112">
        <f>COUNTIFS(Sexo_LN,"F",Edad,"&gt;="&amp;15,Edad,"&lt;="&amp;24,NOTIFICACION,0)</f>
        <v>0</v>
      </c>
      <c r="S3" s="112">
        <f>COUNTIFS(Sexo_LN,"F",Edad,"&gt;="&amp;25,Edad,"&lt;="&amp;44,NOTIFICACION,0)</f>
        <v>0</v>
      </c>
      <c r="T3" s="112">
        <f>COUNTIFS(Sexo_LN,"F",Edad,"&gt;="&amp;45,Edad,"&lt;="&amp;64,NOTIFICACION,0)</f>
        <v>0</v>
      </c>
      <c r="U3" s="112">
        <f>COUNTIFS(Sexo_LN,"F",Edad,"&gt;="&amp;65,NOTIFICACION,0)</f>
        <v>0</v>
      </c>
      <c r="V3" s="112">
        <f>SUM(H3:U3)</f>
        <v>1</v>
      </c>
      <c r="W3" s="112">
        <f>COUNTIFS(Sexo_LN,"M",Edad,"&lt;"&amp;1,NOTIFICACION,"&lt;&gt;"&amp;0)</f>
        <v>0</v>
      </c>
      <c r="X3" s="112">
        <f>COUNTIFS(Sexo_LN,"M",Edad,"&gt;="&amp;1,Edad,"&lt;="&amp;4,NOTIFICACION,"&lt;&gt;"&amp;0)</f>
        <v>0</v>
      </c>
      <c r="Y3" s="112">
        <f>COUNTIFS(Sexo_LN,"M",Edad,"&gt;="&amp;5,Edad,"&lt;="&amp;14,NOTIFICACION,"&lt;&gt;"&amp;0)</f>
        <v>0</v>
      </c>
      <c r="Z3" s="112">
        <f>COUNTIFS(Sexo_LN,"M",Edad,"&gt;="&amp;15,Edad,"&lt;="&amp;24,NOTIFICACION,"&lt;&gt;"&amp;0)</f>
        <v>0</v>
      </c>
      <c r="AA3" s="112">
        <f>COUNTIFS(Sexo_LN,"M",Edad,"&gt;="&amp;25,Edad,"&lt;="&amp;44,NOTIFICACION,"&lt;&gt;"&amp;0)</f>
        <v>0</v>
      </c>
      <c r="AB3" s="112">
        <f>COUNTIFS(Sexo_LN,"M",Edad,"&gt;="&amp;45,Edad,"&lt;="&amp;64,NOTIFICACION,"&lt;&gt;"&amp;0)</f>
        <v>0</v>
      </c>
      <c r="AC3" s="112">
        <f>COUNTIFS(Sexo_LN,"M",Edad,"&gt;="&amp;65,NOTIFICACION,"&lt;&gt;"&amp;0)</f>
        <v>0</v>
      </c>
      <c r="AD3" s="112">
        <f>COUNTIFS(Sexo_LN,"F",Edad,"&lt;"&amp;1,NOTIFICACION,"&lt;&gt;"&amp;0)</f>
        <v>0</v>
      </c>
      <c r="AE3" s="112">
        <f>COUNTIFS(Sexo_LN,"F",Edad,"&gt;="&amp;1,Edad,"&lt;="&amp;4,NOTIFICACION,"&lt;&gt;"&amp;0)</f>
        <v>0</v>
      </c>
      <c r="AF3" s="112">
        <f>COUNTIFS(Sexo_LN,"F",Edad,"&gt;="&amp;5,Edad,"&lt;="&amp;14,NOTIFICACION,"&lt;&gt;"&amp;0)</f>
        <v>0</v>
      </c>
      <c r="AG3" s="112">
        <f>COUNTIFS(Sexo_LN,"F",Edad,"&gt;="&amp;15,Edad,"&lt;="&amp;24,NOTIFICACION,"&lt;&gt;"&amp;0)</f>
        <v>0</v>
      </c>
      <c r="AH3" s="112">
        <f>COUNTIFS(Sexo_LN,"F",Edad,"&gt;="&amp;25,Edad,"&lt;="&amp;44,NOTIFICACION,"&lt;&gt;"&amp;0)</f>
        <v>0</v>
      </c>
      <c r="AI3" s="112">
        <f>COUNTIFS(Sexo_LN,"F",Edad,"&gt;="&amp;45,Edad,"&lt;="&amp;64,NOTIFICACION,"&lt;&gt;"&amp;0)</f>
        <v>1</v>
      </c>
      <c r="AJ3" s="112">
        <f>COUNTIFS(Sexo_LN,"F",Edad,"&gt;="&amp;65,NOTIFICACION,"&lt;&gt;"&amp;0)</f>
        <v>0</v>
      </c>
      <c r="AK3" s="112">
        <f>SUM(W3:AJ3)</f>
        <v>1</v>
      </c>
      <c r="AL3" s="112">
        <f t="shared" ref="AL3:AR3" si="0">W3+H3</f>
        <v>0</v>
      </c>
      <c r="AM3" s="112">
        <f t="shared" si="0"/>
        <v>0</v>
      </c>
      <c r="AN3" s="112">
        <f t="shared" si="0"/>
        <v>1</v>
      </c>
      <c r="AO3" s="112">
        <f t="shared" si="0"/>
        <v>0</v>
      </c>
      <c r="AP3" s="112">
        <f t="shared" si="0"/>
        <v>0</v>
      </c>
      <c r="AQ3" s="112">
        <f t="shared" si="0"/>
        <v>0</v>
      </c>
      <c r="AR3" s="112">
        <f t="shared" si="0"/>
        <v>0</v>
      </c>
      <c r="AS3" s="112">
        <f>O3+AD3</f>
        <v>0</v>
      </c>
      <c r="AT3" s="112">
        <f t="shared" ref="AT3:AY3" si="1">P3+AE3</f>
        <v>0</v>
      </c>
      <c r="AU3" s="112">
        <f t="shared" si="1"/>
        <v>0</v>
      </c>
      <c r="AV3" s="112">
        <f t="shared" si="1"/>
        <v>0</v>
      </c>
      <c r="AW3" s="112">
        <f t="shared" si="1"/>
        <v>0</v>
      </c>
      <c r="AX3" s="112">
        <f t="shared" si="1"/>
        <v>1</v>
      </c>
      <c r="AY3" s="112">
        <f t="shared" si="1"/>
        <v>0</v>
      </c>
      <c r="AZ3" s="112">
        <f>SUM(AL3:AY3)</f>
        <v>2</v>
      </c>
      <c r="BA3" s="109" t="str">
        <f>LISTADO_NOM!C8</f>
        <v>FAMILIAR</v>
      </c>
      <c r="BB3" s="109">
        <f t="shared" ref="BB3:BZ3" si="2">COUNTIF(NOTIFICACION,BB1)</f>
        <v>0</v>
      </c>
      <c r="BC3" s="109">
        <f t="shared" si="2"/>
        <v>0</v>
      </c>
      <c r="BD3" s="109">
        <f t="shared" si="2"/>
        <v>0</v>
      </c>
      <c r="BE3" s="109">
        <f t="shared" si="2"/>
        <v>0</v>
      </c>
      <c r="BF3" s="109">
        <f t="shared" si="2"/>
        <v>0</v>
      </c>
      <c r="BG3" s="109">
        <f t="shared" si="2"/>
        <v>0</v>
      </c>
      <c r="BH3" s="109">
        <f t="shared" si="2"/>
        <v>0</v>
      </c>
      <c r="BI3" s="109">
        <f t="shared" si="2"/>
        <v>0</v>
      </c>
      <c r="BJ3" s="109">
        <f t="shared" si="2"/>
        <v>0</v>
      </c>
      <c r="BK3" s="109">
        <f t="shared" si="2"/>
        <v>0</v>
      </c>
      <c r="BL3" s="109">
        <f t="shared" si="2"/>
        <v>0</v>
      </c>
      <c r="BM3" s="109">
        <f t="shared" si="2"/>
        <v>0</v>
      </c>
      <c r="BN3" s="109">
        <f t="shared" si="2"/>
        <v>0</v>
      </c>
      <c r="BO3" s="109">
        <f t="shared" si="2"/>
        <v>0</v>
      </c>
      <c r="BP3" s="109">
        <f t="shared" si="2"/>
        <v>0</v>
      </c>
      <c r="BQ3" s="109">
        <f t="shared" si="2"/>
        <v>0</v>
      </c>
      <c r="BR3" s="109">
        <f t="shared" si="2"/>
        <v>0</v>
      </c>
      <c r="BS3" s="109">
        <f t="shared" si="2"/>
        <v>0</v>
      </c>
      <c r="BT3" s="109">
        <f t="shared" si="2"/>
        <v>0</v>
      </c>
      <c r="BU3" s="109">
        <f t="shared" si="2"/>
        <v>0</v>
      </c>
      <c r="BV3" s="109">
        <f t="shared" si="2"/>
        <v>0</v>
      </c>
      <c r="BW3" s="109">
        <f t="shared" si="2"/>
        <v>0</v>
      </c>
      <c r="BX3" s="109">
        <f t="shared" si="2"/>
        <v>0</v>
      </c>
      <c r="BY3" s="109">
        <f t="shared" si="2"/>
        <v>0</v>
      </c>
      <c r="BZ3" s="109">
        <f t="shared" si="2"/>
        <v>0</v>
      </c>
    </row>
  </sheetData>
  <dataValidations disablePrompts="1" count="1">
    <dataValidation type="list" allowBlank="1" showInputMessage="1" showErrorMessage="1" sqref="F2" xr:uid="{00000000-0002-0000-0500-000000000000}">
      <formula1>MPIO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E1000"/>
  <sheetViews>
    <sheetView topLeftCell="U1" workbookViewId="0">
      <selection activeCell="Z17" sqref="Z17"/>
    </sheetView>
  </sheetViews>
  <sheetFormatPr baseColWidth="10" defaultRowHeight="15"/>
  <cols>
    <col min="3" max="3" width="19.140625" customWidth="1"/>
    <col min="20" max="20" width="44" bestFit="1" customWidth="1"/>
    <col min="21" max="21" width="20.5703125" bestFit="1" customWidth="1"/>
    <col min="23" max="23" width="18.140625" customWidth="1"/>
    <col min="26" max="26" width="12.140625" customWidth="1"/>
    <col min="27" max="27" width="17" style="89" bestFit="1" customWidth="1"/>
    <col min="28" max="28" width="17" style="89" customWidth="1"/>
  </cols>
  <sheetData>
    <row r="1" spans="1:31">
      <c r="A1" s="63" t="s">
        <v>87</v>
      </c>
      <c r="B1" t="s">
        <v>117</v>
      </c>
      <c r="C1" t="s">
        <v>265</v>
      </c>
      <c r="K1" t="s">
        <v>275</v>
      </c>
      <c r="L1" t="s">
        <v>118</v>
      </c>
      <c r="M1" t="s">
        <v>119</v>
      </c>
      <c r="N1" t="s">
        <v>120</v>
      </c>
      <c r="O1" t="s">
        <v>121</v>
      </c>
      <c r="P1" t="s">
        <v>122</v>
      </c>
      <c r="Q1" s="63" t="s">
        <v>111</v>
      </c>
      <c r="T1" t="s">
        <v>173</v>
      </c>
      <c r="U1" t="s">
        <v>307</v>
      </c>
    </row>
    <row r="2" spans="1:31" ht="18.75">
      <c r="A2">
        <v>0.01</v>
      </c>
      <c r="B2">
        <v>0</v>
      </c>
      <c r="C2" t="s">
        <v>123</v>
      </c>
      <c r="D2">
        <v>0</v>
      </c>
      <c r="K2">
        <v>1</v>
      </c>
      <c r="L2">
        <v>1</v>
      </c>
      <c r="M2">
        <v>1</v>
      </c>
      <c r="N2">
        <v>2018</v>
      </c>
      <c r="O2" t="s">
        <v>124</v>
      </c>
      <c r="P2" t="s">
        <v>173</v>
      </c>
      <c r="Q2" s="63" t="s">
        <v>125</v>
      </c>
      <c r="T2" t="s">
        <v>174</v>
      </c>
      <c r="U2" t="s">
        <v>308</v>
      </c>
      <c r="W2" t="s">
        <v>151</v>
      </c>
      <c r="AE2" s="90"/>
    </row>
    <row r="3" spans="1:31">
      <c r="A3">
        <v>0.02</v>
      </c>
      <c r="B3">
        <v>1</v>
      </c>
      <c r="C3" t="s">
        <v>276</v>
      </c>
      <c r="D3">
        <v>1</v>
      </c>
      <c r="K3">
        <v>2</v>
      </c>
      <c r="L3">
        <v>2</v>
      </c>
      <c r="M3">
        <v>2</v>
      </c>
      <c r="N3">
        <v>2019</v>
      </c>
      <c r="O3" t="s">
        <v>126</v>
      </c>
      <c r="P3" t="s">
        <v>174</v>
      </c>
      <c r="Q3" s="63" t="s">
        <v>127</v>
      </c>
      <c r="T3" t="s">
        <v>175</v>
      </c>
      <c r="U3" t="s">
        <v>309</v>
      </c>
      <c r="W3" t="s">
        <v>114</v>
      </c>
      <c r="X3" t="s">
        <v>266</v>
      </c>
    </row>
    <row r="4" spans="1:31">
      <c r="A4">
        <v>0.03</v>
      </c>
      <c r="C4" t="s">
        <v>277</v>
      </c>
      <c r="D4">
        <v>2</v>
      </c>
      <c r="K4">
        <v>3</v>
      </c>
      <c r="L4">
        <v>3</v>
      </c>
      <c r="M4">
        <v>3</v>
      </c>
      <c r="N4">
        <v>2020</v>
      </c>
      <c r="O4" t="s">
        <v>128</v>
      </c>
      <c r="P4" t="s">
        <v>175</v>
      </c>
      <c r="Q4" s="63" t="s">
        <v>129</v>
      </c>
      <c r="T4" t="s">
        <v>176</v>
      </c>
      <c r="U4" t="s">
        <v>308</v>
      </c>
      <c r="W4" t="s">
        <v>153</v>
      </c>
      <c r="X4" t="s">
        <v>267</v>
      </c>
    </row>
    <row r="5" spans="1:31">
      <c r="A5">
        <v>0.04</v>
      </c>
      <c r="C5" t="s">
        <v>278</v>
      </c>
      <c r="D5">
        <v>3</v>
      </c>
      <c r="K5">
        <v>4</v>
      </c>
      <c r="L5">
        <v>4</v>
      </c>
      <c r="M5">
        <v>4</v>
      </c>
      <c r="N5">
        <v>2021</v>
      </c>
      <c r="O5" t="s">
        <v>130</v>
      </c>
      <c r="P5" t="s">
        <v>176</v>
      </c>
      <c r="Q5" s="63" t="s">
        <v>131</v>
      </c>
      <c r="T5" t="s">
        <v>177</v>
      </c>
      <c r="U5" t="s">
        <v>310</v>
      </c>
      <c r="W5" t="s">
        <v>154</v>
      </c>
      <c r="X5" t="s">
        <v>268</v>
      </c>
    </row>
    <row r="6" spans="1:31">
      <c r="A6">
        <v>0.05</v>
      </c>
      <c r="C6" t="s">
        <v>279</v>
      </c>
      <c r="D6">
        <v>4</v>
      </c>
      <c r="K6">
        <v>5</v>
      </c>
      <c r="L6">
        <v>5</v>
      </c>
      <c r="M6">
        <v>5</v>
      </c>
      <c r="N6">
        <v>2022</v>
      </c>
      <c r="O6" t="s">
        <v>132</v>
      </c>
      <c r="P6" t="s">
        <v>177</v>
      </c>
      <c r="Q6" s="63" t="s">
        <v>133</v>
      </c>
      <c r="T6" t="s">
        <v>178</v>
      </c>
      <c r="U6" t="s">
        <v>311</v>
      </c>
      <c r="W6" t="s">
        <v>155</v>
      </c>
      <c r="X6" t="s">
        <v>269</v>
      </c>
    </row>
    <row r="7" spans="1:31">
      <c r="A7">
        <v>0.06</v>
      </c>
      <c r="C7" t="s">
        <v>280</v>
      </c>
      <c r="D7">
        <v>5</v>
      </c>
      <c r="K7">
        <v>6</v>
      </c>
      <c r="L7">
        <v>6</v>
      </c>
      <c r="M7">
        <v>6</v>
      </c>
      <c r="N7">
        <v>2023</v>
      </c>
      <c r="O7" t="s">
        <v>134</v>
      </c>
      <c r="P7" t="s">
        <v>178</v>
      </c>
      <c r="Q7" s="63" t="s">
        <v>135</v>
      </c>
      <c r="T7" t="s">
        <v>179</v>
      </c>
      <c r="U7" t="s">
        <v>312</v>
      </c>
      <c r="W7" t="s">
        <v>116</v>
      </c>
      <c r="X7" t="s">
        <v>324</v>
      </c>
    </row>
    <row r="8" spans="1:31">
      <c r="A8">
        <v>7.0000000000000007E-2</v>
      </c>
      <c r="C8" t="s">
        <v>281</v>
      </c>
      <c r="D8">
        <v>6</v>
      </c>
      <c r="K8">
        <v>7</v>
      </c>
      <c r="L8">
        <v>7</v>
      </c>
      <c r="M8">
        <v>7</v>
      </c>
      <c r="N8">
        <v>2024</v>
      </c>
      <c r="O8" t="s">
        <v>136</v>
      </c>
      <c r="P8" t="s">
        <v>179</v>
      </c>
      <c r="Q8" s="63" t="s">
        <v>137</v>
      </c>
      <c r="T8" t="s">
        <v>180</v>
      </c>
      <c r="U8" t="s">
        <v>312</v>
      </c>
      <c r="X8" t="s">
        <v>270</v>
      </c>
    </row>
    <row r="9" spans="1:31">
      <c r="A9">
        <v>0.08</v>
      </c>
      <c r="C9" t="s">
        <v>282</v>
      </c>
      <c r="D9">
        <v>7</v>
      </c>
      <c r="K9">
        <v>8</v>
      </c>
      <c r="L9">
        <v>8</v>
      </c>
      <c r="M9">
        <v>8</v>
      </c>
      <c r="N9">
        <v>2025</v>
      </c>
      <c r="O9" t="s">
        <v>138</v>
      </c>
      <c r="P9" t="s">
        <v>180</v>
      </c>
      <c r="Q9" s="63" t="s">
        <v>139</v>
      </c>
      <c r="T9" t="s">
        <v>181</v>
      </c>
      <c r="U9" t="s">
        <v>309</v>
      </c>
      <c r="X9" t="s">
        <v>271</v>
      </c>
    </row>
    <row r="10" spans="1:31">
      <c r="A10">
        <v>0.09</v>
      </c>
      <c r="C10" t="s">
        <v>283</v>
      </c>
      <c r="D10">
        <v>8</v>
      </c>
      <c r="K10">
        <v>9</v>
      </c>
      <c r="L10">
        <v>9</v>
      </c>
      <c r="M10">
        <v>9</v>
      </c>
      <c r="N10">
        <v>2026</v>
      </c>
      <c r="O10" t="s">
        <v>140</v>
      </c>
      <c r="P10" t="s">
        <v>181</v>
      </c>
      <c r="T10" t="s">
        <v>182</v>
      </c>
      <c r="U10" t="s">
        <v>310</v>
      </c>
      <c r="X10" t="s">
        <v>159</v>
      </c>
    </row>
    <row r="11" spans="1:31">
      <c r="A11" s="64">
        <v>0.1</v>
      </c>
      <c r="C11" t="s">
        <v>284</v>
      </c>
      <c r="D11">
        <v>9</v>
      </c>
      <c r="K11">
        <v>10</v>
      </c>
      <c r="L11">
        <v>10</v>
      </c>
      <c r="M11">
        <v>10</v>
      </c>
      <c r="N11">
        <v>2027</v>
      </c>
      <c r="O11" t="s">
        <v>141</v>
      </c>
      <c r="P11" t="s">
        <v>182</v>
      </c>
      <c r="T11" t="s">
        <v>183</v>
      </c>
      <c r="U11" t="s">
        <v>313</v>
      </c>
      <c r="X11" t="s">
        <v>272</v>
      </c>
    </row>
    <row r="12" spans="1:31">
      <c r="A12">
        <v>0.11</v>
      </c>
      <c r="C12" t="s">
        <v>285</v>
      </c>
      <c r="D12">
        <v>10</v>
      </c>
      <c r="K12">
        <v>11</v>
      </c>
      <c r="L12">
        <v>11</v>
      </c>
      <c r="M12">
        <v>11</v>
      </c>
      <c r="N12">
        <v>2028</v>
      </c>
      <c r="O12" t="s">
        <v>142</v>
      </c>
      <c r="P12" t="s">
        <v>183</v>
      </c>
      <c r="T12" t="s">
        <v>184</v>
      </c>
      <c r="U12" t="s">
        <v>307</v>
      </c>
    </row>
    <row r="13" spans="1:31">
      <c r="A13">
        <v>1</v>
      </c>
      <c r="C13" t="s">
        <v>286</v>
      </c>
      <c r="D13">
        <v>11</v>
      </c>
      <c r="K13">
        <v>12</v>
      </c>
      <c r="L13">
        <v>12</v>
      </c>
      <c r="M13">
        <v>12</v>
      </c>
      <c r="N13">
        <v>2029</v>
      </c>
      <c r="O13" t="s">
        <v>143</v>
      </c>
      <c r="P13" t="s">
        <v>184</v>
      </c>
      <c r="T13" t="s">
        <v>185</v>
      </c>
      <c r="U13" t="s">
        <v>310</v>
      </c>
      <c r="AA13" s="89" t="s">
        <v>274</v>
      </c>
      <c r="AB13" s="89" t="s">
        <v>273</v>
      </c>
      <c r="AC13" t="s">
        <v>156</v>
      </c>
      <c r="AD13">
        <f>COUNT(AB14:AB300)</f>
        <v>1</v>
      </c>
    </row>
    <row r="14" spans="1:31">
      <c r="A14">
        <v>2</v>
      </c>
      <c r="C14" t="s">
        <v>287</v>
      </c>
      <c r="D14">
        <v>12</v>
      </c>
      <c r="K14">
        <v>13</v>
      </c>
      <c r="L14">
        <v>13</v>
      </c>
      <c r="N14">
        <v>2030</v>
      </c>
      <c r="O14" t="s">
        <v>144</v>
      </c>
      <c r="P14" t="s">
        <v>185</v>
      </c>
      <c r="T14" t="s">
        <v>186</v>
      </c>
      <c r="U14" t="s">
        <v>314</v>
      </c>
      <c r="Z14" s="89">
        <f>IF(LISTADO_NOM!K14="","",DATE(LISTADO_NOM!M14,LISTADO_NOM!L14,LISTADO_NOM!K14))</f>
        <v>45671</v>
      </c>
      <c r="AA14" s="89">
        <f>IFERROR(INDEX($Z$14:$Z$300, MATCH(0, INDEX(COUNTIF($AA$13:AA13, $Z$14:$Z$300), 0, 0), 0)), "")</f>
        <v>45671</v>
      </c>
      <c r="AB14" s="89">
        <f t="shared" ref="AB14:AB77" si="0">IF(AA14="","",SMALL(ORDENA_,AC14))</f>
        <v>45671</v>
      </c>
      <c r="AC14">
        <v>1</v>
      </c>
      <c r="AE14">
        <f>IF(LISTADO_NOM!AN14="","",VLOOKUP(LISTADO_NOM!AN14,SEGUIMIENTOS,2,FALSE))</f>
        <v>0</v>
      </c>
    </row>
    <row r="15" spans="1:31">
      <c r="A15">
        <v>3</v>
      </c>
      <c r="C15" t="s">
        <v>288</v>
      </c>
      <c r="D15">
        <v>13</v>
      </c>
      <c r="K15">
        <v>14</v>
      </c>
      <c r="L15">
        <v>14</v>
      </c>
      <c r="N15">
        <v>2031</v>
      </c>
      <c r="O15" t="s">
        <v>145</v>
      </c>
      <c r="P15" t="s">
        <v>186</v>
      </c>
      <c r="T15" t="s">
        <v>187</v>
      </c>
      <c r="U15" t="s">
        <v>311</v>
      </c>
      <c r="Z15" s="89" t="e">
        <f>IF(LISTADO_NOM!#REF!="","",DATE(LISTADO_NOM!M15,LISTADO_NOM!#REF!,LISTADO_NOM!#REF!))</f>
        <v>#REF!</v>
      </c>
      <c r="AA15" s="89" t="str">
        <f>IFERROR(INDEX($Z$14:$Z$300, MATCH(0, INDEX(COUNTIF($AA$13:AA14, $Z$14:$Z$300), 0, 0), 0)), "")</f>
        <v/>
      </c>
      <c r="AB15" s="89" t="str">
        <f t="shared" si="0"/>
        <v/>
      </c>
      <c r="AC15">
        <v>2</v>
      </c>
      <c r="AE15" t="e">
        <f>IF(LISTADO_NOM!#REF!="","",VLOOKUP(LISTADO_NOM!#REF!,SEGUIMIENTOS,2,FALSE))</f>
        <v>#REF!</v>
      </c>
    </row>
    <row r="16" spans="1:31">
      <c r="A16">
        <v>4</v>
      </c>
      <c r="C16" t="s">
        <v>289</v>
      </c>
      <c r="D16">
        <v>14</v>
      </c>
      <c r="K16">
        <v>15</v>
      </c>
      <c r="L16">
        <v>15</v>
      </c>
      <c r="N16">
        <v>2032</v>
      </c>
      <c r="O16" t="s">
        <v>146</v>
      </c>
      <c r="P16" t="s">
        <v>187</v>
      </c>
      <c r="T16" t="s">
        <v>188</v>
      </c>
      <c r="U16" t="s">
        <v>315</v>
      </c>
      <c r="Z16" s="89" t="e">
        <f>IF(LISTADO_NOM!K15="","",DATE(LISTADO_NOM!#REF!,LISTADO_NOM!L15,LISTADO_NOM!K15))</f>
        <v>#REF!</v>
      </c>
      <c r="AA16" s="89" t="str">
        <f>IFERROR(INDEX($Z$14:$Z$300, MATCH(0, INDEX(COUNTIF($AA$13:AA15, $Z$14:$Z$300), 0, 0), 0)), "")</f>
        <v/>
      </c>
      <c r="AB16" s="89" t="str">
        <f t="shared" si="0"/>
        <v/>
      </c>
      <c r="AC16">
        <v>3</v>
      </c>
      <c r="AE16">
        <f>IF(LISTADO_NOM!AN15="","",VLOOKUP(LISTADO_NOM!AN15,SEGUIMIENTOS,2,FALSE))</f>
        <v>0</v>
      </c>
    </row>
    <row r="17" spans="1:31">
      <c r="A17">
        <v>5</v>
      </c>
      <c r="C17" t="s">
        <v>290</v>
      </c>
      <c r="D17">
        <v>15</v>
      </c>
      <c r="K17">
        <v>16</v>
      </c>
      <c r="L17">
        <v>16</v>
      </c>
      <c r="O17" t="s">
        <v>147</v>
      </c>
      <c r="P17" t="s">
        <v>188</v>
      </c>
      <c r="T17" t="s">
        <v>189</v>
      </c>
      <c r="U17" t="s">
        <v>316</v>
      </c>
      <c r="Z17" s="89" t="e">
        <f>IF(LISTADO_NOM!#REF!="","",DATE(LISTADO_NOM!#REF!,LISTADO_NOM!#REF!,LISTADO_NOM!#REF!))</f>
        <v>#REF!</v>
      </c>
      <c r="AA17" s="89" t="str">
        <f>IFERROR(INDEX($Z$14:$Z$300, MATCH(0, INDEX(COUNTIF($AA$13:AA16, $Z$14:$Z$300), 0, 0), 0)), "")</f>
        <v/>
      </c>
      <c r="AB17" s="89" t="str">
        <f t="shared" si="0"/>
        <v/>
      </c>
      <c r="AC17">
        <v>4</v>
      </c>
      <c r="AE17" t="e">
        <f>IF(LISTADO_NOM!#REF!="","",VLOOKUP(LISTADO_NOM!#REF!,SEGUIMIENTOS,2,FALSE))</f>
        <v>#REF!</v>
      </c>
    </row>
    <row r="18" spans="1:31">
      <c r="A18">
        <v>6</v>
      </c>
      <c r="C18" t="s">
        <v>291</v>
      </c>
      <c r="D18">
        <v>16</v>
      </c>
      <c r="K18">
        <v>17</v>
      </c>
      <c r="L18">
        <v>17</v>
      </c>
      <c r="O18" t="s">
        <v>149</v>
      </c>
      <c r="P18" t="s">
        <v>189</v>
      </c>
      <c r="T18" t="s">
        <v>190</v>
      </c>
      <c r="U18" t="s">
        <v>317</v>
      </c>
      <c r="Z18" s="89" t="e">
        <f>IF(LISTADO_NOM!#REF!="","",DATE(LISTADO_NOM!#REF!,LISTADO_NOM!#REF!,LISTADO_NOM!#REF!))</f>
        <v>#REF!</v>
      </c>
      <c r="AA18" s="89" t="str">
        <f>IFERROR(INDEX($Z$14:$Z$300, MATCH(0, INDEX(COUNTIF($AA$13:AA17, $Z$14:$Z$300), 0, 0), 0)), "")</f>
        <v/>
      </c>
      <c r="AB18" s="89" t="str">
        <f t="shared" si="0"/>
        <v/>
      </c>
      <c r="AC18">
        <v>5</v>
      </c>
      <c r="AE18" t="e">
        <f>IF(LISTADO_NOM!#REF!="","",VLOOKUP(LISTADO_NOM!#REF!,SEGUIMIENTOS,2,FALSE))</f>
        <v>#REF!</v>
      </c>
    </row>
    <row r="19" spans="1:31">
      <c r="A19">
        <v>7</v>
      </c>
      <c r="C19" t="s">
        <v>292</v>
      </c>
      <c r="D19">
        <v>17</v>
      </c>
      <c r="K19">
        <v>18</v>
      </c>
      <c r="L19">
        <v>18</v>
      </c>
      <c r="P19" t="s">
        <v>190</v>
      </c>
      <c r="T19" t="s">
        <v>191</v>
      </c>
      <c r="U19" t="s">
        <v>311</v>
      </c>
      <c r="Z19" s="89" t="str">
        <f>IF(LISTADO_NOM!K16="","",DATE(LISTADO_NOM!M16,LISTADO_NOM!L16,LISTADO_NOM!K16))</f>
        <v/>
      </c>
      <c r="AA19" s="89" t="str">
        <f>IFERROR(INDEX($Z$14:$Z$300, MATCH(0, INDEX(COUNTIF($AA$13:AA18, $Z$14:$Z$300), 0, 0), 0)), "")</f>
        <v/>
      </c>
      <c r="AB19" s="89" t="str">
        <f t="shared" si="0"/>
        <v/>
      </c>
      <c r="AC19">
        <v>6</v>
      </c>
      <c r="AE19" t="str">
        <f>IF(LISTADO_NOM!AN16="","",VLOOKUP(LISTADO_NOM!AN16,SEGUIMIENTOS,2,FALSE))</f>
        <v/>
      </c>
    </row>
    <row r="20" spans="1:31">
      <c r="A20">
        <v>8</v>
      </c>
      <c r="C20" t="s">
        <v>293</v>
      </c>
      <c r="D20">
        <v>18</v>
      </c>
      <c r="K20">
        <v>19</v>
      </c>
      <c r="L20">
        <v>19</v>
      </c>
      <c r="P20" t="s">
        <v>191</v>
      </c>
      <c r="T20" t="s">
        <v>250</v>
      </c>
      <c r="U20" t="s">
        <v>318</v>
      </c>
      <c r="Z20" s="89" t="str">
        <f>IF(LISTADO_NOM!K17="","",DATE(LISTADO_NOM!M17,LISTADO_NOM!L17,LISTADO_NOM!K17))</f>
        <v/>
      </c>
      <c r="AA20" s="89" t="str">
        <f>IFERROR(INDEX($Z$14:$Z$300, MATCH(0, INDEX(COUNTIF($AA$13:AA19, $Z$14:$Z$300), 0, 0), 0)), "")</f>
        <v/>
      </c>
      <c r="AB20" s="89" t="str">
        <f t="shared" si="0"/>
        <v/>
      </c>
      <c r="AC20">
        <v>7</v>
      </c>
      <c r="AE20" t="str">
        <f>IF(LISTADO_NOM!AN17="","",VLOOKUP(LISTADO_NOM!AN17,SEGUIMIENTOS,2,FALSE))</f>
        <v/>
      </c>
    </row>
    <row r="21" spans="1:31">
      <c r="A21">
        <v>9</v>
      </c>
      <c r="C21" t="s">
        <v>294</v>
      </c>
      <c r="D21">
        <v>19</v>
      </c>
      <c r="K21">
        <v>20</v>
      </c>
      <c r="L21">
        <v>20</v>
      </c>
      <c r="P21" t="s">
        <v>250</v>
      </c>
      <c r="T21" t="s">
        <v>192</v>
      </c>
      <c r="U21" t="s">
        <v>312</v>
      </c>
      <c r="Z21" s="89" t="str">
        <f>IF(LISTADO_NOM!K18="","",DATE(LISTADO_NOM!M18,LISTADO_NOM!L18,LISTADO_NOM!K18))</f>
        <v/>
      </c>
      <c r="AA21" s="89" t="str">
        <f>IFERROR(INDEX($Z$14:$Z$300, MATCH(0, INDEX(COUNTIF($AA$13:AA20, $Z$14:$Z$300), 0, 0), 0)), "")</f>
        <v/>
      </c>
      <c r="AB21" s="89" t="str">
        <f t="shared" si="0"/>
        <v/>
      </c>
      <c r="AC21">
        <v>8</v>
      </c>
      <c r="AE21" t="str">
        <f>IF(LISTADO_NOM!AN18="","",VLOOKUP(LISTADO_NOM!AN18,SEGUIMIENTOS,2,FALSE))</f>
        <v/>
      </c>
    </row>
    <row r="22" spans="1:31">
      <c r="A22">
        <v>10</v>
      </c>
      <c r="C22" t="s">
        <v>295</v>
      </c>
      <c r="D22">
        <v>20</v>
      </c>
      <c r="K22">
        <v>21</v>
      </c>
      <c r="L22">
        <v>21</v>
      </c>
      <c r="P22" t="s">
        <v>192</v>
      </c>
      <c r="T22" t="s">
        <v>193</v>
      </c>
      <c r="U22" t="s">
        <v>319</v>
      </c>
      <c r="Z22" s="89" t="str">
        <f>IF(LISTADO_NOM!K19="","",DATE(LISTADO_NOM!M19,LISTADO_NOM!L19,LISTADO_NOM!K19))</f>
        <v/>
      </c>
      <c r="AA22" s="89" t="str">
        <f>IFERROR(INDEX($Z$14:$Z$300, MATCH(0, INDEX(COUNTIF($AA$13:AA21, $Z$14:$Z$300), 0, 0), 0)), "")</f>
        <v/>
      </c>
      <c r="AB22" s="89" t="str">
        <f t="shared" si="0"/>
        <v/>
      </c>
      <c r="AC22">
        <v>9</v>
      </c>
      <c r="AE22" t="str">
        <f>IF(LISTADO_NOM!AN19="","",VLOOKUP(LISTADO_NOM!AN19,SEGUIMIENTOS,2,FALSE))</f>
        <v/>
      </c>
    </row>
    <row r="23" spans="1:31">
      <c r="A23">
        <v>11</v>
      </c>
      <c r="C23" t="s">
        <v>296</v>
      </c>
      <c r="D23">
        <v>21</v>
      </c>
      <c r="K23">
        <v>22</v>
      </c>
      <c r="L23">
        <v>22</v>
      </c>
      <c r="P23" t="s">
        <v>193</v>
      </c>
      <c r="T23" t="s">
        <v>194</v>
      </c>
      <c r="U23" t="s">
        <v>309</v>
      </c>
      <c r="Z23" s="89" t="str">
        <f>IF(LISTADO_NOM!K20="","",DATE(LISTADO_NOM!M20,LISTADO_NOM!L20,LISTADO_NOM!K20))</f>
        <v/>
      </c>
      <c r="AA23" s="89" t="str">
        <f>IFERROR(INDEX($Z$14:$Z$300, MATCH(0, INDEX(COUNTIF($AA$13:AA22, $Z$14:$Z$300), 0, 0), 0)), "")</f>
        <v/>
      </c>
      <c r="AB23" s="89" t="str">
        <f t="shared" si="0"/>
        <v/>
      </c>
      <c r="AC23">
        <v>10</v>
      </c>
      <c r="AE23" t="str">
        <f>IF(LISTADO_NOM!AN20="","",VLOOKUP(LISTADO_NOM!AN20,SEGUIMIENTOS,2,FALSE))</f>
        <v/>
      </c>
    </row>
    <row r="24" spans="1:31">
      <c r="A24">
        <v>12</v>
      </c>
      <c r="C24" t="s">
        <v>297</v>
      </c>
      <c r="D24">
        <v>22</v>
      </c>
      <c r="K24">
        <v>23</v>
      </c>
      <c r="L24">
        <v>23</v>
      </c>
      <c r="P24" t="s">
        <v>194</v>
      </c>
      <c r="T24" t="s">
        <v>195</v>
      </c>
      <c r="U24" t="s">
        <v>307</v>
      </c>
      <c r="Z24" s="89" t="str">
        <f>IF(LISTADO_NOM!K21="","",DATE(LISTADO_NOM!M21,LISTADO_NOM!L21,LISTADO_NOM!K21))</f>
        <v/>
      </c>
      <c r="AA24" s="89" t="str">
        <f>IFERROR(INDEX($Z$14:$Z$300, MATCH(0, INDEX(COUNTIF($AA$13:AA23, $Z$14:$Z$300), 0, 0), 0)), "")</f>
        <v/>
      </c>
      <c r="AB24" s="89" t="str">
        <f t="shared" si="0"/>
        <v/>
      </c>
      <c r="AC24">
        <v>11</v>
      </c>
      <c r="AE24" t="str">
        <f>IF(LISTADO_NOM!AN21="","",VLOOKUP(LISTADO_NOM!AN21,SEGUIMIENTOS,2,FALSE))</f>
        <v/>
      </c>
    </row>
    <row r="25" spans="1:31">
      <c r="A25">
        <v>13</v>
      </c>
      <c r="C25" t="s">
        <v>298</v>
      </c>
      <c r="D25">
        <v>23</v>
      </c>
      <c r="K25">
        <v>24</v>
      </c>
      <c r="L25">
        <v>24</v>
      </c>
      <c r="P25" t="s">
        <v>195</v>
      </c>
      <c r="T25" t="s">
        <v>196</v>
      </c>
      <c r="U25" t="s">
        <v>313</v>
      </c>
      <c r="Z25" s="89" t="str">
        <f>IF(LISTADO_NOM!K22="","",DATE(LISTADO_NOM!M22,LISTADO_NOM!L22,LISTADO_NOM!K22))</f>
        <v/>
      </c>
      <c r="AA25" s="89" t="str">
        <f>IFERROR(INDEX($Z$14:$Z$300, MATCH(0, INDEX(COUNTIF($AA$13:AA24, $Z$14:$Z$300), 0, 0), 0)), "")</f>
        <v/>
      </c>
      <c r="AB25" s="89" t="str">
        <f t="shared" si="0"/>
        <v/>
      </c>
      <c r="AC25">
        <v>12</v>
      </c>
      <c r="AE25" t="str">
        <f>IF(LISTADO_NOM!AN22="","",VLOOKUP(LISTADO_NOM!AN22,SEGUIMIENTOS,2,FALSE))</f>
        <v/>
      </c>
    </row>
    <row r="26" spans="1:31">
      <c r="A26">
        <v>14</v>
      </c>
      <c r="C26" t="s">
        <v>299</v>
      </c>
      <c r="D26">
        <v>24</v>
      </c>
      <c r="K26">
        <v>25</v>
      </c>
      <c r="L26">
        <v>25</v>
      </c>
      <c r="P26" t="s">
        <v>196</v>
      </c>
      <c r="T26" t="s">
        <v>197</v>
      </c>
      <c r="U26" t="s">
        <v>314</v>
      </c>
      <c r="Z26" s="89" t="str">
        <f>IF(LISTADO_NOM!K23="","",DATE(LISTADO_NOM!M23,LISTADO_NOM!L23,LISTADO_NOM!K23))</f>
        <v/>
      </c>
      <c r="AA26" s="89" t="str">
        <f>IFERROR(INDEX($Z$14:$Z$300, MATCH(0, INDEX(COUNTIF($AA$13:AA25, $Z$14:$Z$300), 0, 0), 0)), "")</f>
        <v/>
      </c>
      <c r="AB26" s="89" t="str">
        <f t="shared" si="0"/>
        <v/>
      </c>
      <c r="AC26">
        <v>13</v>
      </c>
      <c r="AE26" t="str">
        <f>IF(LISTADO_NOM!AN23="","",VLOOKUP(LISTADO_NOM!AN23,SEGUIMIENTOS,2,FALSE))</f>
        <v/>
      </c>
    </row>
    <row r="27" spans="1:31">
      <c r="A27">
        <v>15</v>
      </c>
      <c r="C27" t="s">
        <v>300</v>
      </c>
      <c r="D27">
        <v>25</v>
      </c>
      <c r="K27">
        <v>26</v>
      </c>
      <c r="L27">
        <v>26</v>
      </c>
      <c r="P27" t="s">
        <v>197</v>
      </c>
      <c r="T27" t="s">
        <v>198</v>
      </c>
      <c r="U27" t="s">
        <v>308</v>
      </c>
      <c r="Z27" s="89" t="str">
        <f>IF(LISTADO_NOM!K24="","",DATE(LISTADO_NOM!M24,LISTADO_NOM!L24,LISTADO_NOM!K24))</f>
        <v/>
      </c>
      <c r="AA27" s="89" t="str">
        <f>IFERROR(INDEX($Z$14:$Z$300, MATCH(0, INDEX(COUNTIF($AA$13:AA26, $Z$14:$Z$300), 0, 0), 0)), "")</f>
        <v/>
      </c>
      <c r="AB27" s="89" t="str">
        <f t="shared" si="0"/>
        <v/>
      </c>
      <c r="AC27">
        <v>14</v>
      </c>
      <c r="AE27" t="str">
        <f>IF(LISTADO_NOM!AN24="","",VLOOKUP(LISTADO_NOM!AN24,SEGUIMIENTOS,2,FALSE))</f>
        <v/>
      </c>
    </row>
    <row r="28" spans="1:31">
      <c r="A28">
        <v>16</v>
      </c>
      <c r="C28" t="s">
        <v>301</v>
      </c>
      <c r="D28">
        <v>26</v>
      </c>
      <c r="K28">
        <v>27</v>
      </c>
      <c r="L28">
        <v>27</v>
      </c>
      <c r="P28" t="s">
        <v>198</v>
      </c>
      <c r="T28" t="s">
        <v>199</v>
      </c>
      <c r="U28" t="s">
        <v>313</v>
      </c>
      <c r="Z28" s="89" t="str">
        <f>IF(LISTADO_NOM!K25="","",DATE(LISTADO_NOM!M25,LISTADO_NOM!L25,LISTADO_NOM!K25))</f>
        <v/>
      </c>
      <c r="AA28" s="89" t="str">
        <f>IFERROR(INDEX($Z$14:$Z$300, MATCH(0, INDEX(COUNTIF($AA$13:AA27, $Z$14:$Z$300), 0, 0), 0)), "")</f>
        <v/>
      </c>
      <c r="AB28" s="89" t="str">
        <f t="shared" si="0"/>
        <v/>
      </c>
      <c r="AC28">
        <v>15</v>
      </c>
      <c r="AE28" t="str">
        <f>IF(LISTADO_NOM!AN25="","",VLOOKUP(LISTADO_NOM!AN25,SEGUIMIENTOS,2,FALSE))</f>
        <v/>
      </c>
    </row>
    <row r="29" spans="1:31">
      <c r="A29">
        <v>17</v>
      </c>
      <c r="C29" t="s">
        <v>302</v>
      </c>
      <c r="D29">
        <v>27</v>
      </c>
      <c r="K29">
        <v>28</v>
      </c>
      <c r="L29">
        <v>28</v>
      </c>
      <c r="P29" t="s">
        <v>199</v>
      </c>
      <c r="T29" t="s">
        <v>200</v>
      </c>
      <c r="U29" t="s">
        <v>316</v>
      </c>
      <c r="Z29" s="89" t="str">
        <f>IF(LISTADO_NOM!K26="","",DATE(LISTADO_NOM!M26,LISTADO_NOM!L26,LISTADO_NOM!K26))</f>
        <v/>
      </c>
      <c r="AA29" s="89" t="str">
        <f>IFERROR(INDEX($Z$14:$Z$300, MATCH(0, INDEX(COUNTIF($AA$13:AA28, $Z$14:$Z$300), 0, 0), 0)), "")</f>
        <v/>
      </c>
      <c r="AB29" s="89" t="str">
        <f t="shared" si="0"/>
        <v/>
      </c>
      <c r="AC29">
        <v>16</v>
      </c>
      <c r="AE29" t="str">
        <f>IF(LISTADO_NOM!AN26="","",VLOOKUP(LISTADO_NOM!AN26,SEGUIMIENTOS,2,FALSE))</f>
        <v/>
      </c>
    </row>
    <row r="30" spans="1:31">
      <c r="A30">
        <v>18</v>
      </c>
      <c r="C30" t="s">
        <v>303</v>
      </c>
      <c r="D30">
        <v>28</v>
      </c>
      <c r="K30">
        <v>29</v>
      </c>
      <c r="L30">
        <v>29</v>
      </c>
      <c r="P30" t="s">
        <v>200</v>
      </c>
      <c r="T30" t="s">
        <v>251</v>
      </c>
      <c r="U30" t="s">
        <v>311</v>
      </c>
      <c r="Z30" s="89" t="str">
        <f>IF(LISTADO_NOM!K27="","",DATE(LISTADO_NOM!M27,LISTADO_NOM!L27,LISTADO_NOM!K27))</f>
        <v/>
      </c>
      <c r="AA30" s="89" t="str">
        <f>IFERROR(INDEX($Z$14:$Z$300, MATCH(0, INDEX(COUNTIF($AA$13:AA29, $Z$14:$Z$300), 0, 0), 0)), "")</f>
        <v/>
      </c>
      <c r="AB30" s="89" t="str">
        <f t="shared" si="0"/>
        <v/>
      </c>
      <c r="AC30">
        <v>17</v>
      </c>
      <c r="AE30" t="str">
        <f>IF(LISTADO_NOM!AN27="","",VLOOKUP(LISTADO_NOM!AN27,SEGUIMIENTOS,2,FALSE))</f>
        <v/>
      </c>
    </row>
    <row r="31" spans="1:31">
      <c r="A31">
        <v>19</v>
      </c>
      <c r="C31" t="s">
        <v>304</v>
      </c>
      <c r="D31">
        <v>29</v>
      </c>
      <c r="K31">
        <v>30</v>
      </c>
      <c r="L31">
        <v>30</v>
      </c>
      <c r="P31" t="s">
        <v>251</v>
      </c>
      <c r="T31" t="s">
        <v>201</v>
      </c>
      <c r="U31" t="s">
        <v>317</v>
      </c>
      <c r="Z31" s="89" t="str">
        <f>IF(LISTADO_NOM!K28="","",DATE(LISTADO_NOM!M28,LISTADO_NOM!L28,LISTADO_NOM!K28))</f>
        <v/>
      </c>
      <c r="AA31" s="89" t="str">
        <f>IFERROR(INDEX($Z$14:$Z$300, MATCH(0, INDEX(COUNTIF($AA$13:AA30, $Z$14:$Z$300), 0, 0), 0)), "")</f>
        <v/>
      </c>
      <c r="AB31" s="89" t="str">
        <f t="shared" si="0"/>
        <v/>
      </c>
      <c r="AC31">
        <v>18</v>
      </c>
      <c r="AE31" t="str">
        <f>IF(LISTADO_NOM!AN28="","",VLOOKUP(LISTADO_NOM!AN28,SEGUIMIENTOS,2,FALSE))</f>
        <v/>
      </c>
    </row>
    <row r="32" spans="1:31">
      <c r="A32">
        <v>20</v>
      </c>
      <c r="C32" t="s">
        <v>305</v>
      </c>
      <c r="D32">
        <v>30</v>
      </c>
      <c r="K32">
        <v>31</v>
      </c>
      <c r="L32">
        <v>31</v>
      </c>
      <c r="P32" t="s">
        <v>201</v>
      </c>
      <c r="T32" t="s">
        <v>202</v>
      </c>
      <c r="U32" t="s">
        <v>313</v>
      </c>
      <c r="Z32" s="89" t="str">
        <f>IF(LISTADO_NOM!K29="","",DATE(LISTADO_NOM!M29,LISTADO_NOM!L29,LISTADO_NOM!K29))</f>
        <v/>
      </c>
      <c r="AA32" s="89" t="str">
        <f>IFERROR(INDEX($Z$14:$Z$300, MATCH(0, INDEX(COUNTIF($AA$13:AA31, $Z$14:$Z$300), 0, 0), 0)), "")</f>
        <v/>
      </c>
      <c r="AB32" s="89" t="str">
        <f t="shared" si="0"/>
        <v/>
      </c>
      <c r="AC32">
        <v>19</v>
      </c>
      <c r="AE32" t="str">
        <f>IF(LISTADO_NOM!AN29="","",VLOOKUP(LISTADO_NOM!AN29,SEGUIMIENTOS,2,FALSE))</f>
        <v/>
      </c>
    </row>
    <row r="33" spans="1:31">
      <c r="A33">
        <v>21</v>
      </c>
      <c r="C33" t="s">
        <v>148</v>
      </c>
      <c r="K33">
        <v>32</v>
      </c>
      <c r="P33" t="s">
        <v>202</v>
      </c>
      <c r="T33" t="s">
        <v>203</v>
      </c>
      <c r="U33" t="s">
        <v>318</v>
      </c>
      <c r="Z33" s="89" t="str">
        <f>IF(LISTADO_NOM!K30="","",DATE(LISTADO_NOM!M30,LISTADO_NOM!L30,LISTADO_NOM!K30))</f>
        <v/>
      </c>
      <c r="AA33" s="89" t="str">
        <f>IFERROR(INDEX($Z$14:$Z$300, MATCH(0, INDEX(COUNTIF($AA$13:AA32, $Z$14:$Z$300), 0, 0), 0)), "")</f>
        <v/>
      </c>
      <c r="AB33" s="89" t="str">
        <f t="shared" si="0"/>
        <v/>
      </c>
      <c r="AC33">
        <v>20</v>
      </c>
      <c r="AE33" t="str">
        <f>IF(LISTADO_NOM!AN30="","",VLOOKUP(LISTADO_NOM!AN30,SEGUIMIENTOS,2,FALSE))</f>
        <v/>
      </c>
    </row>
    <row r="34" spans="1:31">
      <c r="A34">
        <v>22</v>
      </c>
      <c r="K34">
        <v>33</v>
      </c>
      <c r="P34" t="s">
        <v>203</v>
      </c>
      <c r="T34" t="s">
        <v>204</v>
      </c>
      <c r="U34" t="s">
        <v>314</v>
      </c>
      <c r="Z34" s="89" t="str">
        <f>IF(LISTADO_NOM!K31="","",DATE(LISTADO_NOM!M31,LISTADO_NOM!L31,LISTADO_NOM!K31))</f>
        <v/>
      </c>
      <c r="AA34" s="89" t="str">
        <f>IFERROR(INDEX($Z$14:$Z$300, MATCH(0, INDEX(COUNTIF($AA$13:AA33, $Z$14:$Z$300), 0, 0), 0)), "")</f>
        <v/>
      </c>
      <c r="AB34" s="89" t="str">
        <f t="shared" si="0"/>
        <v/>
      </c>
      <c r="AC34">
        <v>21</v>
      </c>
      <c r="AE34" t="str">
        <f>IF(LISTADO_NOM!AN31="","",VLOOKUP(LISTADO_NOM!AN31,SEGUIMIENTOS,2,FALSE))</f>
        <v/>
      </c>
    </row>
    <row r="35" spans="1:31">
      <c r="A35">
        <v>23</v>
      </c>
      <c r="K35">
        <v>34</v>
      </c>
      <c r="P35" t="s">
        <v>204</v>
      </c>
      <c r="T35" t="s">
        <v>205</v>
      </c>
      <c r="U35" t="s">
        <v>308</v>
      </c>
      <c r="Z35" s="89" t="str">
        <f>IF(LISTADO_NOM!K32="","",DATE(LISTADO_NOM!M32,LISTADO_NOM!L32,LISTADO_NOM!K32))</f>
        <v/>
      </c>
      <c r="AA35" s="89" t="str">
        <f>IFERROR(INDEX($Z$14:$Z$300, MATCH(0, INDEX(COUNTIF($AA$13:AA34, $Z$14:$Z$300), 0, 0), 0)), "")</f>
        <v/>
      </c>
      <c r="AB35" s="89" t="str">
        <f t="shared" si="0"/>
        <v/>
      </c>
      <c r="AC35">
        <v>22</v>
      </c>
      <c r="AE35" t="str">
        <f>IF(LISTADO_NOM!AN32="","",VLOOKUP(LISTADO_NOM!AN32,SEGUIMIENTOS,2,FALSE))</f>
        <v/>
      </c>
    </row>
    <row r="36" spans="1:31">
      <c r="A36">
        <v>24</v>
      </c>
      <c r="K36">
        <v>35</v>
      </c>
      <c r="P36" t="s">
        <v>205</v>
      </c>
      <c r="T36" t="s">
        <v>206</v>
      </c>
      <c r="U36" t="s">
        <v>318</v>
      </c>
      <c r="Z36" s="89" t="str">
        <f>IF(LISTADO_NOM!K33="","",DATE(LISTADO_NOM!M33,LISTADO_NOM!L33,LISTADO_NOM!K33))</f>
        <v/>
      </c>
      <c r="AA36" s="89" t="str">
        <f>IFERROR(INDEX($Z$14:$Z$300, MATCH(0, INDEX(COUNTIF($AA$13:AA35, $Z$14:$Z$300), 0, 0), 0)), "")</f>
        <v/>
      </c>
      <c r="AB36" s="89" t="str">
        <f t="shared" si="0"/>
        <v/>
      </c>
      <c r="AC36">
        <v>23</v>
      </c>
      <c r="AE36" t="str">
        <f>IF(LISTADO_NOM!AN33="","",VLOOKUP(LISTADO_NOM!AN33,SEGUIMIENTOS,2,FALSE))</f>
        <v/>
      </c>
    </row>
    <row r="37" spans="1:31">
      <c r="A37">
        <v>25</v>
      </c>
      <c r="K37">
        <v>36</v>
      </c>
      <c r="P37" t="s">
        <v>206</v>
      </c>
      <c r="T37" t="s">
        <v>207</v>
      </c>
      <c r="U37" t="s">
        <v>318</v>
      </c>
      <c r="Z37" s="89" t="str">
        <f>IF(LISTADO_NOM!K34="","",DATE(LISTADO_NOM!M34,LISTADO_NOM!L34,LISTADO_NOM!K34))</f>
        <v/>
      </c>
      <c r="AA37" s="89" t="str">
        <f>IFERROR(INDEX($Z$14:$Z$300, MATCH(0, INDEX(COUNTIF($AA$13:AA36, $Z$14:$Z$300), 0, 0), 0)), "")</f>
        <v/>
      </c>
      <c r="AB37" s="89" t="str">
        <f t="shared" si="0"/>
        <v/>
      </c>
      <c r="AC37">
        <v>24</v>
      </c>
      <c r="AE37" t="str">
        <f>IF(LISTADO_NOM!AN34="","",VLOOKUP(LISTADO_NOM!AN34,SEGUIMIENTOS,2,FALSE))</f>
        <v/>
      </c>
    </row>
    <row r="38" spans="1:31">
      <c r="A38">
        <v>26</v>
      </c>
      <c r="K38">
        <v>37</v>
      </c>
      <c r="P38" t="s">
        <v>207</v>
      </c>
      <c r="T38" t="s">
        <v>208</v>
      </c>
      <c r="U38" t="s">
        <v>307</v>
      </c>
      <c r="Z38" s="89" t="str">
        <f>IF(LISTADO_NOM!K35="","",DATE(LISTADO_NOM!M35,LISTADO_NOM!L35,LISTADO_NOM!K35))</f>
        <v/>
      </c>
      <c r="AA38" s="89" t="str">
        <f>IFERROR(INDEX($Z$14:$Z$300, MATCH(0, INDEX(COUNTIF($AA$13:AA37, $Z$14:$Z$300), 0, 0), 0)), "")</f>
        <v/>
      </c>
      <c r="AB38" s="89" t="str">
        <f t="shared" si="0"/>
        <v/>
      </c>
      <c r="AC38">
        <v>25</v>
      </c>
      <c r="AE38" t="str">
        <f>IF(LISTADO_NOM!AN35="","",VLOOKUP(LISTADO_NOM!AN35,SEGUIMIENTOS,2,FALSE))</f>
        <v/>
      </c>
    </row>
    <row r="39" spans="1:31">
      <c r="A39">
        <v>27</v>
      </c>
      <c r="K39">
        <v>38</v>
      </c>
      <c r="P39" t="s">
        <v>208</v>
      </c>
      <c r="T39" t="s">
        <v>209</v>
      </c>
      <c r="U39" t="s">
        <v>319</v>
      </c>
      <c r="Z39" s="89" t="str">
        <f>IF(LISTADO_NOM!K36="","",DATE(LISTADO_NOM!M36,LISTADO_NOM!L36,LISTADO_NOM!K36))</f>
        <v/>
      </c>
      <c r="AA39" s="89" t="str">
        <f>IFERROR(INDEX($Z$14:$Z$300, MATCH(0, INDEX(COUNTIF($AA$13:AA38, $Z$14:$Z$300), 0, 0), 0)), "")</f>
        <v/>
      </c>
      <c r="AB39" s="89" t="str">
        <f t="shared" si="0"/>
        <v/>
      </c>
      <c r="AC39">
        <v>26</v>
      </c>
      <c r="AE39" t="str">
        <f>IF(LISTADO_NOM!AN36="","",VLOOKUP(LISTADO_NOM!AN36,SEGUIMIENTOS,2,FALSE))</f>
        <v/>
      </c>
    </row>
    <row r="40" spans="1:31">
      <c r="A40">
        <v>28</v>
      </c>
      <c r="K40">
        <v>39</v>
      </c>
      <c r="P40" t="s">
        <v>209</v>
      </c>
      <c r="T40" t="s">
        <v>252</v>
      </c>
      <c r="U40" t="s">
        <v>317</v>
      </c>
      <c r="Z40" s="89" t="str">
        <f>IF(LISTADO_NOM!K37="","",DATE(LISTADO_NOM!M37,LISTADO_NOM!L37,LISTADO_NOM!K37))</f>
        <v/>
      </c>
      <c r="AA40" s="89" t="str">
        <f>IFERROR(INDEX($Z$14:$Z$300, MATCH(0, INDEX(COUNTIF($AA$13:AA39, $Z$14:$Z$300), 0, 0), 0)), "")</f>
        <v/>
      </c>
      <c r="AB40" s="89" t="str">
        <f t="shared" si="0"/>
        <v/>
      </c>
      <c r="AC40">
        <v>27</v>
      </c>
      <c r="AE40" t="str">
        <f>IF(LISTADO_NOM!AN37="","",VLOOKUP(LISTADO_NOM!AN37,SEGUIMIENTOS,2,FALSE))</f>
        <v/>
      </c>
    </row>
    <row r="41" spans="1:31">
      <c r="A41">
        <v>29</v>
      </c>
      <c r="K41">
        <v>40</v>
      </c>
      <c r="P41" t="s">
        <v>252</v>
      </c>
      <c r="T41" t="s">
        <v>210</v>
      </c>
      <c r="U41" t="s">
        <v>309</v>
      </c>
      <c r="Z41" s="89" t="str">
        <f>IF(LISTADO_NOM!K38="","",DATE(LISTADO_NOM!M38,LISTADO_NOM!L38,LISTADO_NOM!K38))</f>
        <v/>
      </c>
      <c r="AA41" s="89" t="str">
        <f>IFERROR(INDEX($Z$14:$Z$300, MATCH(0, INDEX(COUNTIF($AA$13:AA40, $Z$14:$Z$300), 0, 0), 0)), "")</f>
        <v/>
      </c>
      <c r="AB41" s="89" t="str">
        <f t="shared" si="0"/>
        <v/>
      </c>
      <c r="AC41">
        <v>28</v>
      </c>
      <c r="AE41" t="str">
        <f>IF(LISTADO_NOM!AN38="","",VLOOKUP(LISTADO_NOM!AN38,SEGUIMIENTOS,2,FALSE))</f>
        <v/>
      </c>
    </row>
    <row r="42" spans="1:31">
      <c r="A42">
        <v>30</v>
      </c>
      <c r="K42">
        <v>41</v>
      </c>
      <c r="P42" t="s">
        <v>210</v>
      </c>
      <c r="T42" t="s">
        <v>211</v>
      </c>
      <c r="U42" t="s">
        <v>314</v>
      </c>
      <c r="Z42" s="89" t="str">
        <f>IF(LISTADO_NOM!K39="","",DATE(LISTADO_NOM!M39,LISTADO_NOM!L39,LISTADO_NOM!K39))</f>
        <v/>
      </c>
      <c r="AA42" s="89" t="str">
        <f>IFERROR(INDEX($Z$14:$Z$300, MATCH(0, INDEX(COUNTIF($AA$13:AA41, $Z$14:$Z$300), 0, 0), 0)), "")</f>
        <v/>
      </c>
      <c r="AB42" s="89" t="str">
        <f t="shared" si="0"/>
        <v/>
      </c>
      <c r="AC42">
        <v>29</v>
      </c>
      <c r="AE42" t="str">
        <f>IF(LISTADO_NOM!AN39="","",VLOOKUP(LISTADO_NOM!AN39,SEGUIMIENTOS,2,FALSE))</f>
        <v/>
      </c>
    </row>
    <row r="43" spans="1:31">
      <c r="A43">
        <v>31</v>
      </c>
      <c r="K43">
        <v>42</v>
      </c>
      <c r="P43" t="s">
        <v>211</v>
      </c>
      <c r="T43" t="s">
        <v>212</v>
      </c>
      <c r="U43" t="s">
        <v>320</v>
      </c>
      <c r="Z43" s="89" t="str">
        <f>IF(LISTADO_NOM!K40="","",DATE(LISTADO_NOM!M40,LISTADO_NOM!L40,LISTADO_NOM!K40))</f>
        <v/>
      </c>
      <c r="AA43" s="89" t="str">
        <f>IFERROR(INDEX($Z$14:$Z$300, MATCH(0, INDEX(COUNTIF($AA$13:AA42, $Z$14:$Z$300), 0, 0), 0)), "")</f>
        <v/>
      </c>
      <c r="AB43" s="89" t="str">
        <f t="shared" si="0"/>
        <v/>
      </c>
      <c r="AC43">
        <v>30</v>
      </c>
      <c r="AE43" t="str">
        <f>IF(LISTADO_NOM!AN40="","",VLOOKUP(LISTADO_NOM!AN40,SEGUIMIENTOS,2,FALSE))</f>
        <v/>
      </c>
    </row>
    <row r="44" spans="1:31">
      <c r="A44">
        <v>32</v>
      </c>
      <c r="K44">
        <v>43</v>
      </c>
      <c r="P44" t="s">
        <v>212</v>
      </c>
      <c r="T44" t="s">
        <v>213</v>
      </c>
      <c r="U44" t="s">
        <v>316</v>
      </c>
      <c r="Z44" s="89" t="str">
        <f>IF(LISTADO_NOM!K41="","",DATE(LISTADO_NOM!M41,LISTADO_NOM!L41,LISTADO_NOM!K41))</f>
        <v/>
      </c>
      <c r="AA44" s="89" t="str">
        <f>IFERROR(INDEX($Z$14:$Z$300, MATCH(0, INDEX(COUNTIF($AA$13:AA43, $Z$14:$Z$300), 0, 0), 0)), "")</f>
        <v/>
      </c>
      <c r="AB44" s="89" t="str">
        <f t="shared" si="0"/>
        <v/>
      </c>
      <c r="AC44">
        <v>31</v>
      </c>
      <c r="AE44" t="str">
        <f>IF(LISTADO_NOM!AN41="","",VLOOKUP(LISTADO_NOM!AN41,SEGUIMIENTOS,2,FALSE))</f>
        <v/>
      </c>
    </row>
    <row r="45" spans="1:31">
      <c r="A45">
        <v>33</v>
      </c>
      <c r="K45">
        <v>44</v>
      </c>
      <c r="P45" t="s">
        <v>213</v>
      </c>
      <c r="T45" t="s">
        <v>214</v>
      </c>
      <c r="U45" t="s">
        <v>307</v>
      </c>
      <c r="Z45" s="89" t="str">
        <f>IF(LISTADO_NOM!K42="","",DATE(LISTADO_NOM!M42,LISTADO_NOM!L42,LISTADO_NOM!K42))</f>
        <v/>
      </c>
      <c r="AA45" s="89" t="str">
        <f>IFERROR(INDEX($Z$14:$Z$300, MATCH(0, INDEX(COUNTIF($AA$13:AA44, $Z$14:$Z$300), 0, 0), 0)), "")</f>
        <v/>
      </c>
      <c r="AB45" s="89" t="str">
        <f t="shared" si="0"/>
        <v/>
      </c>
      <c r="AC45">
        <v>32</v>
      </c>
      <c r="AE45" t="str">
        <f>IF(LISTADO_NOM!AN42="","",VLOOKUP(LISTADO_NOM!AN42,SEGUIMIENTOS,2,FALSE))</f>
        <v/>
      </c>
    </row>
    <row r="46" spans="1:31">
      <c r="A46">
        <v>34</v>
      </c>
      <c r="K46">
        <v>45</v>
      </c>
      <c r="P46" t="s">
        <v>214</v>
      </c>
      <c r="T46" t="s">
        <v>215</v>
      </c>
      <c r="U46" t="s">
        <v>313</v>
      </c>
      <c r="Z46" s="89" t="str">
        <f>IF(LISTADO_NOM!K43="","",DATE(LISTADO_NOM!M43,LISTADO_NOM!L43,LISTADO_NOM!K43))</f>
        <v/>
      </c>
      <c r="AA46" s="89" t="str">
        <f>IFERROR(INDEX($Z$14:$Z$300, MATCH(0, INDEX(COUNTIF($AA$13:AA45, $Z$14:$Z$300), 0, 0), 0)), "")</f>
        <v/>
      </c>
      <c r="AB46" s="89" t="str">
        <f t="shared" si="0"/>
        <v/>
      </c>
      <c r="AC46">
        <v>33</v>
      </c>
      <c r="AE46" t="str">
        <f>IF(LISTADO_NOM!AN43="","",VLOOKUP(LISTADO_NOM!AN43,SEGUIMIENTOS,2,FALSE))</f>
        <v/>
      </c>
    </row>
    <row r="47" spans="1:31">
      <c r="A47">
        <v>35</v>
      </c>
      <c r="K47">
        <v>46</v>
      </c>
      <c r="P47" t="s">
        <v>215</v>
      </c>
      <c r="T47" t="s">
        <v>216</v>
      </c>
      <c r="U47" t="s">
        <v>320</v>
      </c>
      <c r="Z47" s="89" t="str">
        <f>IF(LISTADO_NOM!K44="","",DATE(LISTADO_NOM!M44,LISTADO_NOM!L44,LISTADO_NOM!K44))</f>
        <v/>
      </c>
      <c r="AA47" s="89" t="str">
        <f>IFERROR(INDEX($Z$14:$Z$300, MATCH(0, INDEX(COUNTIF($AA$13:AA46, $Z$14:$Z$300), 0, 0), 0)), "")</f>
        <v/>
      </c>
      <c r="AB47" s="89" t="str">
        <f t="shared" si="0"/>
        <v/>
      </c>
      <c r="AC47">
        <v>34</v>
      </c>
      <c r="AE47" t="str">
        <f>IF(LISTADO_NOM!AN44="","",VLOOKUP(LISTADO_NOM!AN44,SEGUIMIENTOS,2,FALSE))</f>
        <v/>
      </c>
    </row>
    <row r="48" spans="1:31">
      <c r="A48">
        <v>36</v>
      </c>
      <c r="K48">
        <v>47</v>
      </c>
      <c r="P48" t="s">
        <v>216</v>
      </c>
      <c r="T48" t="s">
        <v>217</v>
      </c>
      <c r="U48" t="s">
        <v>319</v>
      </c>
      <c r="Z48" s="89" t="str">
        <f>IF(LISTADO_NOM!K45="","",DATE(LISTADO_NOM!M45,LISTADO_NOM!L45,LISTADO_NOM!K45))</f>
        <v/>
      </c>
      <c r="AA48" s="89" t="str">
        <f>IFERROR(INDEX($Z$14:$Z$300, MATCH(0, INDEX(COUNTIF($AA$13:AA47, $Z$14:$Z$300), 0, 0), 0)), "")</f>
        <v/>
      </c>
      <c r="AB48" s="89" t="str">
        <f t="shared" si="0"/>
        <v/>
      </c>
      <c r="AC48">
        <v>35</v>
      </c>
      <c r="AE48" t="str">
        <f>IF(LISTADO_NOM!AN45="","",VLOOKUP(LISTADO_NOM!AN45,SEGUIMIENTOS,2,FALSE))</f>
        <v/>
      </c>
    </row>
    <row r="49" spans="1:31">
      <c r="A49">
        <v>37</v>
      </c>
      <c r="K49">
        <v>48</v>
      </c>
      <c r="P49" t="s">
        <v>217</v>
      </c>
      <c r="T49" t="s">
        <v>218</v>
      </c>
      <c r="U49" t="s">
        <v>317</v>
      </c>
      <c r="Z49" s="89" t="str">
        <f>IF(LISTADO_NOM!K46="","",DATE(LISTADO_NOM!M46,LISTADO_NOM!L46,LISTADO_NOM!K46))</f>
        <v/>
      </c>
      <c r="AA49" s="89" t="str">
        <f>IFERROR(INDEX($Z$14:$Z$300, MATCH(0, INDEX(COUNTIF($AA$13:AA48, $Z$14:$Z$300), 0, 0), 0)), "")</f>
        <v/>
      </c>
      <c r="AB49" s="89" t="str">
        <f t="shared" si="0"/>
        <v/>
      </c>
      <c r="AC49">
        <v>36</v>
      </c>
      <c r="AE49" t="str">
        <f>IF(LISTADO_NOM!AN46="","",VLOOKUP(LISTADO_NOM!AN46,SEGUIMIENTOS,2,FALSE))</f>
        <v/>
      </c>
    </row>
    <row r="50" spans="1:31">
      <c r="A50">
        <v>38</v>
      </c>
      <c r="K50">
        <v>49</v>
      </c>
      <c r="P50" t="s">
        <v>218</v>
      </c>
      <c r="T50" t="s">
        <v>253</v>
      </c>
      <c r="U50" t="s">
        <v>309</v>
      </c>
      <c r="Z50" s="89" t="str">
        <f>IF(LISTADO_NOM!K47="","",DATE(LISTADO_NOM!M47,LISTADO_NOM!L47,LISTADO_NOM!K47))</f>
        <v/>
      </c>
      <c r="AA50" s="89" t="str">
        <f>IFERROR(INDEX($Z$14:$Z$300, MATCH(0, INDEX(COUNTIF($AA$13:AA49, $Z$14:$Z$300), 0, 0), 0)), "")</f>
        <v/>
      </c>
      <c r="AB50" s="89" t="str">
        <f t="shared" si="0"/>
        <v/>
      </c>
      <c r="AC50">
        <v>37</v>
      </c>
      <c r="AE50" t="str">
        <f>IF(LISTADO_NOM!AN47="","",VLOOKUP(LISTADO_NOM!AN47,SEGUIMIENTOS,2,FALSE))</f>
        <v/>
      </c>
    </row>
    <row r="51" spans="1:31">
      <c r="A51">
        <v>39</v>
      </c>
      <c r="K51">
        <v>50</v>
      </c>
      <c r="P51" t="s">
        <v>253</v>
      </c>
      <c r="T51" t="s">
        <v>219</v>
      </c>
      <c r="U51" t="s">
        <v>319</v>
      </c>
      <c r="Z51" s="89" t="str">
        <f>IF(LISTADO_NOM!K48="","",DATE(LISTADO_NOM!M48,LISTADO_NOM!L48,LISTADO_NOM!K48))</f>
        <v/>
      </c>
      <c r="AA51" s="89" t="str">
        <f>IFERROR(INDEX($Z$14:$Z$300, MATCH(0, INDEX(COUNTIF($AA$13:AA50, $Z$14:$Z$300), 0, 0), 0)), "")</f>
        <v/>
      </c>
      <c r="AB51" s="89" t="str">
        <f t="shared" si="0"/>
        <v/>
      </c>
      <c r="AC51">
        <v>38</v>
      </c>
      <c r="AE51" t="str">
        <f>IF(LISTADO_NOM!AN48="","",VLOOKUP(LISTADO_NOM!AN48,SEGUIMIENTOS,2,FALSE))</f>
        <v/>
      </c>
    </row>
    <row r="52" spans="1:31">
      <c r="A52">
        <v>40</v>
      </c>
      <c r="P52" t="s">
        <v>219</v>
      </c>
      <c r="T52" t="s">
        <v>220</v>
      </c>
      <c r="U52" t="s">
        <v>319</v>
      </c>
      <c r="Z52" s="89" t="str">
        <f>IF(LISTADO_NOM!K49="","",DATE(LISTADO_NOM!M49,LISTADO_NOM!L49,LISTADO_NOM!K49))</f>
        <v/>
      </c>
      <c r="AA52" s="89" t="str">
        <f>IFERROR(INDEX($Z$14:$Z$300, MATCH(0, INDEX(COUNTIF($AA$13:AA51, $Z$14:$Z$300), 0, 0), 0)), "")</f>
        <v/>
      </c>
      <c r="AB52" s="89" t="str">
        <f t="shared" si="0"/>
        <v/>
      </c>
      <c r="AC52">
        <v>39</v>
      </c>
      <c r="AE52" t="str">
        <f>IF(LISTADO_NOM!AN49="","",VLOOKUP(LISTADO_NOM!AN49,SEGUIMIENTOS,2,FALSE))</f>
        <v/>
      </c>
    </row>
    <row r="53" spans="1:31">
      <c r="A53">
        <v>41</v>
      </c>
      <c r="P53" t="s">
        <v>220</v>
      </c>
      <c r="T53" t="s">
        <v>221</v>
      </c>
      <c r="U53" t="s">
        <v>308</v>
      </c>
      <c r="Z53" s="89" t="str">
        <f>IF(LISTADO_NOM!K50="","",DATE(LISTADO_NOM!M50,LISTADO_NOM!L50,LISTADO_NOM!K50))</f>
        <v/>
      </c>
      <c r="AA53" s="89" t="str">
        <f>IFERROR(INDEX($Z$14:$Z$300, MATCH(0, INDEX(COUNTIF($AA$13:AA52, $Z$14:$Z$300), 0, 0), 0)), "")</f>
        <v/>
      </c>
      <c r="AB53" s="89" t="str">
        <f t="shared" si="0"/>
        <v/>
      </c>
      <c r="AC53">
        <v>40</v>
      </c>
      <c r="AE53" t="str">
        <f>IF(LISTADO_NOM!AN50="","",VLOOKUP(LISTADO_NOM!AN50,SEGUIMIENTOS,2,FALSE))</f>
        <v/>
      </c>
    </row>
    <row r="54" spans="1:31">
      <c r="A54">
        <v>42</v>
      </c>
      <c r="P54" t="s">
        <v>221</v>
      </c>
      <c r="T54" t="s">
        <v>222</v>
      </c>
      <c r="U54" t="s">
        <v>309</v>
      </c>
      <c r="Z54" s="89" t="str">
        <f>IF(LISTADO_NOM!K51="","",DATE(LISTADO_NOM!M51,LISTADO_NOM!L51,LISTADO_NOM!K51))</f>
        <v/>
      </c>
      <c r="AA54" s="89" t="str">
        <f>IFERROR(INDEX($Z$14:$Z$300, MATCH(0, INDEX(COUNTIF($AA$13:AA53, $Z$14:$Z$300), 0, 0), 0)), "")</f>
        <v/>
      </c>
      <c r="AB54" s="89" t="str">
        <f t="shared" si="0"/>
        <v/>
      </c>
      <c r="AC54">
        <v>41</v>
      </c>
      <c r="AE54" t="str">
        <f>IF(LISTADO_NOM!AN51="","",VLOOKUP(LISTADO_NOM!AN51,SEGUIMIENTOS,2,FALSE))</f>
        <v/>
      </c>
    </row>
    <row r="55" spans="1:31">
      <c r="A55">
        <v>43</v>
      </c>
      <c r="P55" t="s">
        <v>222</v>
      </c>
      <c r="T55" t="s">
        <v>223</v>
      </c>
      <c r="U55" t="s">
        <v>309</v>
      </c>
      <c r="Z55" s="89" t="str">
        <f>IF(LISTADO_NOM!K52="","",DATE(LISTADO_NOM!M52,LISTADO_NOM!L52,LISTADO_NOM!K52))</f>
        <v/>
      </c>
      <c r="AA55" s="89" t="str">
        <f>IFERROR(INDEX($Z$14:$Z$300, MATCH(0, INDEX(COUNTIF($AA$13:AA54, $Z$14:$Z$300), 0, 0), 0)), "")</f>
        <v/>
      </c>
      <c r="AB55" s="89" t="str">
        <f t="shared" si="0"/>
        <v/>
      </c>
      <c r="AC55">
        <v>42</v>
      </c>
      <c r="AE55" t="str">
        <f>IF(LISTADO_NOM!AN52="","",VLOOKUP(LISTADO_NOM!AN52,SEGUIMIENTOS,2,FALSE))</f>
        <v/>
      </c>
    </row>
    <row r="56" spans="1:31">
      <c r="A56">
        <v>44</v>
      </c>
      <c r="P56" t="s">
        <v>223</v>
      </c>
      <c r="T56" t="s">
        <v>224</v>
      </c>
      <c r="U56" t="s">
        <v>315</v>
      </c>
      <c r="Z56" s="89" t="str">
        <f>IF(LISTADO_NOM!K53="","",DATE(LISTADO_NOM!M53,LISTADO_NOM!L53,LISTADO_NOM!K53))</f>
        <v/>
      </c>
      <c r="AA56" s="89" t="str">
        <f>IFERROR(INDEX($Z$14:$Z$300, MATCH(0, INDEX(COUNTIF($AA$13:AA55, $Z$14:$Z$300), 0, 0), 0)), "")</f>
        <v/>
      </c>
      <c r="AB56" s="89" t="str">
        <f t="shared" si="0"/>
        <v/>
      </c>
      <c r="AC56">
        <v>43</v>
      </c>
      <c r="AE56" t="str">
        <f>IF(LISTADO_NOM!AN53="","",VLOOKUP(LISTADO_NOM!AN53,SEGUIMIENTOS,2,FALSE))</f>
        <v/>
      </c>
    </row>
    <row r="57" spans="1:31">
      <c r="A57">
        <v>45</v>
      </c>
      <c r="P57" t="s">
        <v>224</v>
      </c>
      <c r="T57" t="s">
        <v>225</v>
      </c>
      <c r="U57" t="s">
        <v>315</v>
      </c>
      <c r="Z57" s="89" t="str">
        <f>IF(LISTADO_NOM!K54="","",DATE(LISTADO_NOM!M54,LISTADO_NOM!L54,LISTADO_NOM!K54))</f>
        <v/>
      </c>
      <c r="AA57" s="89" t="str">
        <f>IFERROR(INDEX($Z$14:$Z$300, MATCH(0, INDEX(COUNTIF($AA$13:AA56, $Z$14:$Z$300), 0, 0), 0)), "")</f>
        <v/>
      </c>
      <c r="AB57" s="89" t="str">
        <f t="shared" si="0"/>
        <v/>
      </c>
      <c r="AC57">
        <v>44</v>
      </c>
      <c r="AE57" t="str">
        <f>IF(LISTADO_NOM!AN54="","",VLOOKUP(LISTADO_NOM!AN54,SEGUIMIENTOS,2,FALSE))</f>
        <v/>
      </c>
    </row>
    <row r="58" spans="1:31">
      <c r="A58">
        <v>46</v>
      </c>
      <c r="P58" t="s">
        <v>225</v>
      </c>
      <c r="T58" t="s">
        <v>226</v>
      </c>
      <c r="U58" t="s">
        <v>320</v>
      </c>
      <c r="Z58" s="89" t="str">
        <f>IF(LISTADO_NOM!K55="","",DATE(LISTADO_NOM!M55,LISTADO_NOM!L55,LISTADO_NOM!K55))</f>
        <v/>
      </c>
      <c r="AA58" s="89" t="str">
        <f>IFERROR(INDEX($Z$14:$Z$300, MATCH(0, INDEX(COUNTIF($AA$13:AA57, $Z$14:$Z$300), 0, 0), 0)), "")</f>
        <v/>
      </c>
      <c r="AB58" s="89" t="str">
        <f t="shared" si="0"/>
        <v/>
      </c>
      <c r="AC58">
        <v>45</v>
      </c>
      <c r="AE58" t="str">
        <f>IF(LISTADO_NOM!AN55="","",VLOOKUP(LISTADO_NOM!AN55,SEGUIMIENTOS,2,FALSE))</f>
        <v/>
      </c>
    </row>
    <row r="59" spans="1:31">
      <c r="A59">
        <v>47</v>
      </c>
      <c r="P59" t="s">
        <v>226</v>
      </c>
      <c r="T59" t="s">
        <v>227</v>
      </c>
      <c r="U59" t="s">
        <v>316</v>
      </c>
      <c r="Z59" s="89" t="str">
        <f>IF(LISTADO_NOM!K56="","",DATE(LISTADO_NOM!M56,LISTADO_NOM!L56,LISTADO_NOM!K56))</f>
        <v/>
      </c>
      <c r="AA59" s="89" t="str">
        <f>IFERROR(INDEX($Z$14:$Z$300, MATCH(0, INDEX(COUNTIF($AA$13:AA58, $Z$14:$Z$300), 0, 0), 0)), "")</f>
        <v/>
      </c>
      <c r="AB59" s="89" t="str">
        <f t="shared" si="0"/>
        <v/>
      </c>
      <c r="AC59">
        <v>46</v>
      </c>
      <c r="AE59" t="str">
        <f>IF(LISTADO_NOM!AN56="","",VLOOKUP(LISTADO_NOM!AN56,SEGUIMIENTOS,2,FALSE))</f>
        <v/>
      </c>
    </row>
    <row r="60" spans="1:31">
      <c r="A60">
        <v>48</v>
      </c>
      <c r="P60" t="s">
        <v>227</v>
      </c>
      <c r="T60" t="s">
        <v>254</v>
      </c>
      <c r="U60" t="s">
        <v>308</v>
      </c>
      <c r="Z60" s="89" t="str">
        <f>IF(LISTADO_NOM!K57="","",DATE(LISTADO_NOM!M57,LISTADO_NOM!L57,LISTADO_NOM!K57))</f>
        <v/>
      </c>
      <c r="AA60" s="89" t="str">
        <f>IFERROR(INDEX($Z$14:$Z$300, MATCH(0, INDEX(COUNTIF($AA$13:AA59, $Z$14:$Z$300), 0, 0), 0)), "")</f>
        <v/>
      </c>
      <c r="AB60" s="89" t="str">
        <f t="shared" si="0"/>
        <v/>
      </c>
      <c r="AC60">
        <v>47</v>
      </c>
      <c r="AE60" t="str">
        <f>IF(LISTADO_NOM!AN57="","",VLOOKUP(LISTADO_NOM!AN57,SEGUIMIENTOS,2,FALSE))</f>
        <v/>
      </c>
    </row>
    <row r="61" spans="1:31">
      <c r="A61">
        <v>49</v>
      </c>
      <c r="P61" t="s">
        <v>254</v>
      </c>
      <c r="T61" t="s">
        <v>228</v>
      </c>
      <c r="U61" t="s">
        <v>312</v>
      </c>
      <c r="Z61" s="89" t="str">
        <f>IF(LISTADO_NOM!K58="","",DATE(LISTADO_NOM!M58,LISTADO_NOM!L58,LISTADO_NOM!K58))</f>
        <v/>
      </c>
      <c r="AA61" s="89" t="str">
        <f>IFERROR(INDEX($Z$14:$Z$300, MATCH(0, INDEX(COUNTIF($AA$13:AA60, $Z$14:$Z$300), 0, 0), 0)), "")</f>
        <v/>
      </c>
      <c r="AB61" s="89" t="str">
        <f t="shared" si="0"/>
        <v/>
      </c>
      <c r="AC61">
        <v>48</v>
      </c>
      <c r="AE61" t="str">
        <f>IF(LISTADO_NOM!AN58="","",VLOOKUP(LISTADO_NOM!AN58,SEGUIMIENTOS,2,FALSE))</f>
        <v/>
      </c>
    </row>
    <row r="62" spans="1:31">
      <c r="A62">
        <v>50</v>
      </c>
      <c r="P62" t="s">
        <v>228</v>
      </c>
      <c r="T62" t="s">
        <v>229</v>
      </c>
      <c r="U62" t="s">
        <v>314</v>
      </c>
      <c r="Z62" s="89" t="str">
        <f>IF(LISTADO_NOM!K59="","",DATE(LISTADO_NOM!M59,LISTADO_NOM!L59,LISTADO_NOM!K59))</f>
        <v/>
      </c>
      <c r="AA62" s="89" t="str">
        <f>IFERROR(INDEX($Z$14:$Z$300, MATCH(0, INDEX(COUNTIF($AA$13:AA61, $Z$14:$Z$300), 0, 0), 0)), "")</f>
        <v/>
      </c>
      <c r="AB62" s="89" t="str">
        <f t="shared" si="0"/>
        <v/>
      </c>
      <c r="AC62">
        <v>49</v>
      </c>
      <c r="AE62" t="str">
        <f>IF(LISTADO_NOM!AN59="","",VLOOKUP(LISTADO_NOM!AN59,SEGUIMIENTOS,2,FALSE))</f>
        <v/>
      </c>
    </row>
    <row r="63" spans="1:31">
      <c r="A63">
        <v>51</v>
      </c>
      <c r="P63" t="s">
        <v>229</v>
      </c>
      <c r="T63" t="s">
        <v>230</v>
      </c>
      <c r="U63" t="s">
        <v>310</v>
      </c>
      <c r="Z63" s="89" t="str">
        <f>IF(LISTADO_NOM!K60="","",DATE(LISTADO_NOM!M60,LISTADO_NOM!L60,LISTADO_NOM!K60))</f>
        <v/>
      </c>
      <c r="AA63" s="89" t="str">
        <f>IFERROR(INDEX($Z$14:$Z$300, MATCH(0, INDEX(COUNTIF($AA$13:AA62, $Z$14:$Z$300), 0, 0), 0)), "")</f>
        <v/>
      </c>
      <c r="AB63" s="89" t="str">
        <f t="shared" si="0"/>
        <v/>
      </c>
      <c r="AC63">
        <v>50</v>
      </c>
      <c r="AE63" t="str">
        <f>IF(LISTADO_NOM!AN60="","",VLOOKUP(LISTADO_NOM!AN60,SEGUIMIENTOS,2,FALSE))</f>
        <v/>
      </c>
    </row>
    <row r="64" spans="1:31">
      <c r="A64">
        <v>52</v>
      </c>
      <c r="P64" t="s">
        <v>230</v>
      </c>
      <c r="T64" t="s">
        <v>231</v>
      </c>
      <c r="U64" t="s">
        <v>321</v>
      </c>
      <c r="Z64" s="89" t="str">
        <f>IF(LISTADO_NOM!K61="","",DATE(LISTADO_NOM!M61,LISTADO_NOM!L61,LISTADO_NOM!K61))</f>
        <v/>
      </c>
      <c r="AA64" s="89" t="str">
        <f>IFERROR(INDEX($Z$14:$Z$300, MATCH(0, INDEX(COUNTIF($AA$13:AA63, $Z$14:$Z$300), 0, 0), 0)), "")</f>
        <v/>
      </c>
      <c r="AB64" s="89" t="str">
        <f t="shared" si="0"/>
        <v/>
      </c>
      <c r="AC64">
        <v>51</v>
      </c>
      <c r="AE64" t="str">
        <f>IF(LISTADO_NOM!AN61="","",VLOOKUP(LISTADO_NOM!AN61,SEGUIMIENTOS,2,FALSE))</f>
        <v/>
      </c>
    </row>
    <row r="65" spans="1:31">
      <c r="A65">
        <v>53</v>
      </c>
      <c r="P65" t="s">
        <v>231</v>
      </c>
      <c r="T65" t="s">
        <v>232</v>
      </c>
      <c r="U65" t="s">
        <v>310</v>
      </c>
      <c r="Z65" s="89" t="str">
        <f>IF(LISTADO_NOM!K62="","",DATE(LISTADO_NOM!M62,LISTADO_NOM!L62,LISTADO_NOM!K62))</f>
        <v/>
      </c>
      <c r="AA65" s="89" t="str">
        <f>IFERROR(INDEX($Z$14:$Z$300, MATCH(0, INDEX(COUNTIF($AA$13:AA64, $Z$14:$Z$300), 0, 0), 0)), "")</f>
        <v/>
      </c>
      <c r="AB65" s="89" t="str">
        <f t="shared" si="0"/>
        <v/>
      </c>
      <c r="AC65">
        <v>52</v>
      </c>
      <c r="AE65" t="str">
        <f>IF(LISTADO_NOM!AN62="","",VLOOKUP(LISTADO_NOM!AN62,SEGUIMIENTOS,2,FALSE))</f>
        <v/>
      </c>
    </row>
    <row r="66" spans="1:31">
      <c r="A66">
        <v>54</v>
      </c>
      <c r="P66" t="s">
        <v>232</v>
      </c>
      <c r="T66" t="s">
        <v>233</v>
      </c>
      <c r="U66" t="s">
        <v>322</v>
      </c>
      <c r="Z66" s="89" t="str">
        <f>IF(LISTADO_NOM!K63="","",DATE(LISTADO_NOM!M63,LISTADO_NOM!L63,LISTADO_NOM!K63))</f>
        <v/>
      </c>
      <c r="AA66" s="89" t="str">
        <f>IFERROR(INDEX($Z$14:$Z$300, MATCH(0, INDEX(COUNTIF($AA$13:AA65, $Z$14:$Z$300), 0, 0), 0)), "")</f>
        <v/>
      </c>
      <c r="AB66" s="89" t="str">
        <f t="shared" si="0"/>
        <v/>
      </c>
      <c r="AC66">
        <v>53</v>
      </c>
      <c r="AE66" t="str">
        <f>IF(LISTADO_NOM!AN63="","",VLOOKUP(LISTADO_NOM!AN63,SEGUIMIENTOS,2,FALSE))</f>
        <v/>
      </c>
    </row>
    <row r="67" spans="1:31">
      <c r="A67">
        <v>55</v>
      </c>
      <c r="P67" t="s">
        <v>233</v>
      </c>
      <c r="T67" t="s">
        <v>234</v>
      </c>
      <c r="U67" t="s">
        <v>321</v>
      </c>
      <c r="Z67" s="89" t="str">
        <f>IF(LISTADO_NOM!K64="","",DATE(LISTADO_NOM!M64,LISTADO_NOM!L64,LISTADO_NOM!K64))</f>
        <v/>
      </c>
      <c r="AA67" s="89" t="str">
        <f>IFERROR(INDEX($Z$14:$Z$300, MATCH(0, INDEX(COUNTIF($AA$13:AA66, $Z$14:$Z$300), 0, 0), 0)), "")</f>
        <v/>
      </c>
      <c r="AB67" s="89" t="str">
        <f t="shared" si="0"/>
        <v/>
      </c>
      <c r="AC67">
        <v>54</v>
      </c>
      <c r="AE67" t="str">
        <f>IF(LISTADO_NOM!AN64="","",VLOOKUP(LISTADO_NOM!AN64,SEGUIMIENTOS,2,FALSE))</f>
        <v/>
      </c>
    </row>
    <row r="68" spans="1:31">
      <c r="A68">
        <v>56</v>
      </c>
      <c r="P68" t="s">
        <v>234</v>
      </c>
      <c r="T68" t="s">
        <v>235</v>
      </c>
      <c r="U68" t="s">
        <v>323</v>
      </c>
      <c r="Z68" s="89" t="str">
        <f>IF(LISTADO_NOM!K65="","",DATE(LISTADO_NOM!M65,LISTADO_NOM!L65,LISTADO_NOM!K65))</f>
        <v/>
      </c>
      <c r="AA68" s="89" t="str">
        <f>IFERROR(INDEX($Z$14:$Z$300, MATCH(0, INDEX(COUNTIF($AA$13:AA67, $Z$14:$Z$300), 0, 0), 0)), "")</f>
        <v/>
      </c>
      <c r="AB68" s="89" t="str">
        <f t="shared" si="0"/>
        <v/>
      </c>
      <c r="AC68">
        <v>55</v>
      </c>
      <c r="AE68" t="str">
        <f>IF(LISTADO_NOM!AN65="","",VLOOKUP(LISTADO_NOM!AN65,SEGUIMIENTOS,2,FALSE))</f>
        <v/>
      </c>
    </row>
    <row r="69" spans="1:31">
      <c r="A69">
        <v>57</v>
      </c>
      <c r="P69" t="s">
        <v>235</v>
      </c>
      <c r="T69" t="s">
        <v>236</v>
      </c>
      <c r="U69" t="s">
        <v>322</v>
      </c>
      <c r="Z69" s="89" t="str">
        <f>IF(LISTADO_NOM!K66="","",DATE(LISTADO_NOM!M66,LISTADO_NOM!L66,LISTADO_NOM!K66))</f>
        <v/>
      </c>
      <c r="AA69" s="89" t="str">
        <f>IFERROR(INDEX($Z$14:$Z$300, MATCH(0, INDEX(COUNTIF($AA$13:AA68, $Z$14:$Z$300), 0, 0), 0)), "")</f>
        <v/>
      </c>
      <c r="AB69" s="89" t="str">
        <f t="shared" si="0"/>
        <v/>
      </c>
      <c r="AC69">
        <v>56</v>
      </c>
      <c r="AE69" t="str">
        <f>IF(LISTADO_NOM!AN66="","",VLOOKUP(LISTADO_NOM!AN66,SEGUIMIENTOS,2,FALSE))</f>
        <v/>
      </c>
    </row>
    <row r="70" spans="1:31">
      <c r="A70">
        <v>58</v>
      </c>
      <c r="P70" t="s">
        <v>236</v>
      </c>
      <c r="T70" t="s">
        <v>255</v>
      </c>
      <c r="U70" t="s">
        <v>321</v>
      </c>
      <c r="Z70" s="89" t="str">
        <f>IF(LISTADO_NOM!K67="","",DATE(LISTADO_NOM!M67,LISTADO_NOM!L67,LISTADO_NOM!K67))</f>
        <v/>
      </c>
      <c r="AA70" s="89" t="str">
        <f>IFERROR(INDEX($Z$14:$Z$300, MATCH(0, INDEX(COUNTIF($AA$13:AA69, $Z$14:$Z$300), 0, 0), 0)), "")</f>
        <v/>
      </c>
      <c r="AB70" s="89" t="str">
        <f t="shared" si="0"/>
        <v/>
      </c>
      <c r="AC70">
        <v>57</v>
      </c>
      <c r="AE70" t="str">
        <f>IF(LISTADO_NOM!AN67="","",VLOOKUP(LISTADO_NOM!AN67,SEGUIMIENTOS,2,FALSE))</f>
        <v/>
      </c>
    </row>
    <row r="71" spans="1:31">
      <c r="A71">
        <v>59</v>
      </c>
      <c r="P71" t="s">
        <v>255</v>
      </c>
      <c r="T71" t="s">
        <v>237</v>
      </c>
      <c r="U71" t="s">
        <v>318</v>
      </c>
      <c r="Z71" s="89" t="str">
        <f>IF(LISTADO_NOM!K68="","",DATE(LISTADO_NOM!M68,LISTADO_NOM!L68,LISTADO_NOM!K68))</f>
        <v/>
      </c>
      <c r="AA71" s="89" t="str">
        <f>IFERROR(INDEX($Z$14:$Z$300, MATCH(0, INDEX(COUNTIF($AA$13:AA70, $Z$14:$Z$300), 0, 0), 0)), "")</f>
        <v/>
      </c>
      <c r="AB71" s="89" t="str">
        <f t="shared" si="0"/>
        <v/>
      </c>
      <c r="AC71">
        <v>58</v>
      </c>
      <c r="AE71" t="str">
        <f>IF(LISTADO_NOM!AN68="","",VLOOKUP(LISTADO_NOM!AN68,SEGUIMIENTOS,2,FALSE))</f>
        <v/>
      </c>
    </row>
    <row r="72" spans="1:31">
      <c r="A72">
        <v>60</v>
      </c>
      <c r="P72" t="s">
        <v>237</v>
      </c>
      <c r="T72" t="s">
        <v>238</v>
      </c>
      <c r="U72" t="s">
        <v>312</v>
      </c>
      <c r="Z72" s="89" t="str">
        <f>IF(LISTADO_NOM!K69="","",DATE(LISTADO_NOM!M69,LISTADO_NOM!L69,LISTADO_NOM!K69))</f>
        <v/>
      </c>
      <c r="AA72" s="89" t="str">
        <f>IFERROR(INDEX($Z$14:$Z$300, MATCH(0, INDEX(COUNTIF($AA$13:AA71, $Z$14:$Z$300), 0, 0), 0)), "")</f>
        <v/>
      </c>
      <c r="AB72" s="89" t="str">
        <f t="shared" si="0"/>
        <v/>
      </c>
      <c r="AC72">
        <v>59</v>
      </c>
      <c r="AE72" t="str">
        <f>IF(LISTADO_NOM!AN69="","",VLOOKUP(LISTADO_NOM!AN69,SEGUIMIENTOS,2,FALSE))</f>
        <v/>
      </c>
    </row>
    <row r="73" spans="1:31">
      <c r="A73">
        <v>61</v>
      </c>
      <c r="P73" t="s">
        <v>238</v>
      </c>
      <c r="T73" t="s">
        <v>239</v>
      </c>
      <c r="U73" t="s">
        <v>314</v>
      </c>
      <c r="Z73" s="89" t="str">
        <f>IF(LISTADO_NOM!K70="","",DATE(LISTADO_NOM!M70,LISTADO_NOM!L70,LISTADO_NOM!K70))</f>
        <v/>
      </c>
      <c r="AA73" s="89" t="str">
        <f>IFERROR(INDEX($Z$14:$Z$300, MATCH(0, INDEX(COUNTIF($AA$13:AA72, $Z$14:$Z$300), 0, 0), 0)), "")</f>
        <v/>
      </c>
      <c r="AB73" s="89" t="str">
        <f t="shared" si="0"/>
        <v/>
      </c>
      <c r="AC73">
        <v>60</v>
      </c>
      <c r="AE73" t="str">
        <f>IF(LISTADO_NOM!AN70="","",VLOOKUP(LISTADO_NOM!AN70,SEGUIMIENTOS,2,FALSE))</f>
        <v/>
      </c>
    </row>
    <row r="74" spans="1:31">
      <c r="A74">
        <v>62</v>
      </c>
      <c r="P74" t="s">
        <v>239</v>
      </c>
      <c r="T74" t="s">
        <v>240</v>
      </c>
      <c r="U74" t="s">
        <v>310</v>
      </c>
      <c r="Z74" s="89" t="str">
        <f>IF(LISTADO_NOM!K71="","",DATE(LISTADO_NOM!M71,LISTADO_NOM!L71,LISTADO_NOM!K71))</f>
        <v/>
      </c>
      <c r="AA74" s="89" t="str">
        <f>IFERROR(INDEX($Z$14:$Z$300, MATCH(0, INDEX(COUNTIF($AA$13:AA73, $Z$14:$Z$300), 0, 0), 0)), "")</f>
        <v/>
      </c>
      <c r="AB74" s="89" t="str">
        <f t="shared" si="0"/>
        <v/>
      </c>
      <c r="AC74">
        <v>61</v>
      </c>
      <c r="AE74" t="str">
        <f>IF(LISTADO_NOM!AN71="","",VLOOKUP(LISTADO_NOM!AN71,SEGUIMIENTOS,2,FALSE))</f>
        <v/>
      </c>
    </row>
    <row r="75" spans="1:31">
      <c r="A75">
        <v>63</v>
      </c>
      <c r="P75" t="s">
        <v>240</v>
      </c>
      <c r="T75" t="s">
        <v>241</v>
      </c>
      <c r="U75" t="s">
        <v>322</v>
      </c>
      <c r="Z75" s="89" t="str">
        <f>IF(LISTADO_NOM!K72="","",DATE(LISTADO_NOM!M72,LISTADO_NOM!L72,LISTADO_NOM!K72))</f>
        <v/>
      </c>
      <c r="AA75" s="89" t="str">
        <f>IFERROR(INDEX($Z$14:$Z$300, MATCH(0, INDEX(COUNTIF($AA$13:AA74, $Z$14:$Z$300), 0, 0), 0)), "")</f>
        <v/>
      </c>
      <c r="AB75" s="89" t="str">
        <f t="shared" si="0"/>
        <v/>
      </c>
      <c r="AC75">
        <v>62</v>
      </c>
      <c r="AE75" t="str">
        <f>IF(LISTADO_NOM!AN72="","",VLOOKUP(LISTADO_NOM!AN72,SEGUIMIENTOS,2,FALSE))</f>
        <v/>
      </c>
    </row>
    <row r="76" spans="1:31">
      <c r="A76">
        <v>64</v>
      </c>
      <c r="P76" t="s">
        <v>241</v>
      </c>
      <c r="T76" t="s">
        <v>242</v>
      </c>
      <c r="U76" t="s">
        <v>321</v>
      </c>
      <c r="Z76" s="89" t="str">
        <f>IF(LISTADO_NOM!K73="","",DATE(LISTADO_NOM!M73,LISTADO_NOM!L73,LISTADO_NOM!K73))</f>
        <v/>
      </c>
      <c r="AA76" s="89" t="str">
        <f>IFERROR(INDEX($Z$14:$Z$300, MATCH(0, INDEX(COUNTIF($AA$13:AA75, $Z$14:$Z$300), 0, 0), 0)), "")</f>
        <v/>
      </c>
      <c r="AB76" s="89" t="str">
        <f t="shared" si="0"/>
        <v/>
      </c>
      <c r="AC76">
        <v>63</v>
      </c>
      <c r="AE76" t="str">
        <f>IF(LISTADO_NOM!AN73="","",VLOOKUP(LISTADO_NOM!AN73,SEGUIMIENTOS,2,FALSE))</f>
        <v/>
      </c>
    </row>
    <row r="77" spans="1:31">
      <c r="A77">
        <v>65</v>
      </c>
      <c r="P77" t="s">
        <v>242</v>
      </c>
      <c r="T77" t="s">
        <v>243</v>
      </c>
      <c r="U77" t="s">
        <v>315</v>
      </c>
      <c r="Z77" s="89" t="str">
        <f>IF(LISTADO_NOM!K74="","",DATE(LISTADO_NOM!M74,LISTADO_NOM!L74,LISTADO_NOM!K74))</f>
        <v/>
      </c>
      <c r="AA77" s="89" t="str">
        <f>IFERROR(INDEX($Z$14:$Z$300, MATCH(0, INDEX(COUNTIF($AA$13:AA76, $Z$14:$Z$300), 0, 0), 0)), "")</f>
        <v/>
      </c>
      <c r="AB77" s="89" t="str">
        <f t="shared" si="0"/>
        <v/>
      </c>
      <c r="AC77">
        <v>64</v>
      </c>
      <c r="AE77" t="str">
        <f>IF(LISTADO_NOM!AN74="","",VLOOKUP(LISTADO_NOM!AN74,SEGUIMIENTOS,2,FALSE))</f>
        <v/>
      </c>
    </row>
    <row r="78" spans="1:31">
      <c r="A78">
        <v>66</v>
      </c>
      <c r="P78" t="s">
        <v>243</v>
      </c>
      <c r="T78" t="s">
        <v>244</v>
      </c>
      <c r="U78" t="s">
        <v>313</v>
      </c>
      <c r="Z78" s="89" t="str">
        <f>IF(LISTADO_NOM!K75="","",DATE(LISTADO_NOM!M75,LISTADO_NOM!L75,LISTADO_NOM!K75))</f>
        <v/>
      </c>
      <c r="AA78" s="89" t="str">
        <f>IFERROR(INDEX($Z$14:$Z$300, MATCH(0, INDEX(COUNTIF($AA$13:AA77, $Z$14:$Z$300), 0, 0), 0)), "")</f>
        <v/>
      </c>
      <c r="AB78" s="89" t="str">
        <f t="shared" ref="AB78:AB141" si="1">IF(AA78="","",SMALL(ORDENA_,AC78))</f>
        <v/>
      </c>
      <c r="AC78">
        <v>65</v>
      </c>
      <c r="AE78" t="str">
        <f>IF(LISTADO_NOM!AN75="","",VLOOKUP(LISTADO_NOM!AN75,SEGUIMIENTOS,2,FALSE))</f>
        <v/>
      </c>
    </row>
    <row r="79" spans="1:31">
      <c r="A79">
        <v>67</v>
      </c>
      <c r="P79" t="s">
        <v>244</v>
      </c>
      <c r="T79" t="s">
        <v>245</v>
      </c>
      <c r="U79" t="s">
        <v>323</v>
      </c>
      <c r="Z79" s="89" t="str">
        <f>IF(LISTADO_NOM!K76="","",DATE(LISTADO_NOM!M76,LISTADO_NOM!L76,LISTADO_NOM!K76))</f>
        <v/>
      </c>
      <c r="AA79" s="89" t="str">
        <f>IFERROR(INDEX($Z$14:$Z$300, MATCH(0, INDEX(COUNTIF($AA$13:AA78, $Z$14:$Z$300), 0, 0), 0)), "")</f>
        <v/>
      </c>
      <c r="AB79" s="89" t="str">
        <f t="shared" si="1"/>
        <v/>
      </c>
      <c r="AC79">
        <v>66</v>
      </c>
      <c r="AE79" t="str">
        <f>IF(LISTADO_NOM!AN76="","",VLOOKUP(LISTADO_NOM!AN76,SEGUIMIENTOS,2,FALSE))</f>
        <v/>
      </c>
    </row>
    <row r="80" spans="1:31">
      <c r="A80">
        <v>68</v>
      </c>
      <c r="P80" t="s">
        <v>245</v>
      </c>
      <c r="T80" t="s">
        <v>256</v>
      </c>
      <c r="U80" t="s">
        <v>313</v>
      </c>
      <c r="Z80" s="89" t="str">
        <f>IF(LISTADO_NOM!K77="","",DATE(LISTADO_NOM!M77,LISTADO_NOM!L77,LISTADO_NOM!K77))</f>
        <v/>
      </c>
      <c r="AA80" s="89" t="str">
        <f>IFERROR(INDEX($Z$14:$Z$300, MATCH(0, INDEX(COUNTIF($AA$13:AA79, $Z$14:$Z$300), 0, 0), 0)), "")</f>
        <v/>
      </c>
      <c r="AB80" s="89" t="str">
        <f t="shared" si="1"/>
        <v/>
      </c>
      <c r="AC80">
        <v>67</v>
      </c>
      <c r="AE80" t="str">
        <f>IF(LISTADO_NOM!AN77="","",VLOOKUP(LISTADO_NOM!AN77,SEGUIMIENTOS,2,FALSE))</f>
        <v/>
      </c>
    </row>
    <row r="81" spans="1:31">
      <c r="A81">
        <v>69</v>
      </c>
      <c r="P81" t="s">
        <v>256</v>
      </c>
      <c r="T81" t="s">
        <v>246</v>
      </c>
      <c r="U81" t="s">
        <v>323</v>
      </c>
      <c r="Z81" s="89" t="str">
        <f>IF(LISTADO_NOM!K78="","",DATE(LISTADO_NOM!M78,LISTADO_NOM!L78,LISTADO_NOM!K78))</f>
        <v/>
      </c>
      <c r="AA81" s="89" t="str">
        <f>IFERROR(INDEX($Z$14:$Z$300, MATCH(0, INDEX(COUNTIF($AA$13:AA80, $Z$14:$Z$300), 0, 0), 0)), "")</f>
        <v/>
      </c>
      <c r="AB81" s="89" t="str">
        <f t="shared" si="1"/>
        <v/>
      </c>
      <c r="AC81">
        <v>68</v>
      </c>
      <c r="AE81" t="str">
        <f>IF(LISTADO_NOM!AN78="","",VLOOKUP(LISTADO_NOM!AN78,SEGUIMIENTOS,2,FALSE))</f>
        <v/>
      </c>
    </row>
    <row r="82" spans="1:31">
      <c r="A82">
        <v>70</v>
      </c>
      <c r="P82" t="s">
        <v>246</v>
      </c>
      <c r="T82" t="s">
        <v>247</v>
      </c>
      <c r="U82" t="s">
        <v>322</v>
      </c>
      <c r="Z82" s="89" t="str">
        <f>IF(LISTADO_NOM!K79="","",DATE(LISTADO_NOM!M79,LISTADO_NOM!L79,LISTADO_NOM!K79))</f>
        <v/>
      </c>
      <c r="AA82" s="89" t="str">
        <f>IFERROR(INDEX($Z$14:$Z$300, MATCH(0, INDEX(COUNTIF($AA$13:AA81, $Z$14:$Z$300), 0, 0), 0)), "")</f>
        <v/>
      </c>
      <c r="AB82" s="89" t="str">
        <f t="shared" si="1"/>
        <v/>
      </c>
      <c r="AC82">
        <v>69</v>
      </c>
      <c r="AE82" t="str">
        <f>IF(LISTADO_NOM!AN79="","",VLOOKUP(LISTADO_NOM!AN79,SEGUIMIENTOS,2,FALSE))</f>
        <v/>
      </c>
    </row>
    <row r="83" spans="1:31">
      <c r="A83">
        <v>71</v>
      </c>
      <c r="P83" t="s">
        <v>247</v>
      </c>
      <c r="T83" t="s">
        <v>248</v>
      </c>
      <c r="U83" t="s">
        <v>322</v>
      </c>
      <c r="Z83" s="89" t="str">
        <f>IF(LISTADO_NOM!K80="","",DATE(LISTADO_NOM!M80,LISTADO_NOM!L80,LISTADO_NOM!K80))</f>
        <v/>
      </c>
      <c r="AA83" s="89" t="str">
        <f>IFERROR(INDEX($Z$14:$Z$300, MATCH(0, INDEX(COUNTIF($AA$13:AA82, $Z$14:$Z$300), 0, 0), 0)), "")</f>
        <v/>
      </c>
      <c r="AB83" s="89" t="str">
        <f t="shared" si="1"/>
        <v/>
      </c>
      <c r="AC83">
        <v>70</v>
      </c>
      <c r="AE83" t="str">
        <f>IF(LISTADO_NOM!AN80="","",VLOOKUP(LISTADO_NOM!AN80,SEGUIMIENTOS,2,FALSE))</f>
        <v/>
      </c>
    </row>
    <row r="84" spans="1:31">
      <c r="A84">
        <v>72</v>
      </c>
      <c r="P84" t="s">
        <v>248</v>
      </c>
      <c r="T84" t="s">
        <v>249</v>
      </c>
      <c r="U84" t="s">
        <v>320</v>
      </c>
      <c r="Z84" s="89" t="str">
        <f>IF(LISTADO_NOM!K81="","",DATE(LISTADO_NOM!M81,LISTADO_NOM!L81,LISTADO_NOM!K81))</f>
        <v/>
      </c>
      <c r="AA84" s="89" t="str">
        <f>IFERROR(INDEX($Z$14:$Z$300, MATCH(0, INDEX(COUNTIF($AA$13:AA83, $Z$14:$Z$300), 0, 0), 0)), "")</f>
        <v/>
      </c>
      <c r="AB84" s="89" t="str">
        <f t="shared" si="1"/>
        <v/>
      </c>
      <c r="AC84">
        <v>71</v>
      </c>
      <c r="AE84" t="str">
        <f>IF(LISTADO_NOM!AN81="","",VLOOKUP(LISTADO_NOM!AN81,SEGUIMIENTOS,2,FALSE))</f>
        <v/>
      </c>
    </row>
    <row r="85" spans="1:31">
      <c r="A85">
        <v>73</v>
      </c>
      <c r="P85" t="s">
        <v>249</v>
      </c>
      <c r="Z85" s="89" t="str">
        <f>IF(LISTADO_NOM!K82="","",DATE(LISTADO_NOM!M82,LISTADO_NOM!L82,LISTADO_NOM!K82))</f>
        <v/>
      </c>
      <c r="AA85" s="89" t="str">
        <f>IFERROR(INDEX($Z$14:$Z$300, MATCH(0, INDEX(COUNTIF($AA$13:AA84, $Z$14:$Z$300), 0, 0), 0)), "")</f>
        <v/>
      </c>
      <c r="AB85" s="89" t="str">
        <f t="shared" si="1"/>
        <v/>
      </c>
      <c r="AC85">
        <v>72</v>
      </c>
      <c r="AE85" t="str">
        <f>IF(LISTADO_NOM!AN82="","",VLOOKUP(LISTADO_NOM!AN82,SEGUIMIENTOS,2,FALSE))</f>
        <v/>
      </c>
    </row>
    <row r="86" spans="1:31">
      <c r="A86">
        <v>74</v>
      </c>
      <c r="Z86" s="89" t="str">
        <f>IF(LISTADO_NOM!K83="","",DATE(LISTADO_NOM!M83,LISTADO_NOM!L83,LISTADO_NOM!K83))</f>
        <v/>
      </c>
      <c r="AA86" s="89" t="str">
        <f>IFERROR(INDEX($Z$14:$Z$300, MATCH(0, INDEX(COUNTIF($AA$13:AA85, $Z$14:$Z$300), 0, 0), 0)), "")</f>
        <v/>
      </c>
      <c r="AB86" s="89" t="str">
        <f t="shared" si="1"/>
        <v/>
      </c>
      <c r="AC86">
        <v>73</v>
      </c>
      <c r="AE86" t="str">
        <f>IF(LISTADO_NOM!AN83="","",VLOOKUP(LISTADO_NOM!AN83,SEGUIMIENTOS,2,FALSE))</f>
        <v/>
      </c>
    </row>
    <row r="87" spans="1:31">
      <c r="A87">
        <v>75</v>
      </c>
      <c r="Z87" s="89" t="str">
        <f>IF(LISTADO_NOM!K84="","",DATE(LISTADO_NOM!M84,LISTADO_NOM!L84,LISTADO_NOM!K84))</f>
        <v/>
      </c>
      <c r="AA87" s="89" t="str">
        <f>IFERROR(INDEX($Z$14:$Z$300, MATCH(0, INDEX(COUNTIF($AA$13:AA86, $Z$14:$Z$300), 0, 0), 0)), "")</f>
        <v/>
      </c>
      <c r="AB87" s="89" t="str">
        <f t="shared" si="1"/>
        <v/>
      </c>
      <c r="AC87">
        <v>74</v>
      </c>
      <c r="AE87" t="str">
        <f>IF(LISTADO_NOM!AN84="","",VLOOKUP(LISTADO_NOM!AN84,SEGUIMIENTOS,2,FALSE))</f>
        <v/>
      </c>
    </row>
    <row r="88" spans="1:31">
      <c r="A88">
        <v>76</v>
      </c>
      <c r="Z88" s="89" t="str">
        <f>IF(LISTADO_NOM!K85="","",DATE(LISTADO_NOM!M85,LISTADO_NOM!L85,LISTADO_NOM!K85))</f>
        <v/>
      </c>
      <c r="AA88" s="89" t="str">
        <f>IFERROR(INDEX($Z$14:$Z$300, MATCH(0, INDEX(COUNTIF($AA$13:AA87, $Z$14:$Z$300), 0, 0), 0)), "")</f>
        <v/>
      </c>
      <c r="AB88" s="89" t="str">
        <f t="shared" si="1"/>
        <v/>
      </c>
      <c r="AC88">
        <v>75</v>
      </c>
      <c r="AE88" t="str">
        <f>IF(LISTADO_NOM!AN85="","",VLOOKUP(LISTADO_NOM!AN85,SEGUIMIENTOS,2,FALSE))</f>
        <v/>
      </c>
    </row>
    <row r="89" spans="1:31">
      <c r="A89">
        <v>77</v>
      </c>
      <c r="Z89" s="89" t="str">
        <f>IF(LISTADO_NOM!K86="","",DATE(LISTADO_NOM!M86,LISTADO_NOM!L86,LISTADO_NOM!K86))</f>
        <v/>
      </c>
      <c r="AA89" s="89" t="str">
        <f>IFERROR(INDEX($Z$14:$Z$300, MATCH(0, INDEX(COUNTIF($AA$13:AA88, $Z$14:$Z$300), 0, 0), 0)), "")</f>
        <v/>
      </c>
      <c r="AB89" s="89" t="str">
        <f t="shared" si="1"/>
        <v/>
      </c>
      <c r="AC89">
        <v>76</v>
      </c>
      <c r="AE89" t="str">
        <f>IF(LISTADO_NOM!AN86="","",VLOOKUP(LISTADO_NOM!AN86,SEGUIMIENTOS,2,FALSE))</f>
        <v/>
      </c>
    </row>
    <row r="90" spans="1:31">
      <c r="A90">
        <v>78</v>
      </c>
      <c r="Z90" s="89" t="str">
        <f>IF(LISTADO_NOM!K87="","",DATE(LISTADO_NOM!M87,LISTADO_NOM!L87,LISTADO_NOM!K87))</f>
        <v/>
      </c>
      <c r="AA90" s="89" t="str">
        <f>IFERROR(INDEX($Z$14:$Z$300, MATCH(0, INDEX(COUNTIF($AA$13:AA89, $Z$14:$Z$300), 0, 0), 0)), "")</f>
        <v/>
      </c>
      <c r="AB90" s="89" t="str">
        <f t="shared" si="1"/>
        <v/>
      </c>
      <c r="AC90">
        <v>77</v>
      </c>
      <c r="AE90" t="str">
        <f>IF(LISTADO_NOM!AN87="","",VLOOKUP(LISTADO_NOM!AN87,SEGUIMIENTOS,2,FALSE))</f>
        <v/>
      </c>
    </row>
    <row r="91" spans="1:31">
      <c r="A91">
        <v>79</v>
      </c>
      <c r="Z91" s="89" t="str">
        <f>IF(LISTADO_NOM!K88="","",DATE(LISTADO_NOM!M88,LISTADO_NOM!L88,LISTADO_NOM!K88))</f>
        <v/>
      </c>
      <c r="AA91" s="89" t="str">
        <f>IFERROR(INDEX($Z$14:$Z$300, MATCH(0, INDEX(COUNTIF($AA$13:AA90, $Z$14:$Z$300), 0, 0), 0)), "")</f>
        <v/>
      </c>
      <c r="AB91" s="89" t="str">
        <f t="shared" si="1"/>
        <v/>
      </c>
      <c r="AC91">
        <v>78</v>
      </c>
      <c r="AE91" t="str">
        <f>IF(LISTADO_NOM!AN88="","",VLOOKUP(LISTADO_NOM!AN88,SEGUIMIENTOS,2,FALSE))</f>
        <v/>
      </c>
    </row>
    <row r="92" spans="1:31">
      <c r="A92">
        <v>80</v>
      </c>
      <c r="Z92" s="89" t="str">
        <f>IF(LISTADO_NOM!K89="","",DATE(LISTADO_NOM!M89,LISTADO_NOM!L89,LISTADO_NOM!K89))</f>
        <v/>
      </c>
      <c r="AA92" s="89" t="str">
        <f>IFERROR(INDEX($Z$14:$Z$300, MATCH(0, INDEX(COUNTIF($AA$13:AA91, $Z$14:$Z$300), 0, 0), 0)), "")</f>
        <v/>
      </c>
      <c r="AB92" s="89" t="str">
        <f t="shared" si="1"/>
        <v/>
      </c>
      <c r="AC92">
        <v>79</v>
      </c>
      <c r="AE92" t="str">
        <f>IF(LISTADO_NOM!AN89="","",VLOOKUP(LISTADO_NOM!AN89,SEGUIMIENTOS,2,FALSE))</f>
        <v/>
      </c>
    </row>
    <row r="93" spans="1:31">
      <c r="A93">
        <v>81</v>
      </c>
      <c r="Z93" s="89" t="str">
        <f>IF(LISTADO_NOM!K90="","",DATE(LISTADO_NOM!M90,LISTADO_NOM!L90,LISTADO_NOM!K90))</f>
        <v/>
      </c>
      <c r="AA93" s="89" t="str">
        <f>IFERROR(INDEX($Z$14:$Z$300, MATCH(0, INDEX(COUNTIF($AA$13:AA92, $Z$14:$Z$300), 0, 0), 0)), "")</f>
        <v/>
      </c>
      <c r="AB93" s="89" t="str">
        <f t="shared" si="1"/>
        <v/>
      </c>
      <c r="AC93">
        <v>80</v>
      </c>
      <c r="AE93" t="str">
        <f>IF(LISTADO_NOM!AN90="","",VLOOKUP(LISTADO_NOM!AN90,SEGUIMIENTOS,2,FALSE))</f>
        <v/>
      </c>
    </row>
    <row r="94" spans="1:31">
      <c r="A94">
        <v>82</v>
      </c>
      <c r="Z94" s="89" t="str">
        <f>IF(LISTADO_NOM!K91="","",DATE(LISTADO_NOM!M91,LISTADO_NOM!L91,LISTADO_NOM!K91))</f>
        <v/>
      </c>
      <c r="AA94" s="89" t="str">
        <f>IFERROR(INDEX($Z$14:$Z$300, MATCH(0, INDEX(COUNTIF($AA$13:AA93, $Z$14:$Z$300), 0, 0), 0)), "")</f>
        <v/>
      </c>
      <c r="AB94" s="89" t="str">
        <f t="shared" si="1"/>
        <v/>
      </c>
      <c r="AC94">
        <v>81</v>
      </c>
      <c r="AE94" t="str">
        <f>IF(LISTADO_NOM!AN91="","",VLOOKUP(LISTADO_NOM!AN91,SEGUIMIENTOS,2,FALSE))</f>
        <v/>
      </c>
    </row>
    <row r="95" spans="1:31">
      <c r="A95">
        <v>83</v>
      </c>
      <c r="Z95" s="89" t="str">
        <f>IF(LISTADO_NOM!K92="","",DATE(LISTADO_NOM!M92,LISTADO_NOM!L92,LISTADO_NOM!K92))</f>
        <v/>
      </c>
      <c r="AA95" s="89" t="str">
        <f>IFERROR(INDEX($Z$14:$Z$300, MATCH(0, INDEX(COUNTIF($AA$13:AA94, $Z$14:$Z$300), 0, 0), 0)), "")</f>
        <v/>
      </c>
      <c r="AB95" s="89" t="str">
        <f t="shared" si="1"/>
        <v/>
      </c>
      <c r="AC95">
        <v>82</v>
      </c>
      <c r="AE95" t="str">
        <f>IF(LISTADO_NOM!AN92="","",VLOOKUP(LISTADO_NOM!AN92,SEGUIMIENTOS,2,FALSE))</f>
        <v/>
      </c>
    </row>
    <row r="96" spans="1:31">
      <c r="A96">
        <v>84</v>
      </c>
      <c r="Z96" s="89" t="str">
        <f>IF(LISTADO_NOM!K93="","",DATE(LISTADO_NOM!M93,LISTADO_NOM!L93,LISTADO_NOM!K93))</f>
        <v/>
      </c>
      <c r="AA96" s="89" t="str">
        <f>IFERROR(INDEX($Z$14:$Z$300, MATCH(0, INDEX(COUNTIF($AA$13:AA95, $Z$14:$Z$300), 0, 0), 0)), "")</f>
        <v/>
      </c>
      <c r="AB96" s="89" t="str">
        <f t="shared" si="1"/>
        <v/>
      </c>
      <c r="AC96">
        <v>83</v>
      </c>
      <c r="AE96" t="str">
        <f>IF(LISTADO_NOM!AN93="","",VLOOKUP(LISTADO_NOM!AN93,SEGUIMIENTOS,2,FALSE))</f>
        <v/>
      </c>
    </row>
    <row r="97" spans="1:31">
      <c r="A97">
        <v>85</v>
      </c>
      <c r="Z97" s="89" t="str">
        <f>IF(LISTADO_NOM!K94="","",DATE(LISTADO_NOM!M94,LISTADO_NOM!L94,LISTADO_NOM!K94))</f>
        <v/>
      </c>
      <c r="AA97" s="89" t="str">
        <f>IFERROR(INDEX($Z$14:$Z$300, MATCH(0, INDEX(COUNTIF($AA$13:AA96, $Z$14:$Z$300), 0, 0), 0)), "")</f>
        <v/>
      </c>
      <c r="AB97" s="89" t="str">
        <f t="shared" si="1"/>
        <v/>
      </c>
      <c r="AC97">
        <v>84</v>
      </c>
      <c r="AE97" t="str">
        <f>IF(LISTADO_NOM!AN94="","",VLOOKUP(LISTADO_NOM!AN94,SEGUIMIENTOS,2,FALSE))</f>
        <v/>
      </c>
    </row>
    <row r="98" spans="1:31">
      <c r="A98">
        <v>86</v>
      </c>
      <c r="Z98" s="89" t="str">
        <f>IF(LISTADO_NOM!K95="","",DATE(LISTADO_NOM!M95,LISTADO_NOM!L95,LISTADO_NOM!K95))</f>
        <v/>
      </c>
      <c r="AA98" s="89" t="str">
        <f>IFERROR(INDEX($Z$14:$Z$300, MATCH(0, INDEX(COUNTIF($AA$13:AA97, $Z$14:$Z$300), 0, 0), 0)), "")</f>
        <v/>
      </c>
      <c r="AB98" s="89" t="str">
        <f t="shared" si="1"/>
        <v/>
      </c>
      <c r="AC98">
        <v>85</v>
      </c>
      <c r="AE98" t="str">
        <f>IF(LISTADO_NOM!AN95="","",VLOOKUP(LISTADO_NOM!AN95,SEGUIMIENTOS,2,FALSE))</f>
        <v/>
      </c>
    </row>
    <row r="99" spans="1:31">
      <c r="A99">
        <v>87</v>
      </c>
      <c r="Z99" s="89" t="str">
        <f>IF(LISTADO_NOM!K96="","",DATE(LISTADO_NOM!M96,LISTADO_NOM!L96,LISTADO_NOM!K96))</f>
        <v/>
      </c>
      <c r="AA99" s="89" t="str">
        <f>IFERROR(INDEX($Z$14:$Z$300, MATCH(0, INDEX(COUNTIF($AA$13:AA98, $Z$14:$Z$300), 0, 0), 0)), "")</f>
        <v/>
      </c>
      <c r="AB99" s="89" t="str">
        <f t="shared" si="1"/>
        <v/>
      </c>
      <c r="AC99">
        <v>86</v>
      </c>
      <c r="AE99" t="str">
        <f>IF(LISTADO_NOM!AN96="","",VLOOKUP(LISTADO_NOM!AN96,SEGUIMIENTOS,2,FALSE))</f>
        <v/>
      </c>
    </row>
    <row r="100" spans="1:31">
      <c r="A100">
        <v>88</v>
      </c>
      <c r="Z100" s="89" t="str">
        <f>IF(LISTADO_NOM!K97="","",DATE(LISTADO_NOM!M97,LISTADO_NOM!L97,LISTADO_NOM!K97))</f>
        <v/>
      </c>
      <c r="AA100" s="89" t="str">
        <f>IFERROR(INDEX($Z$14:$Z$300, MATCH(0, INDEX(COUNTIF($AA$13:AA99, $Z$14:$Z$300), 0, 0), 0)), "")</f>
        <v/>
      </c>
      <c r="AB100" s="89" t="str">
        <f t="shared" si="1"/>
        <v/>
      </c>
      <c r="AC100">
        <v>87</v>
      </c>
      <c r="AE100" t="str">
        <f>IF(LISTADO_NOM!AN97="","",VLOOKUP(LISTADO_NOM!AN97,SEGUIMIENTOS,2,FALSE))</f>
        <v/>
      </c>
    </row>
    <row r="101" spans="1:31">
      <c r="A101">
        <v>89</v>
      </c>
      <c r="Z101" s="89" t="str">
        <f>IF(LISTADO_NOM!K98="","",DATE(LISTADO_NOM!M98,LISTADO_NOM!L98,LISTADO_NOM!K98))</f>
        <v/>
      </c>
      <c r="AA101" s="89" t="str">
        <f>IFERROR(INDEX($Z$14:$Z$300, MATCH(0, INDEX(COUNTIF($AA$13:AA100, $Z$14:$Z$300), 0, 0), 0)), "")</f>
        <v/>
      </c>
      <c r="AB101" s="89" t="str">
        <f t="shared" si="1"/>
        <v/>
      </c>
      <c r="AC101">
        <v>88</v>
      </c>
      <c r="AE101" t="str">
        <f>IF(LISTADO_NOM!AN98="","",VLOOKUP(LISTADO_NOM!AN98,SEGUIMIENTOS,2,FALSE))</f>
        <v/>
      </c>
    </row>
    <row r="102" spans="1:31">
      <c r="A102">
        <v>90</v>
      </c>
      <c r="Z102" s="89" t="str">
        <f>IF(LISTADO_NOM!K99="","",DATE(LISTADO_NOM!M99,LISTADO_NOM!L99,LISTADO_NOM!K99))</f>
        <v/>
      </c>
      <c r="AA102" s="89" t="str">
        <f>IFERROR(INDEX($Z$14:$Z$300, MATCH(0, INDEX(COUNTIF($AA$13:AA101, $Z$14:$Z$300), 0, 0), 0)), "")</f>
        <v/>
      </c>
      <c r="AB102" s="89" t="str">
        <f t="shared" si="1"/>
        <v/>
      </c>
      <c r="AC102">
        <v>89</v>
      </c>
      <c r="AE102" t="str">
        <f>IF(LISTADO_NOM!AN99="","",VLOOKUP(LISTADO_NOM!AN99,SEGUIMIENTOS,2,FALSE))</f>
        <v/>
      </c>
    </row>
    <row r="103" spans="1:31">
      <c r="A103">
        <v>91</v>
      </c>
      <c r="Z103" s="89" t="str">
        <f>IF(LISTADO_NOM!K100="","",DATE(LISTADO_NOM!M100,LISTADO_NOM!L100,LISTADO_NOM!K100))</f>
        <v/>
      </c>
      <c r="AA103" s="89" t="str">
        <f>IFERROR(INDEX($Z$14:$Z$300, MATCH(0, INDEX(COUNTIF($AA$13:AA102, $Z$14:$Z$300), 0, 0), 0)), "")</f>
        <v/>
      </c>
      <c r="AB103" s="89" t="str">
        <f t="shared" si="1"/>
        <v/>
      </c>
      <c r="AC103">
        <v>90</v>
      </c>
      <c r="AE103" t="str">
        <f>IF(LISTADO_NOM!AN100="","",VLOOKUP(LISTADO_NOM!AN100,SEGUIMIENTOS,2,FALSE))</f>
        <v/>
      </c>
    </row>
    <row r="104" spans="1:31">
      <c r="A104">
        <v>92</v>
      </c>
      <c r="Z104" s="89" t="str">
        <f>IF(LISTADO_NOM!K101="","",DATE(LISTADO_NOM!M101,LISTADO_NOM!L101,LISTADO_NOM!K101))</f>
        <v/>
      </c>
      <c r="AA104" s="89" t="str">
        <f>IFERROR(INDEX($Z$14:$Z$300, MATCH(0, INDEX(COUNTIF($AA$13:AA103, $Z$14:$Z$300), 0, 0), 0)), "")</f>
        <v/>
      </c>
      <c r="AB104" s="89" t="str">
        <f t="shared" si="1"/>
        <v/>
      </c>
      <c r="AC104">
        <v>91</v>
      </c>
      <c r="AE104" t="str">
        <f>IF(LISTADO_NOM!AN101="","",VLOOKUP(LISTADO_NOM!AN101,SEGUIMIENTOS,2,FALSE))</f>
        <v/>
      </c>
    </row>
    <row r="105" spans="1:31">
      <c r="A105">
        <v>93</v>
      </c>
      <c r="Z105" s="89" t="str">
        <f>IF(LISTADO_NOM!K102="","",DATE(LISTADO_NOM!M102,LISTADO_NOM!L102,LISTADO_NOM!K102))</f>
        <v/>
      </c>
      <c r="AA105" s="89" t="str">
        <f>IFERROR(INDEX($Z$14:$Z$300, MATCH(0, INDEX(COUNTIF($AA$13:AA104, $Z$14:$Z$300), 0, 0), 0)), "")</f>
        <v/>
      </c>
      <c r="AB105" s="89" t="str">
        <f t="shared" si="1"/>
        <v/>
      </c>
      <c r="AC105">
        <v>92</v>
      </c>
      <c r="AE105" t="str">
        <f>IF(LISTADO_NOM!AN102="","",VLOOKUP(LISTADO_NOM!AN102,SEGUIMIENTOS,2,FALSE))</f>
        <v/>
      </c>
    </row>
    <row r="106" spans="1:31">
      <c r="A106">
        <v>94</v>
      </c>
      <c r="Z106" s="89" t="str">
        <f>IF(LISTADO_NOM!K103="","",DATE(LISTADO_NOM!M103,LISTADO_NOM!L103,LISTADO_NOM!K103))</f>
        <v/>
      </c>
      <c r="AA106" s="89" t="str">
        <f>IFERROR(INDEX($Z$14:$Z$300, MATCH(0, INDEX(COUNTIF($AA$13:AA105, $Z$14:$Z$300), 0, 0), 0)), "")</f>
        <v/>
      </c>
      <c r="AB106" s="89" t="str">
        <f t="shared" si="1"/>
        <v/>
      </c>
      <c r="AC106">
        <v>93</v>
      </c>
      <c r="AE106" t="str">
        <f>IF(LISTADO_NOM!AN103="","",VLOOKUP(LISTADO_NOM!AN103,SEGUIMIENTOS,2,FALSE))</f>
        <v/>
      </c>
    </row>
    <row r="107" spans="1:31">
      <c r="A107">
        <v>95</v>
      </c>
      <c r="Z107" s="89" t="str">
        <f>IF(LISTADO_NOM!K104="","",DATE(LISTADO_NOM!M104,LISTADO_NOM!L104,LISTADO_NOM!K104))</f>
        <v/>
      </c>
      <c r="AA107" s="89" t="str">
        <f>IFERROR(INDEX($Z$14:$Z$300, MATCH(0, INDEX(COUNTIF($AA$13:AA106, $Z$14:$Z$300), 0, 0), 0)), "")</f>
        <v/>
      </c>
      <c r="AB107" s="89" t="str">
        <f t="shared" si="1"/>
        <v/>
      </c>
      <c r="AC107">
        <v>94</v>
      </c>
      <c r="AE107" t="str">
        <f>IF(LISTADO_NOM!AN104="","",VLOOKUP(LISTADO_NOM!AN104,SEGUIMIENTOS,2,FALSE))</f>
        <v/>
      </c>
    </row>
    <row r="108" spans="1:31">
      <c r="A108">
        <v>96</v>
      </c>
      <c r="Z108" s="89" t="str">
        <f>IF(LISTADO_NOM!K105="","",DATE(LISTADO_NOM!M105,LISTADO_NOM!L105,LISTADO_NOM!K105))</f>
        <v/>
      </c>
      <c r="AA108" s="89" t="str">
        <f>IFERROR(INDEX($Z$14:$Z$300, MATCH(0, INDEX(COUNTIF($AA$13:AA107, $Z$14:$Z$300), 0, 0), 0)), "")</f>
        <v/>
      </c>
      <c r="AB108" s="89" t="str">
        <f t="shared" si="1"/>
        <v/>
      </c>
      <c r="AC108">
        <v>95</v>
      </c>
      <c r="AE108" t="str">
        <f>IF(LISTADO_NOM!AN105="","",VLOOKUP(LISTADO_NOM!AN105,SEGUIMIENTOS,2,FALSE))</f>
        <v/>
      </c>
    </row>
    <row r="109" spans="1:31">
      <c r="A109">
        <v>97</v>
      </c>
      <c r="Z109" s="89" t="str">
        <f>IF(LISTADO_NOM!K106="","",DATE(LISTADO_NOM!M106,LISTADO_NOM!L106,LISTADO_NOM!K106))</f>
        <v/>
      </c>
      <c r="AA109" s="89" t="str">
        <f>IFERROR(INDEX($Z$14:$Z$300, MATCH(0, INDEX(COUNTIF($AA$13:AA108, $Z$14:$Z$300), 0, 0), 0)), "")</f>
        <v/>
      </c>
      <c r="AB109" s="89" t="str">
        <f t="shared" si="1"/>
        <v/>
      </c>
      <c r="AC109">
        <v>96</v>
      </c>
      <c r="AE109" t="str">
        <f>IF(LISTADO_NOM!AN106="","",VLOOKUP(LISTADO_NOM!AN106,SEGUIMIENTOS,2,FALSE))</f>
        <v/>
      </c>
    </row>
    <row r="110" spans="1:31">
      <c r="A110">
        <v>98</v>
      </c>
      <c r="Z110" s="89" t="str">
        <f>IF(LISTADO_NOM!K107="","",DATE(LISTADO_NOM!M107,LISTADO_NOM!L107,LISTADO_NOM!K107))</f>
        <v/>
      </c>
      <c r="AA110" s="89" t="str">
        <f>IFERROR(INDEX($Z$14:$Z$300, MATCH(0, INDEX(COUNTIF($AA$13:AA109, $Z$14:$Z$300), 0, 0), 0)), "")</f>
        <v/>
      </c>
      <c r="AB110" s="89" t="str">
        <f t="shared" si="1"/>
        <v/>
      </c>
      <c r="AC110">
        <v>97</v>
      </c>
      <c r="AE110" t="str">
        <f>IF(LISTADO_NOM!AN107="","",VLOOKUP(LISTADO_NOM!AN107,SEGUIMIENTOS,2,FALSE))</f>
        <v/>
      </c>
    </row>
    <row r="111" spans="1:31">
      <c r="A111">
        <v>99</v>
      </c>
      <c r="Z111" s="89" t="str">
        <f>IF(LISTADO_NOM!K108="","",DATE(LISTADO_NOM!M108,LISTADO_NOM!L108,LISTADO_NOM!K108))</f>
        <v/>
      </c>
      <c r="AA111" s="89" t="str">
        <f>IFERROR(INDEX($Z$14:$Z$300, MATCH(0, INDEX(COUNTIF($AA$13:AA110, $Z$14:$Z$300), 0, 0), 0)), "")</f>
        <v/>
      </c>
      <c r="AB111" s="89" t="str">
        <f t="shared" si="1"/>
        <v/>
      </c>
      <c r="AC111">
        <v>98</v>
      </c>
      <c r="AE111" t="str">
        <f>IF(LISTADO_NOM!AN108="","",VLOOKUP(LISTADO_NOM!AN108,SEGUIMIENTOS,2,FALSE))</f>
        <v/>
      </c>
    </row>
    <row r="112" spans="1:31">
      <c r="A112">
        <v>100</v>
      </c>
      <c r="Z112" s="89" t="str">
        <f>IF(LISTADO_NOM!K109="","",DATE(LISTADO_NOM!M109,LISTADO_NOM!L109,LISTADO_NOM!K109))</f>
        <v/>
      </c>
      <c r="AA112" s="89" t="str">
        <f>IFERROR(INDEX($Z$14:$Z$300, MATCH(0, INDEX(COUNTIF($AA$13:AA111, $Z$14:$Z$300), 0, 0), 0)), "")</f>
        <v/>
      </c>
      <c r="AB112" s="89" t="str">
        <f t="shared" si="1"/>
        <v/>
      </c>
      <c r="AC112">
        <v>99</v>
      </c>
      <c r="AE112" t="str">
        <f>IF(LISTADO_NOM!AN109="","",VLOOKUP(LISTADO_NOM!AN109,SEGUIMIENTOS,2,FALSE))</f>
        <v/>
      </c>
    </row>
    <row r="113" spans="26:31">
      <c r="Z113" s="89" t="str">
        <f>IF(LISTADO_NOM!K110="","",DATE(LISTADO_NOM!M110,LISTADO_NOM!L110,LISTADO_NOM!K110))</f>
        <v/>
      </c>
      <c r="AA113" s="89" t="str">
        <f>IFERROR(INDEX($Z$14:$Z$300, MATCH(0, INDEX(COUNTIF($AA$13:AA112, $Z$14:$Z$300), 0, 0), 0)), "")</f>
        <v/>
      </c>
      <c r="AB113" s="89" t="str">
        <f t="shared" si="1"/>
        <v/>
      </c>
      <c r="AC113">
        <v>100</v>
      </c>
      <c r="AE113" t="str">
        <f>IF(LISTADO_NOM!AN110="","",VLOOKUP(LISTADO_NOM!AN110,SEGUIMIENTOS,2,FALSE))</f>
        <v/>
      </c>
    </row>
    <row r="114" spans="26:31">
      <c r="Z114" s="89" t="str">
        <f>IF(LISTADO_NOM!K111="","",DATE(LISTADO_NOM!M111,LISTADO_NOM!L111,LISTADO_NOM!K111))</f>
        <v/>
      </c>
      <c r="AA114" s="89" t="str">
        <f>IFERROR(INDEX($Z$14:$Z$300, MATCH(0, INDEX(COUNTIF($AA$13:AA113, $Z$14:$Z$300), 0, 0), 0)), "")</f>
        <v/>
      </c>
      <c r="AB114" s="89" t="str">
        <f t="shared" si="1"/>
        <v/>
      </c>
      <c r="AC114">
        <v>101</v>
      </c>
      <c r="AE114" t="str">
        <f>IF(LISTADO_NOM!AN111="","",VLOOKUP(LISTADO_NOM!AN111,SEGUIMIENTOS,2,FALSE))</f>
        <v/>
      </c>
    </row>
    <row r="115" spans="26:31">
      <c r="Z115" s="89" t="str">
        <f>IF(LISTADO_NOM!K112="","",DATE(LISTADO_NOM!M112,LISTADO_NOM!L112,LISTADO_NOM!K112))</f>
        <v/>
      </c>
      <c r="AA115" s="89" t="str">
        <f>IFERROR(INDEX($Z$14:$Z$300, MATCH(0, INDEX(COUNTIF($AA$13:AA114, $Z$14:$Z$300), 0, 0), 0)), "")</f>
        <v/>
      </c>
      <c r="AB115" s="89" t="str">
        <f t="shared" si="1"/>
        <v/>
      </c>
      <c r="AC115">
        <v>102</v>
      </c>
      <c r="AE115" t="str">
        <f>IF(LISTADO_NOM!AN112="","",VLOOKUP(LISTADO_NOM!AN112,SEGUIMIENTOS,2,FALSE))</f>
        <v/>
      </c>
    </row>
    <row r="116" spans="26:31">
      <c r="Z116" s="89" t="str">
        <f>IF(LISTADO_NOM!K113="","",DATE(LISTADO_NOM!M113,LISTADO_NOM!L113,LISTADO_NOM!K113))</f>
        <v/>
      </c>
      <c r="AA116" s="89" t="str">
        <f>IFERROR(INDEX($Z$14:$Z$300, MATCH(0, INDEX(COUNTIF($AA$13:AA115, $Z$14:$Z$300), 0, 0), 0)), "")</f>
        <v/>
      </c>
      <c r="AB116" s="89" t="str">
        <f t="shared" si="1"/>
        <v/>
      </c>
      <c r="AC116">
        <v>103</v>
      </c>
      <c r="AE116" t="str">
        <f>IF(LISTADO_NOM!AN113="","",VLOOKUP(LISTADO_NOM!AN113,SEGUIMIENTOS,2,FALSE))</f>
        <v/>
      </c>
    </row>
    <row r="117" spans="26:31">
      <c r="Z117" s="89" t="str">
        <f>IF(LISTADO_NOM!K114="","",DATE(LISTADO_NOM!M114,LISTADO_NOM!L114,LISTADO_NOM!K114))</f>
        <v/>
      </c>
      <c r="AA117" s="89" t="str">
        <f>IFERROR(INDEX($Z$14:$Z$300, MATCH(0, INDEX(COUNTIF($AA$13:AA116, $Z$14:$Z$300), 0, 0), 0)), "")</f>
        <v/>
      </c>
      <c r="AB117" s="89" t="str">
        <f t="shared" si="1"/>
        <v/>
      </c>
      <c r="AC117">
        <v>104</v>
      </c>
      <c r="AE117" t="str">
        <f>IF(LISTADO_NOM!AN114="","",VLOOKUP(LISTADO_NOM!AN114,SEGUIMIENTOS,2,FALSE))</f>
        <v/>
      </c>
    </row>
    <row r="118" spans="26:31">
      <c r="Z118" s="89" t="str">
        <f>IF(LISTADO_NOM!K115="","",DATE(LISTADO_NOM!M115,LISTADO_NOM!L115,LISTADO_NOM!K115))</f>
        <v/>
      </c>
      <c r="AA118" s="89" t="str">
        <f>IFERROR(INDEX($Z$14:$Z$300, MATCH(0, INDEX(COUNTIF($AA$13:AA117, $Z$14:$Z$300), 0, 0), 0)), "")</f>
        <v/>
      </c>
      <c r="AB118" s="89" t="str">
        <f t="shared" si="1"/>
        <v/>
      </c>
      <c r="AC118">
        <v>105</v>
      </c>
      <c r="AE118" t="str">
        <f>IF(LISTADO_NOM!AN115="","",VLOOKUP(LISTADO_NOM!AN115,SEGUIMIENTOS,2,FALSE))</f>
        <v/>
      </c>
    </row>
    <row r="119" spans="26:31">
      <c r="Z119" s="89" t="str">
        <f>IF(LISTADO_NOM!K116="","",DATE(LISTADO_NOM!M116,LISTADO_NOM!L116,LISTADO_NOM!K116))</f>
        <v/>
      </c>
      <c r="AA119" s="89" t="str">
        <f>IFERROR(INDEX($Z$14:$Z$300, MATCH(0, INDEX(COUNTIF($AA$13:AA118, $Z$14:$Z$300), 0, 0), 0)), "")</f>
        <v/>
      </c>
      <c r="AB119" s="89" t="str">
        <f t="shared" si="1"/>
        <v/>
      </c>
      <c r="AC119">
        <v>106</v>
      </c>
      <c r="AE119" t="str">
        <f>IF(LISTADO_NOM!AN116="","",VLOOKUP(LISTADO_NOM!AN116,SEGUIMIENTOS,2,FALSE))</f>
        <v/>
      </c>
    </row>
    <row r="120" spans="26:31">
      <c r="Z120" s="89" t="str">
        <f>IF(LISTADO_NOM!K117="","",DATE(LISTADO_NOM!M117,LISTADO_NOM!L117,LISTADO_NOM!K117))</f>
        <v/>
      </c>
      <c r="AA120" s="89" t="str">
        <f>IFERROR(INDEX($Z$14:$Z$300, MATCH(0, INDEX(COUNTIF($AA$13:AA119, $Z$14:$Z$300), 0, 0), 0)), "")</f>
        <v/>
      </c>
      <c r="AB120" s="89" t="str">
        <f t="shared" si="1"/>
        <v/>
      </c>
      <c r="AC120">
        <v>107</v>
      </c>
      <c r="AE120" t="str">
        <f>IF(LISTADO_NOM!AN117="","",VLOOKUP(LISTADO_NOM!AN117,SEGUIMIENTOS,2,FALSE))</f>
        <v/>
      </c>
    </row>
    <row r="121" spans="26:31">
      <c r="Z121" s="89" t="str">
        <f>IF(LISTADO_NOM!K118="","",DATE(LISTADO_NOM!M118,LISTADO_NOM!L118,LISTADO_NOM!K118))</f>
        <v/>
      </c>
      <c r="AA121" s="89" t="str">
        <f>IFERROR(INDEX($Z$14:$Z$300, MATCH(0, INDEX(COUNTIF($AA$13:AA120, $Z$14:$Z$300), 0, 0), 0)), "")</f>
        <v/>
      </c>
      <c r="AB121" s="89" t="str">
        <f t="shared" si="1"/>
        <v/>
      </c>
      <c r="AC121">
        <v>108</v>
      </c>
      <c r="AE121" t="str">
        <f>IF(LISTADO_NOM!AN118="","",VLOOKUP(LISTADO_NOM!AN118,SEGUIMIENTOS,2,FALSE))</f>
        <v/>
      </c>
    </row>
    <row r="122" spans="26:31">
      <c r="Z122" s="89" t="str">
        <f>IF(LISTADO_NOM!K119="","",DATE(LISTADO_NOM!M119,LISTADO_NOM!L119,LISTADO_NOM!K119))</f>
        <v/>
      </c>
      <c r="AA122" s="89" t="str">
        <f>IFERROR(INDEX($Z$14:$Z$300, MATCH(0, INDEX(COUNTIF($AA$13:AA121, $Z$14:$Z$300), 0, 0), 0)), "")</f>
        <v/>
      </c>
      <c r="AB122" s="89" t="str">
        <f t="shared" si="1"/>
        <v/>
      </c>
      <c r="AC122">
        <v>109</v>
      </c>
      <c r="AE122" t="str">
        <f>IF(LISTADO_NOM!AN119="","",VLOOKUP(LISTADO_NOM!AN119,SEGUIMIENTOS,2,FALSE))</f>
        <v/>
      </c>
    </row>
    <row r="123" spans="26:31">
      <c r="Z123" s="89" t="str">
        <f>IF(LISTADO_NOM!K120="","",DATE(LISTADO_NOM!M120,LISTADO_NOM!L120,LISTADO_NOM!K120))</f>
        <v/>
      </c>
      <c r="AA123" s="89" t="str">
        <f>IFERROR(INDEX($Z$14:$Z$300, MATCH(0, INDEX(COUNTIF($AA$13:AA122, $Z$14:$Z$300), 0, 0), 0)), "")</f>
        <v/>
      </c>
      <c r="AB123" s="89" t="str">
        <f t="shared" si="1"/>
        <v/>
      </c>
      <c r="AC123">
        <v>110</v>
      </c>
      <c r="AE123" t="str">
        <f>IF(LISTADO_NOM!AN120="","",VLOOKUP(LISTADO_NOM!AN120,SEGUIMIENTOS,2,FALSE))</f>
        <v/>
      </c>
    </row>
    <row r="124" spans="26:31">
      <c r="Z124" s="89" t="str">
        <f>IF(LISTADO_NOM!K121="","",DATE(LISTADO_NOM!M121,LISTADO_NOM!L121,LISTADO_NOM!K121))</f>
        <v/>
      </c>
      <c r="AA124" s="89" t="str">
        <f>IFERROR(INDEX($Z$14:$Z$300, MATCH(0, INDEX(COUNTIF($AA$13:AA123, $Z$14:$Z$300), 0, 0), 0)), "")</f>
        <v/>
      </c>
      <c r="AB124" s="89" t="str">
        <f t="shared" si="1"/>
        <v/>
      </c>
      <c r="AC124">
        <v>111</v>
      </c>
      <c r="AE124" t="str">
        <f>IF(LISTADO_NOM!AN121="","",VLOOKUP(LISTADO_NOM!AN121,SEGUIMIENTOS,2,FALSE))</f>
        <v/>
      </c>
    </row>
    <row r="125" spans="26:31">
      <c r="Z125" s="89" t="str">
        <f>IF(LISTADO_NOM!K122="","",DATE(LISTADO_NOM!M122,LISTADO_NOM!L122,LISTADO_NOM!K122))</f>
        <v/>
      </c>
      <c r="AA125" s="89" t="str">
        <f>IFERROR(INDEX($Z$14:$Z$300, MATCH(0, INDEX(COUNTIF($AA$13:AA124, $Z$14:$Z$300), 0, 0), 0)), "")</f>
        <v/>
      </c>
      <c r="AB125" s="89" t="str">
        <f t="shared" si="1"/>
        <v/>
      </c>
      <c r="AC125">
        <v>112</v>
      </c>
      <c r="AE125" t="str">
        <f>IF(LISTADO_NOM!AN122="","",VLOOKUP(LISTADO_NOM!AN122,SEGUIMIENTOS,2,FALSE))</f>
        <v/>
      </c>
    </row>
    <row r="126" spans="26:31">
      <c r="Z126" s="89" t="str">
        <f>IF(LISTADO_NOM!K123="","",DATE(LISTADO_NOM!M123,LISTADO_NOM!L123,LISTADO_NOM!K123))</f>
        <v/>
      </c>
      <c r="AA126" s="89" t="str">
        <f>IFERROR(INDEX($Z$14:$Z$300, MATCH(0, INDEX(COUNTIF($AA$13:AA125, $Z$14:$Z$300), 0, 0), 0)), "")</f>
        <v/>
      </c>
      <c r="AB126" s="89" t="str">
        <f t="shared" si="1"/>
        <v/>
      </c>
      <c r="AC126">
        <v>113</v>
      </c>
      <c r="AE126" t="str">
        <f>IF(LISTADO_NOM!AN123="","",VLOOKUP(LISTADO_NOM!AN123,SEGUIMIENTOS,2,FALSE))</f>
        <v/>
      </c>
    </row>
    <row r="127" spans="26:31">
      <c r="Z127" s="89" t="str">
        <f>IF(LISTADO_NOM!K124="","",DATE(LISTADO_NOM!M124,LISTADO_NOM!L124,LISTADO_NOM!K124))</f>
        <v/>
      </c>
      <c r="AA127" s="89" t="str">
        <f>IFERROR(INDEX($Z$14:$Z$300, MATCH(0, INDEX(COUNTIF($AA$13:AA126, $Z$14:$Z$300), 0, 0), 0)), "")</f>
        <v/>
      </c>
      <c r="AB127" s="89" t="str">
        <f t="shared" si="1"/>
        <v/>
      </c>
      <c r="AC127">
        <v>114</v>
      </c>
      <c r="AE127" t="str">
        <f>IF(LISTADO_NOM!AN124="","",VLOOKUP(LISTADO_NOM!AN124,SEGUIMIENTOS,2,FALSE))</f>
        <v/>
      </c>
    </row>
    <row r="128" spans="26:31">
      <c r="Z128" s="89" t="str">
        <f>IF(LISTADO_NOM!K125="","",DATE(LISTADO_NOM!M125,LISTADO_NOM!L125,LISTADO_NOM!K125))</f>
        <v/>
      </c>
      <c r="AA128" s="89" t="str">
        <f>IFERROR(INDEX($Z$14:$Z$300, MATCH(0, INDEX(COUNTIF($AA$13:AA127, $Z$14:$Z$300), 0, 0), 0)), "")</f>
        <v/>
      </c>
      <c r="AB128" s="89" t="str">
        <f t="shared" si="1"/>
        <v/>
      </c>
      <c r="AC128">
        <v>115</v>
      </c>
      <c r="AE128" t="str">
        <f>IF(LISTADO_NOM!AN125="","",VLOOKUP(LISTADO_NOM!AN125,SEGUIMIENTOS,2,FALSE))</f>
        <v/>
      </c>
    </row>
    <row r="129" spans="26:31">
      <c r="Z129" s="89" t="str">
        <f>IF(LISTADO_NOM!K126="","",DATE(LISTADO_NOM!M126,LISTADO_NOM!L126,LISTADO_NOM!K126))</f>
        <v/>
      </c>
      <c r="AA129" s="89" t="str">
        <f>IFERROR(INDEX($Z$14:$Z$300, MATCH(0, INDEX(COUNTIF($AA$13:AA128, $Z$14:$Z$300), 0, 0), 0)), "")</f>
        <v/>
      </c>
      <c r="AB129" s="89" t="str">
        <f t="shared" si="1"/>
        <v/>
      </c>
      <c r="AC129">
        <v>116</v>
      </c>
      <c r="AE129" t="str">
        <f>IF(LISTADO_NOM!AN126="","",VLOOKUP(LISTADO_NOM!AN126,SEGUIMIENTOS,2,FALSE))</f>
        <v/>
      </c>
    </row>
    <row r="130" spans="26:31">
      <c r="Z130" s="89" t="str">
        <f>IF(LISTADO_NOM!K127="","",DATE(LISTADO_NOM!M127,LISTADO_NOM!L127,LISTADO_NOM!K127))</f>
        <v/>
      </c>
      <c r="AA130" s="89" t="str">
        <f>IFERROR(INDEX($Z$14:$Z$300, MATCH(0, INDEX(COUNTIF($AA$13:AA129, $Z$14:$Z$300), 0, 0), 0)), "")</f>
        <v/>
      </c>
      <c r="AB130" s="89" t="str">
        <f t="shared" si="1"/>
        <v/>
      </c>
      <c r="AC130">
        <v>117</v>
      </c>
      <c r="AE130" t="str">
        <f>IF(LISTADO_NOM!AN127="","",VLOOKUP(LISTADO_NOM!AN127,SEGUIMIENTOS,2,FALSE))</f>
        <v/>
      </c>
    </row>
    <row r="131" spans="26:31">
      <c r="Z131" s="89" t="str">
        <f>IF(LISTADO_NOM!K128="","",DATE(LISTADO_NOM!M128,LISTADO_NOM!L128,LISTADO_NOM!K128))</f>
        <v/>
      </c>
      <c r="AA131" s="89" t="str">
        <f>IFERROR(INDEX($Z$14:$Z$300, MATCH(0, INDEX(COUNTIF($AA$13:AA130, $Z$14:$Z$300), 0, 0), 0)), "")</f>
        <v/>
      </c>
      <c r="AB131" s="89" t="str">
        <f t="shared" si="1"/>
        <v/>
      </c>
      <c r="AC131">
        <v>118</v>
      </c>
      <c r="AE131" t="str">
        <f>IF(LISTADO_NOM!AN128="","",VLOOKUP(LISTADO_NOM!AN128,SEGUIMIENTOS,2,FALSE))</f>
        <v/>
      </c>
    </row>
    <row r="132" spans="26:31">
      <c r="Z132" s="89" t="str">
        <f>IF(LISTADO_NOM!K129="","",DATE(LISTADO_NOM!M129,LISTADO_NOM!L129,LISTADO_NOM!K129))</f>
        <v/>
      </c>
      <c r="AA132" s="89" t="str">
        <f>IFERROR(INDEX($Z$14:$Z$300, MATCH(0, INDEX(COUNTIF($AA$13:AA131, $Z$14:$Z$300), 0, 0), 0)), "")</f>
        <v/>
      </c>
      <c r="AB132" s="89" t="str">
        <f t="shared" si="1"/>
        <v/>
      </c>
      <c r="AC132">
        <v>119</v>
      </c>
      <c r="AE132" t="str">
        <f>IF(LISTADO_NOM!AN129="","",VLOOKUP(LISTADO_NOM!AN129,SEGUIMIENTOS,2,FALSE))</f>
        <v/>
      </c>
    </row>
    <row r="133" spans="26:31">
      <c r="Z133" s="89" t="str">
        <f>IF(LISTADO_NOM!K130="","",DATE(LISTADO_NOM!M130,LISTADO_NOM!L130,LISTADO_NOM!K130))</f>
        <v/>
      </c>
      <c r="AA133" s="89" t="str">
        <f>IFERROR(INDEX($Z$14:$Z$300, MATCH(0, INDEX(COUNTIF($AA$13:AA132, $Z$14:$Z$300), 0, 0), 0)), "")</f>
        <v/>
      </c>
      <c r="AB133" s="89" t="str">
        <f t="shared" si="1"/>
        <v/>
      </c>
      <c r="AC133">
        <v>120</v>
      </c>
      <c r="AE133" t="str">
        <f>IF(LISTADO_NOM!AN130="","",VLOOKUP(LISTADO_NOM!AN130,SEGUIMIENTOS,2,FALSE))</f>
        <v/>
      </c>
    </row>
    <row r="134" spans="26:31">
      <c r="Z134" s="89" t="str">
        <f>IF(LISTADO_NOM!K131="","",DATE(LISTADO_NOM!M131,LISTADO_NOM!L131,LISTADO_NOM!K131))</f>
        <v/>
      </c>
      <c r="AA134" s="89" t="str">
        <f>IFERROR(INDEX($Z$14:$Z$300, MATCH(0, INDEX(COUNTIF($AA$13:AA133, $Z$14:$Z$300), 0, 0), 0)), "")</f>
        <v/>
      </c>
      <c r="AB134" s="89" t="str">
        <f t="shared" si="1"/>
        <v/>
      </c>
      <c r="AC134">
        <v>121</v>
      </c>
      <c r="AE134" t="str">
        <f>IF(LISTADO_NOM!AN131="","",VLOOKUP(LISTADO_NOM!AN131,SEGUIMIENTOS,2,FALSE))</f>
        <v/>
      </c>
    </row>
    <row r="135" spans="26:31">
      <c r="Z135" s="89" t="str">
        <f>IF(LISTADO_NOM!K132="","",DATE(LISTADO_NOM!M132,LISTADO_NOM!L132,LISTADO_NOM!K132))</f>
        <v/>
      </c>
      <c r="AA135" s="89" t="str">
        <f>IFERROR(INDEX($Z$14:$Z$300, MATCH(0, INDEX(COUNTIF($AA$13:AA134, $Z$14:$Z$300), 0, 0), 0)), "")</f>
        <v/>
      </c>
      <c r="AB135" s="89" t="str">
        <f t="shared" si="1"/>
        <v/>
      </c>
      <c r="AC135">
        <v>122</v>
      </c>
      <c r="AE135" t="str">
        <f>IF(LISTADO_NOM!AN132="","",VLOOKUP(LISTADO_NOM!AN132,SEGUIMIENTOS,2,FALSE))</f>
        <v/>
      </c>
    </row>
    <row r="136" spans="26:31">
      <c r="Z136" s="89" t="str">
        <f>IF(LISTADO_NOM!K133="","",DATE(LISTADO_NOM!M133,LISTADO_NOM!L133,LISTADO_NOM!K133))</f>
        <v/>
      </c>
      <c r="AA136" s="89" t="str">
        <f>IFERROR(INDEX($Z$14:$Z$300, MATCH(0, INDEX(COUNTIF($AA$13:AA135, $Z$14:$Z$300), 0, 0), 0)), "")</f>
        <v/>
      </c>
      <c r="AB136" s="89" t="str">
        <f t="shared" si="1"/>
        <v/>
      </c>
      <c r="AC136">
        <v>123</v>
      </c>
      <c r="AE136" t="str">
        <f>IF(LISTADO_NOM!AN133="","",VLOOKUP(LISTADO_NOM!AN133,SEGUIMIENTOS,2,FALSE))</f>
        <v/>
      </c>
    </row>
    <row r="137" spans="26:31">
      <c r="Z137" s="89" t="str">
        <f>IF(LISTADO_NOM!K134="","",DATE(LISTADO_NOM!M134,LISTADO_NOM!L134,LISTADO_NOM!K134))</f>
        <v/>
      </c>
      <c r="AA137" s="89" t="str">
        <f>IFERROR(INDEX($Z$14:$Z$300, MATCH(0, INDEX(COUNTIF($AA$13:AA136, $Z$14:$Z$300), 0, 0), 0)), "")</f>
        <v/>
      </c>
      <c r="AB137" s="89" t="str">
        <f t="shared" si="1"/>
        <v/>
      </c>
      <c r="AC137">
        <v>124</v>
      </c>
      <c r="AE137" t="str">
        <f>IF(LISTADO_NOM!AN134="","",VLOOKUP(LISTADO_NOM!AN134,SEGUIMIENTOS,2,FALSE))</f>
        <v/>
      </c>
    </row>
    <row r="138" spans="26:31">
      <c r="Z138" s="89" t="str">
        <f>IF(LISTADO_NOM!K135="","",DATE(LISTADO_NOM!M135,LISTADO_NOM!L135,LISTADO_NOM!K135))</f>
        <v/>
      </c>
      <c r="AA138" s="89" t="str">
        <f>IFERROR(INDEX($Z$14:$Z$300, MATCH(0, INDEX(COUNTIF($AA$13:AA137, $Z$14:$Z$300), 0, 0), 0)), "")</f>
        <v/>
      </c>
      <c r="AB138" s="89" t="str">
        <f t="shared" si="1"/>
        <v/>
      </c>
      <c r="AC138">
        <v>125</v>
      </c>
      <c r="AE138" t="str">
        <f>IF(LISTADO_NOM!AN135="","",VLOOKUP(LISTADO_NOM!AN135,SEGUIMIENTOS,2,FALSE))</f>
        <v/>
      </c>
    </row>
    <row r="139" spans="26:31">
      <c r="Z139" s="89" t="str">
        <f>IF(LISTADO_NOM!K136="","",DATE(LISTADO_NOM!M136,LISTADO_NOM!L136,LISTADO_NOM!K136))</f>
        <v/>
      </c>
      <c r="AA139" s="89" t="str">
        <f>IFERROR(INDEX($Z$14:$Z$300, MATCH(0, INDEX(COUNTIF($AA$13:AA138, $Z$14:$Z$300), 0, 0), 0)), "")</f>
        <v/>
      </c>
      <c r="AB139" s="89" t="str">
        <f t="shared" si="1"/>
        <v/>
      </c>
      <c r="AC139">
        <v>126</v>
      </c>
      <c r="AE139" t="str">
        <f>IF(LISTADO_NOM!AN136="","",VLOOKUP(LISTADO_NOM!AN136,SEGUIMIENTOS,2,FALSE))</f>
        <v/>
      </c>
    </row>
    <row r="140" spans="26:31">
      <c r="Z140" s="89" t="str">
        <f>IF(LISTADO_NOM!K137="","",DATE(LISTADO_NOM!M137,LISTADO_NOM!L137,LISTADO_NOM!K137))</f>
        <v/>
      </c>
      <c r="AA140" s="89" t="str">
        <f>IFERROR(INDEX($Z$14:$Z$300, MATCH(0, INDEX(COUNTIF($AA$13:AA139, $Z$14:$Z$300), 0, 0), 0)), "")</f>
        <v/>
      </c>
      <c r="AB140" s="89" t="str">
        <f t="shared" si="1"/>
        <v/>
      </c>
      <c r="AC140">
        <v>127</v>
      </c>
      <c r="AE140" t="str">
        <f>IF(LISTADO_NOM!AN137="","",VLOOKUP(LISTADO_NOM!AN137,SEGUIMIENTOS,2,FALSE))</f>
        <v/>
      </c>
    </row>
    <row r="141" spans="26:31">
      <c r="Z141" s="89" t="str">
        <f>IF(LISTADO_NOM!K138="","",DATE(LISTADO_NOM!M138,LISTADO_NOM!L138,LISTADO_NOM!K138))</f>
        <v/>
      </c>
      <c r="AA141" s="89" t="str">
        <f>IFERROR(INDEX($Z$14:$Z$300, MATCH(0, INDEX(COUNTIF($AA$13:AA140, $Z$14:$Z$300), 0, 0), 0)), "")</f>
        <v/>
      </c>
      <c r="AB141" s="89" t="str">
        <f t="shared" si="1"/>
        <v/>
      </c>
      <c r="AC141">
        <v>128</v>
      </c>
      <c r="AE141" t="str">
        <f>IF(LISTADO_NOM!AN138="","",VLOOKUP(LISTADO_NOM!AN138,SEGUIMIENTOS,2,FALSE))</f>
        <v/>
      </c>
    </row>
    <row r="142" spans="26:31">
      <c r="Z142" s="89" t="str">
        <f>IF(LISTADO_NOM!K139="","",DATE(LISTADO_NOM!M139,LISTADO_NOM!L139,LISTADO_NOM!K139))</f>
        <v/>
      </c>
      <c r="AA142" s="89" t="str">
        <f>IFERROR(INDEX($Z$14:$Z$300, MATCH(0, INDEX(COUNTIF($AA$13:AA141, $Z$14:$Z$300), 0, 0), 0)), "")</f>
        <v/>
      </c>
      <c r="AB142" s="89" t="str">
        <f t="shared" ref="AB142:AB205" si="2">IF(AA142="","",SMALL(ORDENA_,AC142))</f>
        <v/>
      </c>
      <c r="AC142">
        <v>129</v>
      </c>
      <c r="AE142" t="str">
        <f>IF(LISTADO_NOM!AN139="","",VLOOKUP(LISTADO_NOM!AN139,SEGUIMIENTOS,2,FALSE))</f>
        <v/>
      </c>
    </row>
    <row r="143" spans="26:31">
      <c r="Z143" s="89" t="str">
        <f>IF(LISTADO_NOM!K140="","",DATE(LISTADO_NOM!M140,LISTADO_NOM!L140,LISTADO_NOM!K140))</f>
        <v/>
      </c>
      <c r="AA143" s="89" t="str">
        <f>IFERROR(INDEX($Z$14:$Z$300, MATCH(0, INDEX(COUNTIF($AA$13:AA142, $Z$14:$Z$300), 0, 0), 0)), "")</f>
        <v/>
      </c>
      <c r="AB143" s="89" t="str">
        <f t="shared" si="2"/>
        <v/>
      </c>
      <c r="AC143">
        <v>130</v>
      </c>
      <c r="AE143" t="str">
        <f>IF(LISTADO_NOM!AN140="","",VLOOKUP(LISTADO_NOM!AN140,SEGUIMIENTOS,2,FALSE))</f>
        <v/>
      </c>
    </row>
    <row r="144" spans="26:31">
      <c r="Z144" s="89" t="str">
        <f>IF(LISTADO_NOM!K141="","",DATE(LISTADO_NOM!M141,LISTADO_NOM!L141,LISTADO_NOM!K141))</f>
        <v/>
      </c>
      <c r="AA144" s="89" t="str">
        <f>IFERROR(INDEX($Z$14:$Z$300, MATCH(0, INDEX(COUNTIF($AA$13:AA143, $Z$14:$Z$300), 0, 0), 0)), "")</f>
        <v/>
      </c>
      <c r="AB144" s="89" t="str">
        <f t="shared" si="2"/>
        <v/>
      </c>
      <c r="AC144">
        <v>131</v>
      </c>
      <c r="AE144" t="str">
        <f>IF(LISTADO_NOM!AN141="","",VLOOKUP(LISTADO_NOM!AN141,SEGUIMIENTOS,2,FALSE))</f>
        <v/>
      </c>
    </row>
    <row r="145" spans="26:31">
      <c r="Z145" s="89" t="str">
        <f>IF(LISTADO_NOM!K142="","",DATE(LISTADO_NOM!M142,LISTADO_NOM!L142,LISTADO_NOM!K142))</f>
        <v/>
      </c>
      <c r="AA145" s="89" t="str">
        <f>IFERROR(INDEX($Z$14:$Z$300, MATCH(0, INDEX(COUNTIF($AA$13:AA144, $Z$14:$Z$300), 0, 0), 0)), "")</f>
        <v/>
      </c>
      <c r="AB145" s="89" t="str">
        <f t="shared" si="2"/>
        <v/>
      </c>
      <c r="AC145">
        <v>132</v>
      </c>
      <c r="AE145" t="str">
        <f>IF(LISTADO_NOM!AN142="","",VLOOKUP(LISTADO_NOM!AN142,SEGUIMIENTOS,2,FALSE))</f>
        <v/>
      </c>
    </row>
    <row r="146" spans="26:31">
      <c r="Z146" s="89" t="str">
        <f>IF(LISTADO_NOM!K143="","",DATE(LISTADO_NOM!M143,LISTADO_NOM!L143,LISTADO_NOM!K143))</f>
        <v/>
      </c>
      <c r="AA146" s="89" t="str">
        <f>IFERROR(INDEX($Z$14:$Z$300, MATCH(0, INDEX(COUNTIF($AA$13:AA145, $Z$14:$Z$300), 0, 0), 0)), "")</f>
        <v/>
      </c>
      <c r="AB146" s="89" t="str">
        <f t="shared" si="2"/>
        <v/>
      </c>
      <c r="AC146">
        <v>133</v>
      </c>
      <c r="AE146" t="str">
        <f>IF(LISTADO_NOM!AN143="","",VLOOKUP(LISTADO_NOM!AN143,SEGUIMIENTOS,2,FALSE))</f>
        <v/>
      </c>
    </row>
    <row r="147" spans="26:31">
      <c r="Z147" s="89" t="str">
        <f>IF(LISTADO_NOM!K144="","",DATE(LISTADO_NOM!M144,LISTADO_NOM!L144,LISTADO_NOM!K144))</f>
        <v/>
      </c>
      <c r="AA147" s="89" t="str">
        <f>IFERROR(INDEX($Z$14:$Z$300, MATCH(0, INDEX(COUNTIF($AA$13:AA146, $Z$14:$Z$300), 0, 0), 0)), "")</f>
        <v/>
      </c>
      <c r="AB147" s="89" t="str">
        <f t="shared" si="2"/>
        <v/>
      </c>
      <c r="AC147">
        <v>134</v>
      </c>
      <c r="AE147" t="str">
        <f>IF(LISTADO_NOM!AN144="","",VLOOKUP(LISTADO_NOM!AN144,SEGUIMIENTOS,2,FALSE))</f>
        <v/>
      </c>
    </row>
    <row r="148" spans="26:31">
      <c r="Z148" s="89" t="str">
        <f>IF(LISTADO_NOM!K145="","",DATE(LISTADO_NOM!M145,LISTADO_NOM!L145,LISTADO_NOM!K145))</f>
        <v/>
      </c>
      <c r="AA148" s="89" t="str">
        <f>IFERROR(INDEX($Z$14:$Z$300, MATCH(0, INDEX(COUNTIF($AA$13:AA147, $Z$14:$Z$300), 0, 0), 0)), "")</f>
        <v/>
      </c>
      <c r="AB148" s="89" t="str">
        <f t="shared" si="2"/>
        <v/>
      </c>
      <c r="AC148">
        <v>135</v>
      </c>
      <c r="AE148" t="str">
        <f>IF(LISTADO_NOM!AN145="","",VLOOKUP(LISTADO_NOM!AN145,SEGUIMIENTOS,2,FALSE))</f>
        <v/>
      </c>
    </row>
    <row r="149" spans="26:31">
      <c r="Z149" s="89" t="str">
        <f>IF(LISTADO_NOM!K146="","",DATE(LISTADO_NOM!M146,LISTADO_NOM!L146,LISTADO_NOM!K146))</f>
        <v/>
      </c>
      <c r="AA149" s="89" t="str">
        <f>IFERROR(INDEX($Z$14:$Z$300, MATCH(0, INDEX(COUNTIF($AA$13:AA148, $Z$14:$Z$300), 0, 0), 0)), "")</f>
        <v/>
      </c>
      <c r="AB149" s="89" t="str">
        <f t="shared" si="2"/>
        <v/>
      </c>
      <c r="AC149">
        <v>136</v>
      </c>
      <c r="AE149" t="str">
        <f>IF(LISTADO_NOM!AN146="","",VLOOKUP(LISTADO_NOM!AN146,SEGUIMIENTOS,2,FALSE))</f>
        <v/>
      </c>
    </row>
    <row r="150" spans="26:31">
      <c r="Z150" s="89" t="str">
        <f>IF(LISTADO_NOM!K147="","",DATE(LISTADO_NOM!M147,LISTADO_NOM!L147,LISTADO_NOM!K147))</f>
        <v/>
      </c>
      <c r="AA150" s="89" t="str">
        <f>IFERROR(INDEX($Z$14:$Z$300, MATCH(0, INDEX(COUNTIF($AA$13:AA149, $Z$14:$Z$300), 0, 0), 0)), "")</f>
        <v/>
      </c>
      <c r="AB150" s="89" t="str">
        <f t="shared" si="2"/>
        <v/>
      </c>
      <c r="AC150">
        <v>137</v>
      </c>
      <c r="AE150" t="str">
        <f>IF(LISTADO_NOM!AN147="","",VLOOKUP(LISTADO_NOM!AN147,SEGUIMIENTOS,2,FALSE))</f>
        <v/>
      </c>
    </row>
    <row r="151" spans="26:31">
      <c r="Z151" s="89" t="str">
        <f>IF(LISTADO_NOM!K148="","",DATE(LISTADO_NOM!M148,LISTADO_NOM!L148,LISTADO_NOM!K148))</f>
        <v/>
      </c>
      <c r="AA151" s="89" t="str">
        <f>IFERROR(INDEX($Z$14:$Z$300, MATCH(0, INDEX(COUNTIF($AA$13:AA150, $Z$14:$Z$300), 0, 0), 0)), "")</f>
        <v/>
      </c>
      <c r="AB151" s="89" t="str">
        <f t="shared" si="2"/>
        <v/>
      </c>
      <c r="AC151">
        <v>138</v>
      </c>
      <c r="AE151" t="str">
        <f>IF(LISTADO_NOM!AN148="","",VLOOKUP(LISTADO_NOM!AN148,SEGUIMIENTOS,2,FALSE))</f>
        <v/>
      </c>
    </row>
    <row r="152" spans="26:31">
      <c r="Z152" s="89" t="str">
        <f>IF(LISTADO_NOM!K149="","",DATE(LISTADO_NOM!M149,LISTADO_NOM!L149,LISTADO_NOM!K149))</f>
        <v/>
      </c>
      <c r="AA152" s="89" t="str">
        <f>IFERROR(INDEX($Z$14:$Z$300, MATCH(0, INDEX(COUNTIF($AA$13:AA151, $Z$14:$Z$300), 0, 0), 0)), "")</f>
        <v/>
      </c>
      <c r="AB152" s="89" t="str">
        <f t="shared" si="2"/>
        <v/>
      </c>
      <c r="AC152">
        <v>139</v>
      </c>
      <c r="AE152" t="str">
        <f>IF(LISTADO_NOM!AN149="","",VLOOKUP(LISTADO_NOM!AN149,SEGUIMIENTOS,2,FALSE))</f>
        <v/>
      </c>
    </row>
    <row r="153" spans="26:31">
      <c r="Z153" s="89" t="str">
        <f>IF(LISTADO_NOM!K150="","",DATE(LISTADO_NOM!M150,LISTADO_NOM!L150,LISTADO_NOM!K150))</f>
        <v/>
      </c>
      <c r="AA153" s="89" t="str">
        <f>IFERROR(INDEX($Z$14:$Z$300, MATCH(0, INDEX(COUNTIF($AA$13:AA152, $Z$14:$Z$300), 0, 0), 0)), "")</f>
        <v/>
      </c>
      <c r="AB153" s="89" t="str">
        <f t="shared" si="2"/>
        <v/>
      </c>
      <c r="AC153">
        <v>140</v>
      </c>
      <c r="AE153" t="str">
        <f>IF(LISTADO_NOM!AN150="","",VLOOKUP(LISTADO_NOM!AN150,SEGUIMIENTOS,2,FALSE))</f>
        <v/>
      </c>
    </row>
    <row r="154" spans="26:31">
      <c r="Z154" s="89" t="str">
        <f>IF(LISTADO_NOM!K151="","",DATE(LISTADO_NOM!M151,LISTADO_NOM!L151,LISTADO_NOM!K151))</f>
        <v/>
      </c>
      <c r="AA154" s="89" t="str">
        <f>IFERROR(INDEX($Z$14:$Z$300, MATCH(0, INDEX(COUNTIF($AA$13:AA153, $Z$14:$Z$300), 0, 0), 0)), "")</f>
        <v/>
      </c>
      <c r="AB154" s="89" t="str">
        <f t="shared" si="2"/>
        <v/>
      </c>
      <c r="AC154">
        <v>141</v>
      </c>
      <c r="AE154" t="str">
        <f>IF(LISTADO_NOM!AN151="","",VLOOKUP(LISTADO_NOM!AN151,SEGUIMIENTOS,2,FALSE))</f>
        <v/>
      </c>
    </row>
    <row r="155" spans="26:31">
      <c r="Z155" s="89" t="str">
        <f>IF(LISTADO_NOM!K152="","",DATE(LISTADO_NOM!M152,LISTADO_NOM!L152,LISTADO_NOM!K152))</f>
        <v/>
      </c>
      <c r="AA155" s="89" t="str">
        <f>IFERROR(INDEX($Z$14:$Z$300, MATCH(0, INDEX(COUNTIF($AA$13:AA154, $Z$14:$Z$300), 0, 0), 0)), "")</f>
        <v/>
      </c>
      <c r="AB155" s="89" t="str">
        <f t="shared" si="2"/>
        <v/>
      </c>
      <c r="AC155">
        <v>142</v>
      </c>
      <c r="AE155" t="str">
        <f>IF(LISTADO_NOM!AN152="","",VLOOKUP(LISTADO_NOM!AN152,SEGUIMIENTOS,2,FALSE))</f>
        <v/>
      </c>
    </row>
    <row r="156" spans="26:31">
      <c r="Z156" s="89" t="str">
        <f>IF(LISTADO_NOM!K153="","",DATE(LISTADO_NOM!M153,LISTADO_NOM!L153,LISTADO_NOM!K153))</f>
        <v/>
      </c>
      <c r="AA156" s="89" t="str">
        <f>IFERROR(INDEX($Z$14:$Z$300, MATCH(0, INDEX(COUNTIF($AA$13:AA155, $Z$14:$Z$300), 0, 0), 0)), "")</f>
        <v/>
      </c>
      <c r="AB156" s="89" t="str">
        <f t="shared" si="2"/>
        <v/>
      </c>
      <c r="AC156">
        <v>143</v>
      </c>
      <c r="AE156" t="str">
        <f>IF(LISTADO_NOM!AN153="","",VLOOKUP(LISTADO_NOM!AN153,SEGUIMIENTOS,2,FALSE))</f>
        <v/>
      </c>
    </row>
    <row r="157" spans="26:31">
      <c r="Z157" s="89" t="str">
        <f>IF(LISTADO_NOM!K154="","",DATE(LISTADO_NOM!M154,LISTADO_NOM!L154,LISTADO_NOM!K154))</f>
        <v/>
      </c>
      <c r="AA157" s="89" t="str">
        <f>IFERROR(INDEX($Z$14:$Z$300, MATCH(0, INDEX(COUNTIF($AA$13:AA156, $Z$14:$Z$300), 0, 0), 0)), "")</f>
        <v/>
      </c>
      <c r="AB157" s="89" t="str">
        <f t="shared" si="2"/>
        <v/>
      </c>
      <c r="AC157">
        <v>144</v>
      </c>
      <c r="AE157" t="str">
        <f>IF(LISTADO_NOM!AN154="","",VLOOKUP(LISTADO_NOM!AN154,SEGUIMIENTOS,2,FALSE))</f>
        <v/>
      </c>
    </row>
    <row r="158" spans="26:31">
      <c r="Z158" s="89" t="str">
        <f>IF(LISTADO_NOM!K155="","",DATE(LISTADO_NOM!M155,LISTADO_NOM!L155,LISTADO_NOM!K155))</f>
        <v/>
      </c>
      <c r="AA158" s="89" t="str">
        <f>IFERROR(INDEX($Z$14:$Z$300, MATCH(0, INDEX(COUNTIF($AA$13:AA157, $Z$14:$Z$300), 0, 0), 0)), "")</f>
        <v/>
      </c>
      <c r="AB158" s="89" t="str">
        <f t="shared" si="2"/>
        <v/>
      </c>
      <c r="AC158">
        <v>145</v>
      </c>
      <c r="AE158" t="str">
        <f>IF(LISTADO_NOM!AN155="","",VLOOKUP(LISTADO_NOM!AN155,SEGUIMIENTOS,2,FALSE))</f>
        <v/>
      </c>
    </row>
    <row r="159" spans="26:31">
      <c r="Z159" s="89" t="str">
        <f>IF(LISTADO_NOM!K156="","",DATE(LISTADO_NOM!M156,LISTADO_NOM!L156,LISTADO_NOM!K156))</f>
        <v/>
      </c>
      <c r="AA159" s="89" t="str">
        <f>IFERROR(INDEX($Z$14:$Z$300, MATCH(0, INDEX(COUNTIF($AA$13:AA158, $Z$14:$Z$300), 0, 0), 0)), "")</f>
        <v/>
      </c>
      <c r="AB159" s="89" t="str">
        <f t="shared" si="2"/>
        <v/>
      </c>
      <c r="AC159">
        <v>146</v>
      </c>
      <c r="AE159" t="str">
        <f>IF(LISTADO_NOM!AN156="","",VLOOKUP(LISTADO_NOM!AN156,SEGUIMIENTOS,2,FALSE))</f>
        <v/>
      </c>
    </row>
    <row r="160" spans="26:31">
      <c r="Z160" s="89" t="str">
        <f>IF(LISTADO_NOM!K157="","",DATE(LISTADO_NOM!M157,LISTADO_NOM!L157,LISTADO_NOM!K157))</f>
        <v/>
      </c>
      <c r="AA160" s="89" t="str">
        <f>IFERROR(INDEX($Z$14:$Z$300, MATCH(0, INDEX(COUNTIF($AA$13:AA159, $Z$14:$Z$300), 0, 0), 0)), "")</f>
        <v/>
      </c>
      <c r="AB160" s="89" t="str">
        <f t="shared" si="2"/>
        <v/>
      </c>
      <c r="AC160">
        <v>147</v>
      </c>
      <c r="AE160" t="str">
        <f>IF(LISTADO_NOM!AN157="","",VLOOKUP(LISTADO_NOM!AN157,SEGUIMIENTOS,2,FALSE))</f>
        <v/>
      </c>
    </row>
    <row r="161" spans="26:31">
      <c r="Z161" s="89" t="str">
        <f>IF(LISTADO_NOM!K158="","",DATE(LISTADO_NOM!M158,LISTADO_NOM!L158,LISTADO_NOM!K158))</f>
        <v/>
      </c>
      <c r="AA161" s="89" t="str">
        <f>IFERROR(INDEX($Z$14:$Z$300, MATCH(0, INDEX(COUNTIF($AA$13:AA160, $Z$14:$Z$300), 0, 0), 0)), "")</f>
        <v/>
      </c>
      <c r="AB161" s="89" t="str">
        <f t="shared" si="2"/>
        <v/>
      </c>
      <c r="AC161">
        <v>148</v>
      </c>
      <c r="AE161" t="str">
        <f>IF(LISTADO_NOM!AN158="","",VLOOKUP(LISTADO_NOM!AN158,SEGUIMIENTOS,2,FALSE))</f>
        <v/>
      </c>
    </row>
    <row r="162" spans="26:31">
      <c r="Z162" s="89" t="str">
        <f>IF(LISTADO_NOM!K159="","",DATE(LISTADO_NOM!M159,LISTADO_NOM!L159,LISTADO_NOM!K159))</f>
        <v/>
      </c>
      <c r="AA162" s="89" t="str">
        <f>IFERROR(INDEX($Z$14:$Z$300, MATCH(0, INDEX(COUNTIF($AA$13:AA161, $Z$14:$Z$300), 0, 0), 0)), "")</f>
        <v/>
      </c>
      <c r="AB162" s="89" t="str">
        <f t="shared" si="2"/>
        <v/>
      </c>
      <c r="AC162">
        <v>149</v>
      </c>
      <c r="AE162" t="str">
        <f>IF(LISTADO_NOM!AN159="","",VLOOKUP(LISTADO_NOM!AN159,SEGUIMIENTOS,2,FALSE))</f>
        <v/>
      </c>
    </row>
    <row r="163" spans="26:31">
      <c r="Z163" s="89" t="str">
        <f>IF(LISTADO_NOM!K160="","",DATE(LISTADO_NOM!M160,LISTADO_NOM!L160,LISTADO_NOM!K160))</f>
        <v/>
      </c>
      <c r="AA163" s="89" t="str">
        <f>IFERROR(INDEX($Z$14:$Z$300, MATCH(0, INDEX(COUNTIF($AA$13:AA162, $Z$14:$Z$300), 0, 0), 0)), "")</f>
        <v/>
      </c>
      <c r="AB163" s="89" t="str">
        <f t="shared" si="2"/>
        <v/>
      </c>
      <c r="AC163">
        <v>150</v>
      </c>
      <c r="AE163" t="str">
        <f>IF(LISTADO_NOM!AN160="","",VLOOKUP(LISTADO_NOM!AN160,SEGUIMIENTOS,2,FALSE))</f>
        <v/>
      </c>
    </row>
    <row r="164" spans="26:31">
      <c r="Z164" s="89" t="str">
        <f>IF(LISTADO_NOM!K161="","",DATE(LISTADO_NOM!M161,LISTADO_NOM!L161,LISTADO_NOM!K161))</f>
        <v/>
      </c>
      <c r="AA164" s="89" t="str">
        <f>IFERROR(INDEX($Z$14:$Z$300, MATCH(0, INDEX(COUNTIF($AA$13:AA163, $Z$14:$Z$300), 0, 0), 0)), "")</f>
        <v/>
      </c>
      <c r="AB164" s="89" t="str">
        <f t="shared" si="2"/>
        <v/>
      </c>
      <c r="AC164">
        <v>151</v>
      </c>
      <c r="AE164" t="str">
        <f>IF(LISTADO_NOM!AN161="","",VLOOKUP(LISTADO_NOM!AN161,SEGUIMIENTOS,2,FALSE))</f>
        <v/>
      </c>
    </row>
    <row r="165" spans="26:31">
      <c r="Z165" s="89" t="str">
        <f>IF(LISTADO_NOM!K162="","",DATE(LISTADO_NOM!M162,LISTADO_NOM!L162,LISTADO_NOM!K162))</f>
        <v/>
      </c>
      <c r="AA165" s="89" t="str">
        <f>IFERROR(INDEX($Z$14:$Z$300, MATCH(0, INDEX(COUNTIF($AA$13:AA164, $Z$14:$Z$300), 0, 0), 0)), "")</f>
        <v/>
      </c>
      <c r="AB165" s="89" t="str">
        <f t="shared" si="2"/>
        <v/>
      </c>
      <c r="AC165">
        <v>152</v>
      </c>
      <c r="AE165" t="str">
        <f>IF(LISTADO_NOM!AN162="","",VLOOKUP(LISTADO_NOM!AN162,SEGUIMIENTOS,2,FALSE))</f>
        <v/>
      </c>
    </row>
    <row r="166" spans="26:31">
      <c r="Z166" s="89" t="str">
        <f>IF(LISTADO_NOM!K163="","",DATE(LISTADO_NOM!M163,LISTADO_NOM!L163,LISTADO_NOM!K163))</f>
        <v/>
      </c>
      <c r="AA166" s="89" t="str">
        <f>IFERROR(INDEX($Z$14:$Z$300, MATCH(0, INDEX(COUNTIF($AA$13:AA165, $Z$14:$Z$300), 0, 0), 0)), "")</f>
        <v/>
      </c>
      <c r="AB166" s="89" t="str">
        <f t="shared" si="2"/>
        <v/>
      </c>
      <c r="AC166">
        <v>153</v>
      </c>
      <c r="AE166" t="str">
        <f>IF(LISTADO_NOM!AN163="","",VLOOKUP(LISTADO_NOM!AN163,SEGUIMIENTOS,2,FALSE))</f>
        <v/>
      </c>
    </row>
    <row r="167" spans="26:31">
      <c r="Z167" s="89" t="str">
        <f>IF(LISTADO_NOM!K164="","",DATE(LISTADO_NOM!M164,LISTADO_NOM!L164,LISTADO_NOM!K164))</f>
        <v/>
      </c>
      <c r="AA167" s="89" t="str">
        <f>IFERROR(INDEX($Z$14:$Z$300, MATCH(0, INDEX(COUNTIF($AA$13:AA166, $Z$14:$Z$300), 0, 0), 0)), "")</f>
        <v/>
      </c>
      <c r="AB167" s="89" t="str">
        <f t="shared" si="2"/>
        <v/>
      </c>
      <c r="AC167">
        <v>154</v>
      </c>
      <c r="AE167" t="str">
        <f>IF(LISTADO_NOM!AN164="","",VLOOKUP(LISTADO_NOM!AN164,SEGUIMIENTOS,2,FALSE))</f>
        <v/>
      </c>
    </row>
    <row r="168" spans="26:31">
      <c r="Z168" s="89" t="str">
        <f>IF(LISTADO_NOM!K165="","",DATE(LISTADO_NOM!M165,LISTADO_NOM!L165,LISTADO_NOM!K165))</f>
        <v/>
      </c>
      <c r="AA168" s="89" t="str">
        <f>IFERROR(INDEX($Z$14:$Z$300, MATCH(0, INDEX(COUNTIF($AA$13:AA167, $Z$14:$Z$300), 0, 0), 0)), "")</f>
        <v/>
      </c>
      <c r="AB168" s="89" t="str">
        <f t="shared" si="2"/>
        <v/>
      </c>
      <c r="AC168">
        <v>155</v>
      </c>
      <c r="AE168" t="str">
        <f>IF(LISTADO_NOM!AN165="","",VLOOKUP(LISTADO_NOM!AN165,SEGUIMIENTOS,2,FALSE))</f>
        <v/>
      </c>
    </row>
    <row r="169" spans="26:31">
      <c r="Z169" s="89" t="str">
        <f>IF(LISTADO_NOM!K166="","",DATE(LISTADO_NOM!M166,LISTADO_NOM!L166,LISTADO_NOM!K166))</f>
        <v/>
      </c>
      <c r="AA169" s="89" t="str">
        <f>IFERROR(INDEX($Z$14:$Z$300, MATCH(0, INDEX(COUNTIF($AA$13:AA168, $Z$14:$Z$300), 0, 0), 0)), "")</f>
        <v/>
      </c>
      <c r="AB169" s="89" t="str">
        <f t="shared" si="2"/>
        <v/>
      </c>
      <c r="AC169">
        <v>156</v>
      </c>
      <c r="AE169" t="str">
        <f>IF(LISTADO_NOM!AN166="","",VLOOKUP(LISTADO_NOM!AN166,SEGUIMIENTOS,2,FALSE))</f>
        <v/>
      </c>
    </row>
    <row r="170" spans="26:31">
      <c r="Z170" s="89" t="str">
        <f>IF(LISTADO_NOM!K167="","",DATE(LISTADO_NOM!M167,LISTADO_NOM!L167,LISTADO_NOM!K167))</f>
        <v/>
      </c>
      <c r="AA170" s="89" t="str">
        <f>IFERROR(INDEX($Z$14:$Z$300, MATCH(0, INDEX(COUNTIF($AA$13:AA169, $Z$14:$Z$300), 0, 0), 0)), "")</f>
        <v/>
      </c>
      <c r="AB170" s="89" t="str">
        <f t="shared" si="2"/>
        <v/>
      </c>
      <c r="AC170">
        <v>157</v>
      </c>
      <c r="AE170" t="str">
        <f>IF(LISTADO_NOM!AN167="","",VLOOKUP(LISTADO_NOM!AN167,SEGUIMIENTOS,2,FALSE))</f>
        <v/>
      </c>
    </row>
    <row r="171" spans="26:31">
      <c r="Z171" s="89" t="str">
        <f>IF(LISTADO_NOM!K168="","",DATE(LISTADO_NOM!M168,LISTADO_NOM!L168,LISTADO_NOM!K168))</f>
        <v/>
      </c>
      <c r="AA171" s="89" t="str">
        <f>IFERROR(INDEX($Z$14:$Z$300, MATCH(0, INDEX(COUNTIF($AA$13:AA170, $Z$14:$Z$300), 0, 0), 0)), "")</f>
        <v/>
      </c>
      <c r="AB171" s="89" t="str">
        <f t="shared" si="2"/>
        <v/>
      </c>
      <c r="AC171">
        <v>158</v>
      </c>
      <c r="AE171" t="str">
        <f>IF(LISTADO_NOM!AN168="","",VLOOKUP(LISTADO_NOM!AN168,SEGUIMIENTOS,2,FALSE))</f>
        <v/>
      </c>
    </row>
    <row r="172" spans="26:31">
      <c r="Z172" s="89" t="str">
        <f>IF(LISTADO_NOM!K169="","",DATE(LISTADO_NOM!M169,LISTADO_NOM!L169,LISTADO_NOM!K169))</f>
        <v/>
      </c>
      <c r="AA172" s="89" t="str">
        <f>IFERROR(INDEX($Z$14:$Z$300, MATCH(0, INDEX(COUNTIF($AA$13:AA171, $Z$14:$Z$300), 0, 0), 0)), "")</f>
        <v/>
      </c>
      <c r="AB172" s="89" t="str">
        <f t="shared" si="2"/>
        <v/>
      </c>
      <c r="AC172">
        <v>159</v>
      </c>
      <c r="AE172" t="str">
        <f>IF(LISTADO_NOM!AN169="","",VLOOKUP(LISTADO_NOM!AN169,SEGUIMIENTOS,2,FALSE))</f>
        <v/>
      </c>
    </row>
    <row r="173" spans="26:31">
      <c r="Z173" s="89" t="str">
        <f>IF(LISTADO_NOM!K170="","",DATE(LISTADO_NOM!M170,LISTADO_NOM!L170,LISTADO_NOM!K170))</f>
        <v/>
      </c>
      <c r="AA173" s="89" t="str">
        <f>IFERROR(INDEX($Z$14:$Z$300, MATCH(0, INDEX(COUNTIF($AA$13:AA172, $Z$14:$Z$300), 0, 0), 0)), "")</f>
        <v/>
      </c>
      <c r="AB173" s="89" t="str">
        <f t="shared" si="2"/>
        <v/>
      </c>
      <c r="AC173">
        <v>160</v>
      </c>
      <c r="AE173" t="str">
        <f>IF(LISTADO_NOM!AN170="","",VLOOKUP(LISTADO_NOM!AN170,SEGUIMIENTOS,2,FALSE))</f>
        <v/>
      </c>
    </row>
    <row r="174" spans="26:31">
      <c r="Z174" s="89" t="str">
        <f>IF(LISTADO_NOM!K171="","",DATE(LISTADO_NOM!M171,LISTADO_NOM!L171,LISTADO_NOM!K171))</f>
        <v/>
      </c>
      <c r="AA174" s="89" t="str">
        <f>IFERROR(INDEX($Z$14:$Z$300, MATCH(0, INDEX(COUNTIF($AA$13:AA173, $Z$14:$Z$300), 0, 0), 0)), "")</f>
        <v/>
      </c>
      <c r="AB174" s="89" t="str">
        <f t="shared" si="2"/>
        <v/>
      </c>
      <c r="AC174">
        <v>161</v>
      </c>
      <c r="AE174" t="str">
        <f>IF(LISTADO_NOM!AN171="","",VLOOKUP(LISTADO_NOM!AN171,SEGUIMIENTOS,2,FALSE))</f>
        <v/>
      </c>
    </row>
    <row r="175" spans="26:31">
      <c r="Z175" s="89" t="str">
        <f>IF(LISTADO_NOM!K172="","",DATE(LISTADO_NOM!M172,LISTADO_NOM!L172,LISTADO_NOM!K172))</f>
        <v/>
      </c>
      <c r="AA175" s="89" t="str">
        <f>IFERROR(INDEX($Z$14:$Z$300, MATCH(0, INDEX(COUNTIF($AA$13:AA174, $Z$14:$Z$300), 0, 0), 0)), "")</f>
        <v/>
      </c>
      <c r="AB175" s="89" t="str">
        <f t="shared" si="2"/>
        <v/>
      </c>
      <c r="AC175">
        <v>162</v>
      </c>
      <c r="AE175" t="str">
        <f>IF(LISTADO_NOM!AN172="","",VLOOKUP(LISTADO_NOM!AN172,SEGUIMIENTOS,2,FALSE))</f>
        <v/>
      </c>
    </row>
    <row r="176" spans="26:31">
      <c r="Z176" s="89" t="str">
        <f>IF(LISTADO_NOM!K173="","",DATE(LISTADO_NOM!M173,LISTADO_NOM!L173,LISTADO_NOM!K173))</f>
        <v/>
      </c>
      <c r="AA176" s="89" t="str">
        <f>IFERROR(INDEX($Z$14:$Z$300, MATCH(0, INDEX(COUNTIF($AA$13:AA175, $Z$14:$Z$300), 0, 0), 0)), "")</f>
        <v/>
      </c>
      <c r="AB176" s="89" t="str">
        <f t="shared" si="2"/>
        <v/>
      </c>
      <c r="AC176">
        <v>163</v>
      </c>
      <c r="AE176" t="str">
        <f>IF(LISTADO_NOM!AN173="","",VLOOKUP(LISTADO_NOM!AN173,SEGUIMIENTOS,2,FALSE))</f>
        <v/>
      </c>
    </row>
    <row r="177" spans="26:31">
      <c r="Z177" s="89" t="str">
        <f>IF(LISTADO_NOM!K174="","",DATE(LISTADO_NOM!M174,LISTADO_NOM!L174,LISTADO_NOM!K174))</f>
        <v/>
      </c>
      <c r="AA177" s="89" t="str">
        <f>IFERROR(INDEX($Z$14:$Z$300, MATCH(0, INDEX(COUNTIF($AA$13:AA176, $Z$14:$Z$300), 0, 0), 0)), "")</f>
        <v/>
      </c>
      <c r="AB177" s="89" t="str">
        <f t="shared" si="2"/>
        <v/>
      </c>
      <c r="AC177">
        <v>164</v>
      </c>
      <c r="AE177" t="str">
        <f>IF(LISTADO_NOM!AN174="","",VLOOKUP(LISTADO_NOM!AN174,SEGUIMIENTOS,2,FALSE))</f>
        <v/>
      </c>
    </row>
    <row r="178" spans="26:31">
      <c r="Z178" s="89" t="str">
        <f>IF(LISTADO_NOM!K175="","",DATE(LISTADO_NOM!M175,LISTADO_NOM!L175,LISTADO_NOM!K175))</f>
        <v/>
      </c>
      <c r="AA178" s="89" t="str">
        <f>IFERROR(INDEX($Z$14:$Z$300, MATCH(0, INDEX(COUNTIF($AA$13:AA177, $Z$14:$Z$300), 0, 0), 0)), "")</f>
        <v/>
      </c>
      <c r="AB178" s="89" t="str">
        <f t="shared" si="2"/>
        <v/>
      </c>
      <c r="AC178">
        <v>165</v>
      </c>
      <c r="AE178" t="str">
        <f>IF(LISTADO_NOM!AN175="","",VLOOKUP(LISTADO_NOM!AN175,SEGUIMIENTOS,2,FALSE))</f>
        <v/>
      </c>
    </row>
    <row r="179" spans="26:31">
      <c r="Z179" s="89" t="str">
        <f>IF(LISTADO_NOM!K176="","",DATE(LISTADO_NOM!M176,LISTADO_NOM!L176,LISTADO_NOM!K176))</f>
        <v/>
      </c>
      <c r="AA179" s="89" t="str">
        <f>IFERROR(INDEX($Z$14:$Z$300, MATCH(0, INDEX(COUNTIF($AA$13:AA178, $Z$14:$Z$300), 0, 0), 0)), "")</f>
        <v/>
      </c>
      <c r="AB179" s="89" t="str">
        <f t="shared" si="2"/>
        <v/>
      </c>
      <c r="AC179">
        <v>166</v>
      </c>
      <c r="AE179" t="str">
        <f>IF(LISTADO_NOM!AN176="","",VLOOKUP(LISTADO_NOM!AN176,SEGUIMIENTOS,2,FALSE))</f>
        <v/>
      </c>
    </row>
    <row r="180" spans="26:31">
      <c r="Z180" s="89" t="str">
        <f>IF(LISTADO_NOM!K177="","",DATE(LISTADO_NOM!M177,LISTADO_NOM!L177,LISTADO_NOM!K177))</f>
        <v/>
      </c>
      <c r="AA180" s="89" t="str">
        <f>IFERROR(INDEX($Z$14:$Z$300, MATCH(0, INDEX(COUNTIF($AA$13:AA179, $Z$14:$Z$300), 0, 0), 0)), "")</f>
        <v/>
      </c>
      <c r="AB180" s="89" t="str">
        <f t="shared" si="2"/>
        <v/>
      </c>
      <c r="AC180">
        <v>167</v>
      </c>
      <c r="AE180" t="str">
        <f>IF(LISTADO_NOM!AN177="","",VLOOKUP(LISTADO_NOM!AN177,SEGUIMIENTOS,2,FALSE))</f>
        <v/>
      </c>
    </row>
    <row r="181" spans="26:31">
      <c r="Z181" s="89" t="str">
        <f>IF(LISTADO_NOM!K178="","",DATE(LISTADO_NOM!M178,LISTADO_NOM!L178,LISTADO_NOM!K178))</f>
        <v/>
      </c>
      <c r="AA181" s="89" t="str">
        <f>IFERROR(INDEX($Z$14:$Z$300, MATCH(0, INDEX(COUNTIF($AA$13:AA180, $Z$14:$Z$300), 0, 0), 0)), "")</f>
        <v/>
      </c>
      <c r="AB181" s="89" t="str">
        <f t="shared" si="2"/>
        <v/>
      </c>
      <c r="AC181">
        <v>168</v>
      </c>
      <c r="AE181" t="str">
        <f>IF(LISTADO_NOM!AN178="","",VLOOKUP(LISTADO_NOM!AN178,SEGUIMIENTOS,2,FALSE))</f>
        <v/>
      </c>
    </row>
    <row r="182" spans="26:31">
      <c r="Z182" s="89" t="str">
        <f>IF(LISTADO_NOM!K179="","",DATE(LISTADO_NOM!M179,LISTADO_NOM!L179,LISTADO_NOM!K179))</f>
        <v/>
      </c>
      <c r="AA182" s="89" t="str">
        <f>IFERROR(INDEX($Z$14:$Z$300, MATCH(0, INDEX(COUNTIF($AA$13:AA181, $Z$14:$Z$300), 0, 0), 0)), "")</f>
        <v/>
      </c>
      <c r="AB182" s="89" t="str">
        <f t="shared" si="2"/>
        <v/>
      </c>
      <c r="AC182">
        <v>169</v>
      </c>
      <c r="AE182" t="str">
        <f>IF(LISTADO_NOM!AN179="","",VLOOKUP(LISTADO_NOM!AN179,SEGUIMIENTOS,2,FALSE))</f>
        <v/>
      </c>
    </row>
    <row r="183" spans="26:31">
      <c r="Z183" s="89" t="str">
        <f>IF(LISTADO_NOM!K180="","",DATE(LISTADO_NOM!M180,LISTADO_NOM!L180,LISTADO_NOM!K180))</f>
        <v/>
      </c>
      <c r="AA183" s="89" t="str">
        <f>IFERROR(INDEX($Z$14:$Z$300, MATCH(0, INDEX(COUNTIF($AA$13:AA182, $Z$14:$Z$300), 0, 0), 0)), "")</f>
        <v/>
      </c>
      <c r="AB183" s="89" t="str">
        <f t="shared" si="2"/>
        <v/>
      </c>
      <c r="AC183">
        <v>170</v>
      </c>
      <c r="AE183" t="str">
        <f>IF(LISTADO_NOM!AN180="","",VLOOKUP(LISTADO_NOM!AN180,SEGUIMIENTOS,2,FALSE))</f>
        <v/>
      </c>
    </row>
    <row r="184" spans="26:31">
      <c r="Z184" s="89" t="str">
        <f>IF(LISTADO_NOM!K181="","",DATE(LISTADO_NOM!M181,LISTADO_NOM!L181,LISTADO_NOM!K181))</f>
        <v/>
      </c>
      <c r="AA184" s="89" t="str">
        <f>IFERROR(INDEX($Z$14:$Z$300, MATCH(0, INDEX(COUNTIF($AA$13:AA183, $Z$14:$Z$300), 0, 0), 0)), "")</f>
        <v/>
      </c>
      <c r="AB184" s="89" t="str">
        <f t="shared" si="2"/>
        <v/>
      </c>
      <c r="AC184">
        <v>171</v>
      </c>
      <c r="AE184" t="str">
        <f>IF(LISTADO_NOM!AN181="","",VLOOKUP(LISTADO_NOM!AN181,SEGUIMIENTOS,2,FALSE))</f>
        <v/>
      </c>
    </row>
    <row r="185" spans="26:31">
      <c r="Z185" s="89" t="str">
        <f>IF(LISTADO_NOM!K182="","",DATE(LISTADO_NOM!M182,LISTADO_NOM!L182,LISTADO_NOM!K182))</f>
        <v/>
      </c>
      <c r="AA185" s="89" t="str">
        <f>IFERROR(INDEX($Z$14:$Z$300, MATCH(0, INDEX(COUNTIF($AA$13:AA184, $Z$14:$Z$300), 0, 0), 0)), "")</f>
        <v/>
      </c>
      <c r="AB185" s="89" t="str">
        <f t="shared" si="2"/>
        <v/>
      </c>
      <c r="AC185">
        <v>172</v>
      </c>
      <c r="AE185" t="str">
        <f>IF(LISTADO_NOM!AN182="","",VLOOKUP(LISTADO_NOM!AN182,SEGUIMIENTOS,2,FALSE))</f>
        <v/>
      </c>
    </row>
    <row r="186" spans="26:31">
      <c r="Z186" s="89" t="str">
        <f>IF(LISTADO_NOM!K183="","",DATE(LISTADO_NOM!M183,LISTADO_NOM!L183,LISTADO_NOM!K183))</f>
        <v/>
      </c>
      <c r="AA186" s="89" t="str">
        <f>IFERROR(INDEX($Z$14:$Z$300, MATCH(0, INDEX(COUNTIF($AA$13:AA185, $Z$14:$Z$300), 0, 0), 0)), "")</f>
        <v/>
      </c>
      <c r="AB186" s="89" t="str">
        <f t="shared" si="2"/>
        <v/>
      </c>
      <c r="AC186">
        <v>173</v>
      </c>
      <c r="AE186" t="str">
        <f>IF(LISTADO_NOM!AN183="","",VLOOKUP(LISTADO_NOM!AN183,SEGUIMIENTOS,2,FALSE))</f>
        <v/>
      </c>
    </row>
    <row r="187" spans="26:31">
      <c r="Z187" s="89" t="str">
        <f>IF(LISTADO_NOM!K184="","",DATE(LISTADO_NOM!M184,LISTADO_NOM!L184,LISTADO_NOM!K184))</f>
        <v/>
      </c>
      <c r="AA187" s="89" t="str">
        <f>IFERROR(INDEX($Z$14:$Z$300, MATCH(0, INDEX(COUNTIF($AA$13:AA186, $Z$14:$Z$300), 0, 0), 0)), "")</f>
        <v/>
      </c>
      <c r="AB187" s="89" t="str">
        <f t="shared" si="2"/>
        <v/>
      </c>
      <c r="AC187">
        <v>174</v>
      </c>
      <c r="AE187" t="str">
        <f>IF(LISTADO_NOM!AN184="","",VLOOKUP(LISTADO_NOM!AN184,SEGUIMIENTOS,2,FALSE))</f>
        <v/>
      </c>
    </row>
    <row r="188" spans="26:31">
      <c r="Z188" s="89" t="str">
        <f>IF(LISTADO_NOM!K185="","",DATE(LISTADO_NOM!M185,LISTADO_NOM!L185,LISTADO_NOM!K185))</f>
        <v/>
      </c>
      <c r="AA188" s="89" t="str">
        <f>IFERROR(INDEX($Z$14:$Z$300, MATCH(0, INDEX(COUNTIF($AA$13:AA187, $Z$14:$Z$300), 0, 0), 0)), "")</f>
        <v/>
      </c>
      <c r="AB188" s="89" t="str">
        <f t="shared" si="2"/>
        <v/>
      </c>
      <c r="AC188">
        <v>175</v>
      </c>
      <c r="AE188" t="str">
        <f>IF(LISTADO_NOM!AN185="","",VLOOKUP(LISTADO_NOM!AN185,SEGUIMIENTOS,2,FALSE))</f>
        <v/>
      </c>
    </row>
    <row r="189" spans="26:31">
      <c r="Z189" s="89" t="str">
        <f>IF(LISTADO_NOM!K186="","",DATE(LISTADO_NOM!M186,LISTADO_NOM!L186,LISTADO_NOM!K186))</f>
        <v/>
      </c>
      <c r="AA189" s="89" t="str">
        <f>IFERROR(INDEX($Z$14:$Z$300, MATCH(0, INDEX(COUNTIF($AA$13:AA188, $Z$14:$Z$300), 0, 0), 0)), "")</f>
        <v/>
      </c>
      <c r="AB189" s="89" t="str">
        <f t="shared" si="2"/>
        <v/>
      </c>
      <c r="AC189">
        <v>176</v>
      </c>
      <c r="AE189" t="str">
        <f>IF(LISTADO_NOM!AN186="","",VLOOKUP(LISTADO_NOM!AN186,SEGUIMIENTOS,2,FALSE))</f>
        <v/>
      </c>
    </row>
    <row r="190" spans="26:31">
      <c r="Z190" s="89" t="str">
        <f>IF(LISTADO_NOM!K187="","",DATE(LISTADO_NOM!M187,LISTADO_NOM!L187,LISTADO_NOM!K187))</f>
        <v/>
      </c>
      <c r="AA190" s="89" t="str">
        <f>IFERROR(INDEX($Z$14:$Z$300, MATCH(0, INDEX(COUNTIF($AA$13:AA189, $Z$14:$Z$300), 0, 0), 0)), "")</f>
        <v/>
      </c>
      <c r="AB190" s="89" t="str">
        <f t="shared" si="2"/>
        <v/>
      </c>
      <c r="AC190">
        <v>177</v>
      </c>
      <c r="AE190" t="str">
        <f>IF(LISTADO_NOM!AN187="","",VLOOKUP(LISTADO_NOM!AN187,SEGUIMIENTOS,2,FALSE))</f>
        <v/>
      </c>
    </row>
    <row r="191" spans="26:31">
      <c r="Z191" s="89" t="str">
        <f>IF(LISTADO_NOM!K188="","",DATE(LISTADO_NOM!M188,LISTADO_NOM!L188,LISTADO_NOM!K188))</f>
        <v/>
      </c>
      <c r="AA191" s="89" t="str">
        <f>IFERROR(INDEX($Z$14:$Z$300, MATCH(0, INDEX(COUNTIF($AA$13:AA190, $Z$14:$Z$300), 0, 0), 0)), "")</f>
        <v/>
      </c>
      <c r="AB191" s="89" t="str">
        <f t="shared" si="2"/>
        <v/>
      </c>
      <c r="AC191">
        <v>178</v>
      </c>
      <c r="AE191" t="str">
        <f>IF(LISTADO_NOM!AN188="","",VLOOKUP(LISTADO_NOM!AN188,SEGUIMIENTOS,2,FALSE))</f>
        <v/>
      </c>
    </row>
    <row r="192" spans="26:31">
      <c r="Z192" s="89" t="str">
        <f>IF(LISTADO_NOM!K189="","",DATE(LISTADO_NOM!M189,LISTADO_NOM!L189,LISTADO_NOM!K189))</f>
        <v/>
      </c>
      <c r="AA192" s="89" t="str">
        <f>IFERROR(INDEX($Z$14:$Z$300, MATCH(0, INDEX(COUNTIF($AA$13:AA191, $Z$14:$Z$300), 0, 0), 0)), "")</f>
        <v/>
      </c>
      <c r="AB192" s="89" t="str">
        <f t="shared" si="2"/>
        <v/>
      </c>
      <c r="AC192">
        <v>179</v>
      </c>
      <c r="AE192" t="str">
        <f>IF(LISTADO_NOM!AN189="","",VLOOKUP(LISTADO_NOM!AN189,SEGUIMIENTOS,2,FALSE))</f>
        <v/>
      </c>
    </row>
    <row r="193" spans="26:31">
      <c r="Z193" s="89" t="str">
        <f>IF(LISTADO_NOM!K190="","",DATE(LISTADO_NOM!M190,LISTADO_NOM!L190,LISTADO_NOM!K190))</f>
        <v/>
      </c>
      <c r="AA193" s="89" t="str">
        <f>IFERROR(INDEX($Z$14:$Z$300, MATCH(0, INDEX(COUNTIF($AA$13:AA192, $Z$14:$Z$300), 0, 0), 0)), "")</f>
        <v/>
      </c>
      <c r="AB193" s="89" t="str">
        <f t="shared" si="2"/>
        <v/>
      </c>
      <c r="AC193">
        <v>180</v>
      </c>
      <c r="AE193" t="str">
        <f>IF(LISTADO_NOM!AN190="","",VLOOKUP(LISTADO_NOM!AN190,SEGUIMIENTOS,2,FALSE))</f>
        <v/>
      </c>
    </row>
    <row r="194" spans="26:31">
      <c r="Z194" s="89" t="str">
        <f>IF(LISTADO_NOM!K191="","",DATE(LISTADO_NOM!M191,LISTADO_NOM!L191,LISTADO_NOM!K191))</f>
        <v/>
      </c>
      <c r="AA194" s="89" t="str">
        <f>IFERROR(INDEX($Z$14:$Z$300, MATCH(0, INDEX(COUNTIF($AA$13:AA193, $Z$14:$Z$300), 0, 0), 0)), "")</f>
        <v/>
      </c>
      <c r="AB194" s="89" t="str">
        <f t="shared" si="2"/>
        <v/>
      </c>
      <c r="AC194">
        <v>181</v>
      </c>
      <c r="AE194" t="str">
        <f>IF(LISTADO_NOM!AN191="","",VLOOKUP(LISTADO_NOM!AN191,SEGUIMIENTOS,2,FALSE))</f>
        <v/>
      </c>
    </row>
    <row r="195" spans="26:31">
      <c r="Z195" s="89" t="str">
        <f>IF(LISTADO_NOM!K192="","",DATE(LISTADO_NOM!M192,LISTADO_NOM!L192,LISTADO_NOM!K192))</f>
        <v/>
      </c>
      <c r="AA195" s="89" t="str">
        <f>IFERROR(INDEX($Z$14:$Z$300, MATCH(0, INDEX(COUNTIF($AA$13:AA194, $Z$14:$Z$300), 0, 0), 0)), "")</f>
        <v/>
      </c>
      <c r="AB195" s="89" t="str">
        <f t="shared" si="2"/>
        <v/>
      </c>
      <c r="AC195">
        <v>182</v>
      </c>
      <c r="AE195" t="str">
        <f>IF(LISTADO_NOM!AN192="","",VLOOKUP(LISTADO_NOM!AN192,SEGUIMIENTOS,2,FALSE))</f>
        <v/>
      </c>
    </row>
    <row r="196" spans="26:31">
      <c r="Z196" s="89" t="str">
        <f>IF(LISTADO_NOM!K193="","",DATE(LISTADO_NOM!M193,LISTADO_NOM!L193,LISTADO_NOM!K193))</f>
        <v/>
      </c>
      <c r="AA196" s="89" t="str">
        <f>IFERROR(INDEX($Z$14:$Z$300, MATCH(0, INDEX(COUNTIF($AA$13:AA195, $Z$14:$Z$300), 0, 0), 0)), "")</f>
        <v/>
      </c>
      <c r="AB196" s="89" t="str">
        <f t="shared" si="2"/>
        <v/>
      </c>
      <c r="AC196">
        <v>183</v>
      </c>
      <c r="AE196" t="str">
        <f>IF(LISTADO_NOM!AN193="","",VLOOKUP(LISTADO_NOM!AN193,SEGUIMIENTOS,2,FALSE))</f>
        <v/>
      </c>
    </row>
    <row r="197" spans="26:31">
      <c r="Z197" s="89" t="str">
        <f>IF(LISTADO_NOM!K194="","",DATE(LISTADO_NOM!M194,LISTADO_NOM!L194,LISTADO_NOM!K194))</f>
        <v/>
      </c>
      <c r="AA197" s="89" t="str">
        <f>IFERROR(INDEX($Z$14:$Z$300, MATCH(0, INDEX(COUNTIF($AA$13:AA196, $Z$14:$Z$300), 0, 0), 0)), "")</f>
        <v/>
      </c>
      <c r="AB197" s="89" t="str">
        <f t="shared" si="2"/>
        <v/>
      </c>
      <c r="AC197">
        <v>184</v>
      </c>
      <c r="AE197" t="str">
        <f>IF(LISTADO_NOM!AN194="","",VLOOKUP(LISTADO_NOM!AN194,SEGUIMIENTOS,2,FALSE))</f>
        <v/>
      </c>
    </row>
    <row r="198" spans="26:31">
      <c r="Z198" s="89" t="str">
        <f>IF(LISTADO_NOM!K195="","",DATE(LISTADO_NOM!M195,LISTADO_NOM!L195,LISTADO_NOM!K195))</f>
        <v/>
      </c>
      <c r="AA198" s="89" t="str">
        <f>IFERROR(INDEX($Z$14:$Z$300, MATCH(0, INDEX(COUNTIF($AA$13:AA197, $Z$14:$Z$300), 0, 0), 0)), "")</f>
        <v/>
      </c>
      <c r="AB198" s="89" t="str">
        <f t="shared" si="2"/>
        <v/>
      </c>
      <c r="AC198">
        <v>185</v>
      </c>
      <c r="AE198" t="str">
        <f>IF(LISTADO_NOM!AN195="","",VLOOKUP(LISTADO_NOM!AN195,SEGUIMIENTOS,2,FALSE))</f>
        <v/>
      </c>
    </row>
    <row r="199" spans="26:31">
      <c r="Z199" s="89" t="str">
        <f>IF(LISTADO_NOM!K196="","",DATE(LISTADO_NOM!M196,LISTADO_NOM!L196,LISTADO_NOM!K196))</f>
        <v/>
      </c>
      <c r="AA199" s="89" t="str">
        <f>IFERROR(INDEX($Z$14:$Z$300, MATCH(0, INDEX(COUNTIF($AA$13:AA198, $Z$14:$Z$300), 0, 0), 0)), "")</f>
        <v/>
      </c>
      <c r="AB199" s="89" t="str">
        <f t="shared" si="2"/>
        <v/>
      </c>
      <c r="AC199">
        <v>186</v>
      </c>
      <c r="AE199" t="str">
        <f>IF(LISTADO_NOM!AN196="","",VLOOKUP(LISTADO_NOM!AN196,SEGUIMIENTOS,2,FALSE))</f>
        <v/>
      </c>
    </row>
    <row r="200" spans="26:31">
      <c r="Z200" s="89" t="str">
        <f>IF(LISTADO_NOM!K197="","",DATE(LISTADO_NOM!M197,LISTADO_NOM!L197,LISTADO_NOM!K197))</f>
        <v/>
      </c>
      <c r="AA200" s="89" t="str">
        <f>IFERROR(INDEX($Z$14:$Z$300, MATCH(0, INDEX(COUNTIF($AA$13:AA199, $Z$14:$Z$300), 0, 0), 0)), "")</f>
        <v/>
      </c>
      <c r="AB200" s="89" t="str">
        <f t="shared" si="2"/>
        <v/>
      </c>
      <c r="AC200">
        <v>187</v>
      </c>
      <c r="AE200" t="str">
        <f>IF(LISTADO_NOM!AN197="","",VLOOKUP(LISTADO_NOM!AN197,SEGUIMIENTOS,2,FALSE))</f>
        <v/>
      </c>
    </row>
    <row r="201" spans="26:31">
      <c r="Z201" s="89" t="str">
        <f>IF(LISTADO_NOM!K198="","",DATE(LISTADO_NOM!M198,LISTADO_NOM!L198,LISTADO_NOM!K198))</f>
        <v/>
      </c>
      <c r="AA201" s="89" t="str">
        <f>IFERROR(INDEX($Z$14:$Z$300, MATCH(0, INDEX(COUNTIF($AA$13:AA200, $Z$14:$Z$300), 0, 0), 0)), "")</f>
        <v/>
      </c>
      <c r="AB201" s="89" t="str">
        <f t="shared" si="2"/>
        <v/>
      </c>
      <c r="AC201">
        <v>188</v>
      </c>
      <c r="AE201" t="str">
        <f>IF(LISTADO_NOM!AN198="","",VLOOKUP(LISTADO_NOM!AN198,SEGUIMIENTOS,2,FALSE))</f>
        <v/>
      </c>
    </row>
    <row r="202" spans="26:31">
      <c r="Z202" s="89" t="str">
        <f>IF(LISTADO_NOM!K199="","",DATE(LISTADO_NOM!M199,LISTADO_NOM!L199,LISTADO_NOM!K199))</f>
        <v/>
      </c>
      <c r="AA202" s="89" t="str">
        <f>IFERROR(INDEX($Z$14:$Z$300, MATCH(0, INDEX(COUNTIF($AA$13:AA201, $Z$14:$Z$300), 0, 0), 0)), "")</f>
        <v/>
      </c>
      <c r="AB202" s="89" t="str">
        <f t="shared" si="2"/>
        <v/>
      </c>
      <c r="AC202">
        <v>189</v>
      </c>
      <c r="AE202" t="str">
        <f>IF(LISTADO_NOM!AN199="","",VLOOKUP(LISTADO_NOM!AN199,SEGUIMIENTOS,2,FALSE))</f>
        <v/>
      </c>
    </row>
    <row r="203" spans="26:31">
      <c r="Z203" s="89" t="str">
        <f>IF(LISTADO_NOM!K200="","",DATE(LISTADO_NOM!M200,LISTADO_NOM!L200,LISTADO_NOM!K200))</f>
        <v/>
      </c>
      <c r="AA203" s="89" t="str">
        <f>IFERROR(INDEX($Z$14:$Z$300, MATCH(0, INDEX(COUNTIF($AA$13:AA202, $Z$14:$Z$300), 0, 0), 0)), "")</f>
        <v/>
      </c>
      <c r="AB203" s="89" t="str">
        <f t="shared" si="2"/>
        <v/>
      </c>
      <c r="AC203">
        <v>190</v>
      </c>
      <c r="AE203" t="str">
        <f>IF(LISTADO_NOM!AN200="","",VLOOKUP(LISTADO_NOM!AN200,SEGUIMIENTOS,2,FALSE))</f>
        <v/>
      </c>
    </row>
    <row r="204" spans="26:31">
      <c r="Z204" s="89" t="str">
        <f>IF(LISTADO_NOM!K201="","",DATE(LISTADO_NOM!M201,LISTADO_NOM!L201,LISTADO_NOM!K201))</f>
        <v/>
      </c>
      <c r="AA204" s="89" t="str">
        <f>IFERROR(INDEX($Z$14:$Z$300, MATCH(0, INDEX(COUNTIF($AA$13:AA203, $Z$14:$Z$300), 0, 0), 0)), "")</f>
        <v/>
      </c>
      <c r="AB204" s="89" t="str">
        <f t="shared" si="2"/>
        <v/>
      </c>
      <c r="AC204">
        <v>191</v>
      </c>
      <c r="AE204" t="str">
        <f>IF(LISTADO_NOM!AN201="","",VLOOKUP(LISTADO_NOM!AN201,SEGUIMIENTOS,2,FALSE))</f>
        <v/>
      </c>
    </row>
    <row r="205" spans="26:31">
      <c r="Z205" s="89" t="str">
        <f>IF(LISTADO_NOM!K202="","",DATE(LISTADO_NOM!M202,LISTADO_NOM!L202,LISTADO_NOM!K202))</f>
        <v/>
      </c>
      <c r="AA205" s="89" t="str">
        <f>IFERROR(INDEX($Z$14:$Z$300, MATCH(0, INDEX(COUNTIF($AA$13:AA204, $Z$14:$Z$300), 0, 0), 0)), "")</f>
        <v/>
      </c>
      <c r="AB205" s="89" t="str">
        <f t="shared" si="2"/>
        <v/>
      </c>
      <c r="AC205">
        <v>192</v>
      </c>
      <c r="AE205" t="str">
        <f>IF(LISTADO_NOM!AN202="","",VLOOKUP(LISTADO_NOM!AN202,SEGUIMIENTOS,2,FALSE))</f>
        <v/>
      </c>
    </row>
    <row r="206" spans="26:31">
      <c r="Z206" s="89" t="str">
        <f>IF(LISTADO_NOM!K203="","",DATE(LISTADO_NOM!M203,LISTADO_NOM!L203,LISTADO_NOM!K203))</f>
        <v/>
      </c>
      <c r="AA206" s="89" t="str">
        <f>IFERROR(INDEX($Z$14:$Z$300, MATCH(0, INDEX(COUNTIF($AA$13:AA205, $Z$14:$Z$300), 0, 0), 0)), "")</f>
        <v/>
      </c>
      <c r="AB206" s="89" t="str">
        <f t="shared" ref="AB206:AB269" si="3">IF(AA206="","",SMALL(ORDENA_,AC206))</f>
        <v/>
      </c>
      <c r="AC206">
        <v>193</v>
      </c>
      <c r="AE206" t="str">
        <f>IF(LISTADO_NOM!AN203="","",VLOOKUP(LISTADO_NOM!AN203,SEGUIMIENTOS,2,FALSE))</f>
        <v/>
      </c>
    </row>
    <row r="207" spans="26:31">
      <c r="Z207" s="89" t="str">
        <f>IF(LISTADO_NOM!K204="","",DATE(LISTADO_NOM!M204,LISTADO_NOM!L204,LISTADO_NOM!K204))</f>
        <v/>
      </c>
      <c r="AA207" s="89" t="str">
        <f>IFERROR(INDEX($Z$14:$Z$300, MATCH(0, INDEX(COUNTIF($AA$13:AA206, $Z$14:$Z$300), 0, 0), 0)), "")</f>
        <v/>
      </c>
      <c r="AB207" s="89" t="str">
        <f t="shared" si="3"/>
        <v/>
      </c>
      <c r="AC207">
        <v>194</v>
      </c>
      <c r="AE207" t="str">
        <f>IF(LISTADO_NOM!AN204="","",VLOOKUP(LISTADO_NOM!AN204,SEGUIMIENTOS,2,FALSE))</f>
        <v/>
      </c>
    </row>
    <row r="208" spans="26:31">
      <c r="Z208" s="89" t="str">
        <f>IF(LISTADO_NOM!K205="","",DATE(LISTADO_NOM!M205,LISTADO_NOM!L205,LISTADO_NOM!K205))</f>
        <v/>
      </c>
      <c r="AA208" s="89" t="str">
        <f>IFERROR(INDEX($Z$14:$Z$300, MATCH(0, INDEX(COUNTIF($AA$13:AA207, $Z$14:$Z$300), 0, 0), 0)), "")</f>
        <v/>
      </c>
      <c r="AB208" s="89" t="str">
        <f t="shared" si="3"/>
        <v/>
      </c>
      <c r="AC208">
        <v>195</v>
      </c>
      <c r="AE208" t="str">
        <f>IF(LISTADO_NOM!AN205="","",VLOOKUP(LISTADO_NOM!AN205,SEGUIMIENTOS,2,FALSE))</f>
        <v/>
      </c>
    </row>
    <row r="209" spans="26:31">
      <c r="Z209" s="89" t="str">
        <f>IF(LISTADO_NOM!K206="","",DATE(LISTADO_NOM!M206,LISTADO_NOM!L206,LISTADO_NOM!K206))</f>
        <v/>
      </c>
      <c r="AA209" s="89" t="str">
        <f>IFERROR(INDEX($Z$14:$Z$300, MATCH(0, INDEX(COUNTIF($AA$13:AA208, $Z$14:$Z$300), 0, 0), 0)), "")</f>
        <v/>
      </c>
      <c r="AB209" s="89" t="str">
        <f t="shared" si="3"/>
        <v/>
      </c>
      <c r="AC209">
        <v>196</v>
      </c>
      <c r="AE209" t="str">
        <f>IF(LISTADO_NOM!AN206="","",VLOOKUP(LISTADO_NOM!AN206,SEGUIMIENTOS,2,FALSE))</f>
        <v/>
      </c>
    </row>
    <row r="210" spans="26:31">
      <c r="Z210" s="89" t="str">
        <f>IF(LISTADO_NOM!K207="","",DATE(LISTADO_NOM!M207,LISTADO_NOM!L207,LISTADO_NOM!K207))</f>
        <v/>
      </c>
      <c r="AA210" s="89" t="str">
        <f>IFERROR(INDEX($Z$14:$Z$300, MATCH(0, INDEX(COUNTIF($AA$13:AA209, $Z$14:$Z$300), 0, 0), 0)), "")</f>
        <v/>
      </c>
      <c r="AB210" s="89" t="str">
        <f t="shared" si="3"/>
        <v/>
      </c>
      <c r="AC210">
        <v>197</v>
      </c>
      <c r="AE210" t="str">
        <f>IF(LISTADO_NOM!AN207="","",VLOOKUP(LISTADO_NOM!AN207,SEGUIMIENTOS,2,FALSE))</f>
        <v/>
      </c>
    </row>
    <row r="211" spans="26:31">
      <c r="Z211" s="89" t="str">
        <f>IF(LISTADO_NOM!K208="","",DATE(LISTADO_NOM!M208,LISTADO_NOM!L208,LISTADO_NOM!K208))</f>
        <v/>
      </c>
      <c r="AA211" s="89" t="str">
        <f>IFERROR(INDEX($Z$14:$Z$300, MATCH(0, INDEX(COUNTIF($AA$13:AA210, $Z$14:$Z$300), 0, 0), 0)), "")</f>
        <v/>
      </c>
      <c r="AB211" s="89" t="str">
        <f t="shared" si="3"/>
        <v/>
      </c>
      <c r="AC211">
        <v>198</v>
      </c>
      <c r="AE211" t="str">
        <f>IF(LISTADO_NOM!AN208="","",VLOOKUP(LISTADO_NOM!AN208,SEGUIMIENTOS,2,FALSE))</f>
        <v/>
      </c>
    </row>
    <row r="212" spans="26:31">
      <c r="Z212" s="89" t="str">
        <f>IF(LISTADO_NOM!K209="","",DATE(LISTADO_NOM!M209,LISTADO_NOM!L209,LISTADO_NOM!K209))</f>
        <v/>
      </c>
      <c r="AA212" s="89" t="str">
        <f>IFERROR(INDEX($Z$14:$Z$300, MATCH(0, INDEX(COUNTIF($AA$13:AA211, $Z$14:$Z$300), 0, 0), 0)), "")</f>
        <v/>
      </c>
      <c r="AB212" s="89" t="str">
        <f t="shared" si="3"/>
        <v/>
      </c>
      <c r="AC212">
        <v>199</v>
      </c>
      <c r="AE212" t="str">
        <f>IF(LISTADO_NOM!AN209="","",VLOOKUP(LISTADO_NOM!AN209,SEGUIMIENTOS,2,FALSE))</f>
        <v/>
      </c>
    </row>
    <row r="213" spans="26:31">
      <c r="Z213" s="89" t="str">
        <f>IF(LISTADO_NOM!K210="","",DATE(LISTADO_NOM!M210,LISTADO_NOM!L210,LISTADO_NOM!K210))</f>
        <v/>
      </c>
      <c r="AA213" s="89" t="str">
        <f>IFERROR(INDEX($Z$14:$Z$300, MATCH(0, INDEX(COUNTIF($AA$13:AA212, $Z$14:$Z$300), 0, 0), 0)), "")</f>
        <v/>
      </c>
      <c r="AB213" s="89" t="str">
        <f t="shared" si="3"/>
        <v/>
      </c>
      <c r="AC213">
        <v>200</v>
      </c>
      <c r="AE213" t="str">
        <f>IF(LISTADO_NOM!AN210="","",VLOOKUP(LISTADO_NOM!AN210,SEGUIMIENTOS,2,FALSE))</f>
        <v/>
      </c>
    </row>
    <row r="214" spans="26:31">
      <c r="Z214" s="89" t="str">
        <f>IF(LISTADO_NOM!K211="","",DATE(LISTADO_NOM!M211,LISTADO_NOM!L211,LISTADO_NOM!K211))</f>
        <v/>
      </c>
      <c r="AA214" s="89" t="str">
        <f>IFERROR(INDEX($Z$14:$Z$300, MATCH(0, INDEX(COUNTIF($AA$13:AA213, $Z$14:$Z$300), 0, 0), 0)), "")</f>
        <v/>
      </c>
      <c r="AB214" s="89" t="str">
        <f t="shared" si="3"/>
        <v/>
      </c>
      <c r="AC214">
        <v>201</v>
      </c>
      <c r="AE214" t="str">
        <f>IF(LISTADO_NOM!AN211="","",VLOOKUP(LISTADO_NOM!AN211,SEGUIMIENTOS,2,FALSE))</f>
        <v/>
      </c>
    </row>
    <row r="215" spans="26:31">
      <c r="Z215" s="89" t="str">
        <f>IF(LISTADO_NOM!K212="","",DATE(LISTADO_NOM!M212,LISTADO_NOM!L212,LISTADO_NOM!K212))</f>
        <v/>
      </c>
      <c r="AA215" s="89" t="str">
        <f>IFERROR(INDEX($Z$14:$Z$300, MATCH(0, INDEX(COUNTIF($AA$13:AA214, $Z$14:$Z$300), 0, 0), 0)), "")</f>
        <v/>
      </c>
      <c r="AB215" s="89" t="str">
        <f t="shared" si="3"/>
        <v/>
      </c>
      <c r="AC215">
        <v>202</v>
      </c>
      <c r="AE215" t="str">
        <f>IF(LISTADO_NOM!AN212="","",VLOOKUP(LISTADO_NOM!AN212,SEGUIMIENTOS,2,FALSE))</f>
        <v/>
      </c>
    </row>
    <row r="216" spans="26:31">
      <c r="Z216" s="89" t="str">
        <f>IF(LISTADO_NOM!K213="","",DATE(LISTADO_NOM!M213,LISTADO_NOM!L213,LISTADO_NOM!K213))</f>
        <v/>
      </c>
      <c r="AA216" s="89" t="str">
        <f>IFERROR(INDEX($Z$14:$Z$300, MATCH(0, INDEX(COUNTIF($AA$13:AA215, $Z$14:$Z$300), 0, 0), 0)), "")</f>
        <v/>
      </c>
      <c r="AB216" s="89" t="str">
        <f t="shared" si="3"/>
        <v/>
      </c>
      <c r="AC216">
        <v>203</v>
      </c>
      <c r="AE216" t="str">
        <f>IF(LISTADO_NOM!AN213="","",VLOOKUP(LISTADO_NOM!AN213,SEGUIMIENTOS,2,FALSE))</f>
        <v/>
      </c>
    </row>
    <row r="217" spans="26:31">
      <c r="Z217" s="89" t="str">
        <f>IF(LISTADO_NOM!K214="","",DATE(LISTADO_NOM!M214,LISTADO_NOM!L214,LISTADO_NOM!K214))</f>
        <v/>
      </c>
      <c r="AA217" s="89" t="str">
        <f>IFERROR(INDEX($Z$14:$Z$300, MATCH(0, INDEX(COUNTIF($AA$13:AA216, $Z$14:$Z$300), 0, 0), 0)), "")</f>
        <v/>
      </c>
      <c r="AB217" s="89" t="str">
        <f t="shared" si="3"/>
        <v/>
      </c>
      <c r="AC217">
        <v>204</v>
      </c>
      <c r="AE217" t="str">
        <f>IF(LISTADO_NOM!AN214="","",VLOOKUP(LISTADO_NOM!AN214,SEGUIMIENTOS,2,FALSE))</f>
        <v/>
      </c>
    </row>
    <row r="218" spans="26:31">
      <c r="Z218" s="89" t="str">
        <f>IF(LISTADO_NOM!K215="","",DATE(LISTADO_NOM!M215,LISTADO_NOM!L215,LISTADO_NOM!K215))</f>
        <v/>
      </c>
      <c r="AA218" s="89" t="str">
        <f>IFERROR(INDEX($Z$14:$Z$300, MATCH(0, INDEX(COUNTIF($AA$13:AA217, $Z$14:$Z$300), 0, 0), 0)), "")</f>
        <v/>
      </c>
      <c r="AB218" s="89" t="str">
        <f t="shared" si="3"/>
        <v/>
      </c>
      <c r="AC218">
        <v>205</v>
      </c>
      <c r="AE218" t="str">
        <f>IF(LISTADO_NOM!AN215="","",VLOOKUP(LISTADO_NOM!AN215,SEGUIMIENTOS,2,FALSE))</f>
        <v/>
      </c>
    </row>
    <row r="219" spans="26:31">
      <c r="Z219" s="89" t="str">
        <f>IF(LISTADO_NOM!K216="","",DATE(LISTADO_NOM!M216,LISTADO_NOM!L216,LISTADO_NOM!K216))</f>
        <v/>
      </c>
      <c r="AA219" s="89" t="str">
        <f>IFERROR(INDEX($Z$14:$Z$300, MATCH(0, INDEX(COUNTIF($AA$13:AA218, $Z$14:$Z$300), 0, 0), 0)), "")</f>
        <v/>
      </c>
      <c r="AB219" s="89" t="str">
        <f t="shared" si="3"/>
        <v/>
      </c>
      <c r="AC219">
        <v>206</v>
      </c>
      <c r="AE219" t="str">
        <f>IF(LISTADO_NOM!AN216="","",VLOOKUP(LISTADO_NOM!AN216,SEGUIMIENTOS,2,FALSE))</f>
        <v/>
      </c>
    </row>
    <row r="220" spans="26:31">
      <c r="Z220" s="89" t="str">
        <f>IF(LISTADO_NOM!K217="","",DATE(LISTADO_NOM!M217,LISTADO_NOM!L217,LISTADO_NOM!K217))</f>
        <v/>
      </c>
      <c r="AA220" s="89" t="str">
        <f>IFERROR(INDEX($Z$14:$Z$300, MATCH(0, INDEX(COUNTIF($AA$13:AA219, $Z$14:$Z$300), 0, 0), 0)), "")</f>
        <v/>
      </c>
      <c r="AB220" s="89" t="str">
        <f t="shared" si="3"/>
        <v/>
      </c>
      <c r="AC220">
        <v>207</v>
      </c>
      <c r="AE220" t="str">
        <f>IF(LISTADO_NOM!AN217="","",VLOOKUP(LISTADO_NOM!AN217,SEGUIMIENTOS,2,FALSE))</f>
        <v/>
      </c>
    </row>
    <row r="221" spans="26:31">
      <c r="Z221" s="89" t="str">
        <f>IF(LISTADO_NOM!K218="","",DATE(LISTADO_NOM!M218,LISTADO_NOM!L218,LISTADO_NOM!K218))</f>
        <v/>
      </c>
      <c r="AA221" s="89" t="str">
        <f>IFERROR(INDEX($Z$14:$Z$300, MATCH(0, INDEX(COUNTIF($AA$13:AA220, $Z$14:$Z$300), 0, 0), 0)), "")</f>
        <v/>
      </c>
      <c r="AB221" s="89" t="str">
        <f t="shared" si="3"/>
        <v/>
      </c>
      <c r="AC221">
        <v>208</v>
      </c>
      <c r="AE221" t="str">
        <f>IF(LISTADO_NOM!AN218="","",VLOOKUP(LISTADO_NOM!AN218,SEGUIMIENTOS,2,FALSE))</f>
        <v/>
      </c>
    </row>
    <row r="222" spans="26:31">
      <c r="Z222" s="89" t="str">
        <f>IF(LISTADO_NOM!K219="","",DATE(LISTADO_NOM!M219,LISTADO_NOM!L219,LISTADO_NOM!K219))</f>
        <v/>
      </c>
      <c r="AA222" s="89" t="str">
        <f>IFERROR(INDEX($Z$14:$Z$300, MATCH(0, INDEX(COUNTIF($AA$13:AA221, $Z$14:$Z$300), 0, 0), 0)), "")</f>
        <v/>
      </c>
      <c r="AB222" s="89" t="str">
        <f t="shared" si="3"/>
        <v/>
      </c>
      <c r="AC222">
        <v>209</v>
      </c>
      <c r="AE222" t="str">
        <f>IF(LISTADO_NOM!AN219="","",VLOOKUP(LISTADO_NOM!AN219,SEGUIMIENTOS,2,FALSE))</f>
        <v/>
      </c>
    </row>
    <row r="223" spans="26:31">
      <c r="Z223" s="89" t="str">
        <f>IF(LISTADO_NOM!K220="","",DATE(LISTADO_NOM!M220,LISTADO_NOM!L220,LISTADO_NOM!K220))</f>
        <v/>
      </c>
      <c r="AA223" s="89" t="str">
        <f>IFERROR(INDEX($Z$14:$Z$300, MATCH(0, INDEX(COUNTIF($AA$13:AA222, $Z$14:$Z$300), 0, 0), 0)), "")</f>
        <v/>
      </c>
      <c r="AB223" s="89" t="str">
        <f t="shared" si="3"/>
        <v/>
      </c>
      <c r="AC223">
        <v>210</v>
      </c>
      <c r="AE223" t="str">
        <f>IF(LISTADO_NOM!AN220="","",VLOOKUP(LISTADO_NOM!AN220,SEGUIMIENTOS,2,FALSE))</f>
        <v/>
      </c>
    </row>
    <row r="224" spans="26:31">
      <c r="Z224" s="89" t="str">
        <f>IF(LISTADO_NOM!K221="","",DATE(LISTADO_NOM!M221,LISTADO_NOM!L221,LISTADO_NOM!K221))</f>
        <v/>
      </c>
      <c r="AA224" s="89" t="str">
        <f>IFERROR(INDEX($Z$14:$Z$300, MATCH(0, INDEX(COUNTIF($AA$13:AA223, $Z$14:$Z$300), 0, 0), 0)), "")</f>
        <v/>
      </c>
      <c r="AB224" s="89" t="str">
        <f t="shared" si="3"/>
        <v/>
      </c>
      <c r="AC224">
        <v>211</v>
      </c>
      <c r="AE224" t="str">
        <f>IF(LISTADO_NOM!AN221="","",VLOOKUP(LISTADO_NOM!AN221,SEGUIMIENTOS,2,FALSE))</f>
        <v/>
      </c>
    </row>
    <row r="225" spans="26:31">
      <c r="Z225" s="89" t="str">
        <f>IF(LISTADO_NOM!K222="","",DATE(LISTADO_NOM!M222,LISTADO_NOM!L222,LISTADO_NOM!K222))</f>
        <v/>
      </c>
      <c r="AA225" s="89" t="str">
        <f>IFERROR(INDEX($Z$14:$Z$300, MATCH(0, INDEX(COUNTIF($AA$13:AA224, $Z$14:$Z$300), 0, 0), 0)), "")</f>
        <v/>
      </c>
      <c r="AB225" s="89" t="str">
        <f t="shared" si="3"/>
        <v/>
      </c>
      <c r="AC225">
        <v>212</v>
      </c>
      <c r="AE225" t="str">
        <f>IF(LISTADO_NOM!AN222="","",VLOOKUP(LISTADO_NOM!AN222,SEGUIMIENTOS,2,FALSE))</f>
        <v/>
      </c>
    </row>
    <row r="226" spans="26:31">
      <c r="Z226" s="89" t="str">
        <f>IF(LISTADO_NOM!K223="","",DATE(LISTADO_NOM!M223,LISTADO_NOM!L223,LISTADO_NOM!K223))</f>
        <v/>
      </c>
      <c r="AA226" s="89" t="str">
        <f>IFERROR(INDEX($Z$14:$Z$300, MATCH(0, INDEX(COUNTIF($AA$13:AA225, $Z$14:$Z$300), 0, 0), 0)), "")</f>
        <v/>
      </c>
      <c r="AB226" s="89" t="str">
        <f t="shared" si="3"/>
        <v/>
      </c>
      <c r="AC226">
        <v>213</v>
      </c>
      <c r="AE226" t="str">
        <f>IF(LISTADO_NOM!AN223="","",VLOOKUP(LISTADO_NOM!AN223,SEGUIMIENTOS,2,FALSE))</f>
        <v/>
      </c>
    </row>
    <row r="227" spans="26:31">
      <c r="Z227" s="89" t="str">
        <f>IF(LISTADO_NOM!K224="","",DATE(LISTADO_NOM!M224,LISTADO_NOM!L224,LISTADO_NOM!K224))</f>
        <v/>
      </c>
      <c r="AA227" s="89" t="str">
        <f>IFERROR(INDEX($Z$14:$Z$300, MATCH(0, INDEX(COUNTIF($AA$13:AA226, $Z$14:$Z$300), 0, 0), 0)), "")</f>
        <v/>
      </c>
      <c r="AB227" s="89" t="str">
        <f t="shared" si="3"/>
        <v/>
      </c>
      <c r="AC227">
        <v>214</v>
      </c>
      <c r="AE227" t="str">
        <f>IF(LISTADO_NOM!AN224="","",VLOOKUP(LISTADO_NOM!AN224,SEGUIMIENTOS,2,FALSE))</f>
        <v/>
      </c>
    </row>
    <row r="228" spans="26:31">
      <c r="Z228" s="89" t="str">
        <f>IF(LISTADO_NOM!K225="","",DATE(LISTADO_NOM!M225,LISTADO_NOM!L225,LISTADO_NOM!K225))</f>
        <v/>
      </c>
      <c r="AA228" s="89" t="str">
        <f>IFERROR(INDEX($Z$14:$Z$300, MATCH(0, INDEX(COUNTIF($AA$13:AA227, $Z$14:$Z$300), 0, 0), 0)), "")</f>
        <v/>
      </c>
      <c r="AB228" s="89" t="str">
        <f t="shared" si="3"/>
        <v/>
      </c>
      <c r="AC228">
        <v>215</v>
      </c>
      <c r="AE228" t="str">
        <f>IF(LISTADO_NOM!AN225="","",VLOOKUP(LISTADO_NOM!AN225,SEGUIMIENTOS,2,FALSE))</f>
        <v/>
      </c>
    </row>
    <row r="229" spans="26:31">
      <c r="Z229" s="89" t="str">
        <f>IF(LISTADO_NOM!K226="","",DATE(LISTADO_NOM!M226,LISTADO_NOM!L226,LISTADO_NOM!K226))</f>
        <v/>
      </c>
      <c r="AA229" s="89" t="str">
        <f>IFERROR(INDEX($Z$14:$Z$300, MATCH(0, INDEX(COUNTIF($AA$13:AA228, $Z$14:$Z$300), 0, 0), 0)), "")</f>
        <v/>
      </c>
      <c r="AB229" s="89" t="str">
        <f t="shared" si="3"/>
        <v/>
      </c>
      <c r="AC229">
        <v>216</v>
      </c>
      <c r="AE229" t="str">
        <f>IF(LISTADO_NOM!AN226="","",VLOOKUP(LISTADO_NOM!AN226,SEGUIMIENTOS,2,FALSE))</f>
        <v/>
      </c>
    </row>
    <row r="230" spans="26:31">
      <c r="Z230" s="89" t="str">
        <f>IF(LISTADO_NOM!K227="","",DATE(LISTADO_NOM!M227,LISTADO_NOM!L227,LISTADO_NOM!K227))</f>
        <v/>
      </c>
      <c r="AA230" s="89" t="str">
        <f>IFERROR(INDEX($Z$14:$Z$300, MATCH(0, INDEX(COUNTIF($AA$13:AA229, $Z$14:$Z$300), 0, 0), 0)), "")</f>
        <v/>
      </c>
      <c r="AB230" s="89" t="str">
        <f t="shared" si="3"/>
        <v/>
      </c>
      <c r="AC230">
        <v>217</v>
      </c>
      <c r="AE230" t="str">
        <f>IF(LISTADO_NOM!AN227="","",VLOOKUP(LISTADO_NOM!AN227,SEGUIMIENTOS,2,FALSE))</f>
        <v/>
      </c>
    </row>
    <row r="231" spans="26:31">
      <c r="Z231" s="89" t="str">
        <f>IF(LISTADO_NOM!K228="","",DATE(LISTADO_NOM!M228,LISTADO_NOM!L228,LISTADO_NOM!K228))</f>
        <v/>
      </c>
      <c r="AA231" s="89" t="str">
        <f>IFERROR(INDEX($Z$14:$Z$300, MATCH(0, INDEX(COUNTIF($AA$13:AA230, $Z$14:$Z$300), 0, 0), 0)), "")</f>
        <v/>
      </c>
      <c r="AB231" s="89" t="str">
        <f t="shared" si="3"/>
        <v/>
      </c>
      <c r="AC231">
        <v>218</v>
      </c>
      <c r="AE231" t="str">
        <f>IF(LISTADO_NOM!AN228="","",VLOOKUP(LISTADO_NOM!AN228,SEGUIMIENTOS,2,FALSE))</f>
        <v/>
      </c>
    </row>
    <row r="232" spans="26:31">
      <c r="Z232" s="89" t="str">
        <f>IF(LISTADO_NOM!K229="","",DATE(LISTADO_NOM!M229,LISTADO_NOM!L229,LISTADO_NOM!K229))</f>
        <v/>
      </c>
      <c r="AA232" s="89" t="str">
        <f>IFERROR(INDEX($Z$14:$Z$300, MATCH(0, INDEX(COUNTIF($AA$13:AA231, $Z$14:$Z$300), 0, 0), 0)), "")</f>
        <v/>
      </c>
      <c r="AB232" s="89" t="str">
        <f t="shared" si="3"/>
        <v/>
      </c>
      <c r="AC232">
        <v>219</v>
      </c>
      <c r="AE232" t="str">
        <f>IF(LISTADO_NOM!AN229="","",VLOOKUP(LISTADO_NOM!AN229,SEGUIMIENTOS,2,FALSE))</f>
        <v/>
      </c>
    </row>
    <row r="233" spans="26:31">
      <c r="Z233" s="89" t="str">
        <f>IF(LISTADO_NOM!K230="","",DATE(LISTADO_NOM!M230,LISTADO_NOM!L230,LISTADO_NOM!K230))</f>
        <v/>
      </c>
      <c r="AA233" s="89" t="str">
        <f>IFERROR(INDEX($Z$14:$Z$300, MATCH(0, INDEX(COUNTIF($AA$13:AA232, $Z$14:$Z$300), 0, 0), 0)), "")</f>
        <v/>
      </c>
      <c r="AB233" s="89" t="str">
        <f t="shared" si="3"/>
        <v/>
      </c>
      <c r="AC233">
        <v>220</v>
      </c>
      <c r="AE233" t="str">
        <f>IF(LISTADO_NOM!AN230="","",VLOOKUP(LISTADO_NOM!AN230,SEGUIMIENTOS,2,FALSE))</f>
        <v/>
      </c>
    </row>
    <row r="234" spans="26:31">
      <c r="Z234" s="89" t="str">
        <f>IF(LISTADO_NOM!K231="","",DATE(LISTADO_NOM!M231,LISTADO_NOM!L231,LISTADO_NOM!K231))</f>
        <v/>
      </c>
      <c r="AA234" s="89" t="str">
        <f>IFERROR(INDEX($Z$14:$Z$300, MATCH(0, INDEX(COUNTIF($AA$13:AA233, $Z$14:$Z$300), 0, 0), 0)), "")</f>
        <v/>
      </c>
      <c r="AB234" s="89" t="str">
        <f t="shared" si="3"/>
        <v/>
      </c>
      <c r="AC234">
        <v>221</v>
      </c>
      <c r="AE234" t="str">
        <f>IF(LISTADO_NOM!AN231="","",VLOOKUP(LISTADO_NOM!AN231,SEGUIMIENTOS,2,FALSE))</f>
        <v/>
      </c>
    </row>
    <row r="235" spans="26:31">
      <c r="Z235" s="89" t="str">
        <f>IF(LISTADO_NOM!K232="","",DATE(LISTADO_NOM!M232,LISTADO_NOM!L232,LISTADO_NOM!K232))</f>
        <v/>
      </c>
      <c r="AA235" s="89" t="str">
        <f>IFERROR(INDEX($Z$14:$Z$300, MATCH(0, INDEX(COUNTIF($AA$13:AA234, $Z$14:$Z$300), 0, 0), 0)), "")</f>
        <v/>
      </c>
      <c r="AB235" s="89" t="str">
        <f t="shared" si="3"/>
        <v/>
      </c>
      <c r="AC235">
        <v>222</v>
      </c>
      <c r="AE235" t="str">
        <f>IF(LISTADO_NOM!AN232="","",VLOOKUP(LISTADO_NOM!AN232,SEGUIMIENTOS,2,FALSE))</f>
        <v/>
      </c>
    </row>
    <row r="236" spans="26:31">
      <c r="Z236" s="89" t="str">
        <f>IF(LISTADO_NOM!K233="","",DATE(LISTADO_NOM!M233,LISTADO_NOM!L233,LISTADO_NOM!K233))</f>
        <v/>
      </c>
      <c r="AA236" s="89" t="str">
        <f>IFERROR(INDEX($Z$14:$Z$300, MATCH(0, INDEX(COUNTIF($AA$13:AA235, $Z$14:$Z$300), 0, 0), 0)), "")</f>
        <v/>
      </c>
      <c r="AB236" s="89" t="str">
        <f t="shared" si="3"/>
        <v/>
      </c>
      <c r="AC236">
        <v>223</v>
      </c>
      <c r="AE236" t="str">
        <f>IF(LISTADO_NOM!AN233="","",VLOOKUP(LISTADO_NOM!AN233,SEGUIMIENTOS,2,FALSE))</f>
        <v/>
      </c>
    </row>
    <row r="237" spans="26:31">
      <c r="Z237" s="89" t="str">
        <f>IF(LISTADO_NOM!K234="","",DATE(LISTADO_NOM!M234,LISTADO_NOM!L234,LISTADO_NOM!K234))</f>
        <v/>
      </c>
      <c r="AA237" s="89" t="str">
        <f>IFERROR(INDEX($Z$14:$Z$300, MATCH(0, INDEX(COUNTIF($AA$13:AA236, $Z$14:$Z$300), 0, 0), 0)), "")</f>
        <v/>
      </c>
      <c r="AB237" s="89" t="str">
        <f t="shared" si="3"/>
        <v/>
      </c>
      <c r="AC237">
        <v>224</v>
      </c>
      <c r="AE237" t="str">
        <f>IF(LISTADO_NOM!AN234="","",VLOOKUP(LISTADO_NOM!AN234,SEGUIMIENTOS,2,FALSE))</f>
        <v/>
      </c>
    </row>
    <row r="238" spans="26:31">
      <c r="Z238" s="89" t="str">
        <f>IF(LISTADO_NOM!K235="","",DATE(LISTADO_NOM!M235,LISTADO_NOM!L235,LISTADO_NOM!K235))</f>
        <v/>
      </c>
      <c r="AA238" s="89" t="str">
        <f>IFERROR(INDEX($Z$14:$Z$300, MATCH(0, INDEX(COUNTIF($AA$13:AA237, $Z$14:$Z$300), 0, 0), 0)), "")</f>
        <v/>
      </c>
      <c r="AB238" s="89" t="str">
        <f t="shared" si="3"/>
        <v/>
      </c>
      <c r="AC238">
        <v>225</v>
      </c>
      <c r="AE238" t="str">
        <f>IF(LISTADO_NOM!AN235="","",VLOOKUP(LISTADO_NOM!AN235,SEGUIMIENTOS,2,FALSE))</f>
        <v/>
      </c>
    </row>
    <row r="239" spans="26:31">
      <c r="Z239" s="89" t="str">
        <f>IF(LISTADO_NOM!K236="","",DATE(LISTADO_NOM!M236,LISTADO_NOM!L236,LISTADO_NOM!K236))</f>
        <v/>
      </c>
      <c r="AA239" s="89" t="str">
        <f>IFERROR(INDEX($Z$14:$Z$300, MATCH(0, INDEX(COUNTIF($AA$13:AA238, $Z$14:$Z$300), 0, 0), 0)), "")</f>
        <v/>
      </c>
      <c r="AB239" s="89" t="str">
        <f t="shared" si="3"/>
        <v/>
      </c>
      <c r="AC239">
        <v>226</v>
      </c>
      <c r="AE239" t="str">
        <f>IF(LISTADO_NOM!AN236="","",VLOOKUP(LISTADO_NOM!AN236,SEGUIMIENTOS,2,FALSE))</f>
        <v/>
      </c>
    </row>
    <row r="240" spans="26:31">
      <c r="Z240" s="89" t="str">
        <f>IF(LISTADO_NOM!K237="","",DATE(LISTADO_NOM!M237,LISTADO_NOM!L237,LISTADO_NOM!K237))</f>
        <v/>
      </c>
      <c r="AA240" s="89" t="str">
        <f>IFERROR(INDEX($Z$14:$Z$300, MATCH(0, INDEX(COUNTIF($AA$13:AA239, $Z$14:$Z$300), 0, 0), 0)), "")</f>
        <v/>
      </c>
      <c r="AB240" s="89" t="str">
        <f t="shared" si="3"/>
        <v/>
      </c>
      <c r="AC240">
        <v>227</v>
      </c>
      <c r="AE240" t="str">
        <f>IF(LISTADO_NOM!AN237="","",VLOOKUP(LISTADO_NOM!AN237,SEGUIMIENTOS,2,FALSE))</f>
        <v/>
      </c>
    </row>
    <row r="241" spans="26:31">
      <c r="Z241" s="89" t="str">
        <f>IF(LISTADO_NOM!K238="","",DATE(LISTADO_NOM!M238,LISTADO_NOM!L238,LISTADO_NOM!K238))</f>
        <v/>
      </c>
      <c r="AA241" s="89" t="str">
        <f>IFERROR(INDEX($Z$14:$Z$300, MATCH(0, INDEX(COUNTIF($AA$13:AA240, $Z$14:$Z$300), 0, 0), 0)), "")</f>
        <v/>
      </c>
      <c r="AB241" s="89" t="str">
        <f t="shared" si="3"/>
        <v/>
      </c>
      <c r="AC241">
        <v>228</v>
      </c>
      <c r="AE241" t="str">
        <f>IF(LISTADO_NOM!AN238="","",VLOOKUP(LISTADO_NOM!AN238,SEGUIMIENTOS,2,FALSE))</f>
        <v/>
      </c>
    </row>
    <row r="242" spans="26:31">
      <c r="Z242" s="89" t="str">
        <f>IF(LISTADO_NOM!K239="","",DATE(LISTADO_NOM!M239,LISTADO_NOM!L239,LISTADO_NOM!K239))</f>
        <v/>
      </c>
      <c r="AA242" s="89" t="str">
        <f>IFERROR(INDEX($Z$14:$Z$300, MATCH(0, INDEX(COUNTIF($AA$13:AA241, $Z$14:$Z$300), 0, 0), 0)), "")</f>
        <v/>
      </c>
      <c r="AB242" s="89" t="str">
        <f t="shared" si="3"/>
        <v/>
      </c>
      <c r="AC242">
        <v>229</v>
      </c>
      <c r="AE242" t="str">
        <f>IF(LISTADO_NOM!AN239="","",VLOOKUP(LISTADO_NOM!AN239,SEGUIMIENTOS,2,FALSE))</f>
        <v/>
      </c>
    </row>
    <row r="243" spans="26:31">
      <c r="Z243" s="89" t="str">
        <f>IF(LISTADO_NOM!K240="","",DATE(LISTADO_NOM!M240,LISTADO_NOM!L240,LISTADO_NOM!K240))</f>
        <v/>
      </c>
      <c r="AA243" s="89" t="str">
        <f>IFERROR(INDEX($Z$14:$Z$300, MATCH(0, INDEX(COUNTIF($AA$13:AA242, $Z$14:$Z$300), 0, 0), 0)), "")</f>
        <v/>
      </c>
      <c r="AB243" s="89" t="str">
        <f t="shared" si="3"/>
        <v/>
      </c>
      <c r="AC243">
        <v>230</v>
      </c>
      <c r="AE243" t="str">
        <f>IF(LISTADO_NOM!AN240="","",VLOOKUP(LISTADO_NOM!AN240,SEGUIMIENTOS,2,FALSE))</f>
        <v/>
      </c>
    </row>
    <row r="244" spans="26:31">
      <c r="Z244" s="89" t="str">
        <f>IF(LISTADO_NOM!K241="","",DATE(LISTADO_NOM!M241,LISTADO_NOM!L241,LISTADO_NOM!K241))</f>
        <v/>
      </c>
      <c r="AA244" s="89" t="str">
        <f>IFERROR(INDEX($Z$14:$Z$300, MATCH(0, INDEX(COUNTIF($AA$13:AA243, $Z$14:$Z$300), 0, 0), 0)), "")</f>
        <v/>
      </c>
      <c r="AB244" s="89" t="str">
        <f t="shared" si="3"/>
        <v/>
      </c>
      <c r="AC244">
        <v>231</v>
      </c>
      <c r="AE244" t="str">
        <f>IF(LISTADO_NOM!AN241="","",VLOOKUP(LISTADO_NOM!AN241,SEGUIMIENTOS,2,FALSE))</f>
        <v/>
      </c>
    </row>
    <row r="245" spans="26:31">
      <c r="Z245" s="89" t="str">
        <f>IF(LISTADO_NOM!K242="","",DATE(LISTADO_NOM!M242,LISTADO_NOM!L242,LISTADO_NOM!K242))</f>
        <v/>
      </c>
      <c r="AA245" s="89" t="str">
        <f>IFERROR(INDEX($Z$14:$Z$300, MATCH(0, INDEX(COUNTIF($AA$13:AA244, $Z$14:$Z$300), 0, 0), 0)), "")</f>
        <v/>
      </c>
      <c r="AB245" s="89" t="str">
        <f t="shared" si="3"/>
        <v/>
      </c>
      <c r="AC245">
        <v>232</v>
      </c>
      <c r="AE245" t="str">
        <f>IF(LISTADO_NOM!AN242="","",VLOOKUP(LISTADO_NOM!AN242,SEGUIMIENTOS,2,FALSE))</f>
        <v/>
      </c>
    </row>
    <row r="246" spans="26:31">
      <c r="Z246" s="89" t="str">
        <f>IF(LISTADO_NOM!K243="","",DATE(LISTADO_NOM!M243,LISTADO_NOM!L243,LISTADO_NOM!K243))</f>
        <v/>
      </c>
      <c r="AA246" s="89" t="str">
        <f>IFERROR(INDEX($Z$14:$Z$300, MATCH(0, INDEX(COUNTIF($AA$13:AA245, $Z$14:$Z$300), 0, 0), 0)), "")</f>
        <v/>
      </c>
      <c r="AB246" s="89" t="str">
        <f t="shared" si="3"/>
        <v/>
      </c>
      <c r="AC246">
        <v>233</v>
      </c>
      <c r="AE246" t="str">
        <f>IF(LISTADO_NOM!AN243="","",VLOOKUP(LISTADO_NOM!AN243,SEGUIMIENTOS,2,FALSE))</f>
        <v/>
      </c>
    </row>
    <row r="247" spans="26:31">
      <c r="Z247" s="89" t="str">
        <f>IF(LISTADO_NOM!K244="","",DATE(LISTADO_NOM!M244,LISTADO_NOM!L244,LISTADO_NOM!K244))</f>
        <v/>
      </c>
      <c r="AA247" s="89" t="str">
        <f>IFERROR(INDEX($Z$14:$Z$300, MATCH(0, INDEX(COUNTIF($AA$13:AA246, $Z$14:$Z$300), 0, 0), 0)), "")</f>
        <v/>
      </c>
      <c r="AB247" s="89" t="str">
        <f t="shared" si="3"/>
        <v/>
      </c>
      <c r="AC247">
        <v>234</v>
      </c>
      <c r="AE247" t="str">
        <f>IF(LISTADO_NOM!AN244="","",VLOOKUP(LISTADO_NOM!AN244,SEGUIMIENTOS,2,FALSE))</f>
        <v/>
      </c>
    </row>
    <row r="248" spans="26:31">
      <c r="Z248" s="89" t="str">
        <f>IF(LISTADO_NOM!K245="","",DATE(LISTADO_NOM!M245,LISTADO_NOM!L245,LISTADO_NOM!K245))</f>
        <v/>
      </c>
      <c r="AA248" s="89" t="str">
        <f>IFERROR(INDEX($Z$14:$Z$300, MATCH(0, INDEX(COUNTIF($AA$13:AA247, $Z$14:$Z$300), 0, 0), 0)), "")</f>
        <v/>
      </c>
      <c r="AB248" s="89" t="str">
        <f t="shared" si="3"/>
        <v/>
      </c>
      <c r="AC248">
        <v>235</v>
      </c>
      <c r="AE248" t="str">
        <f>IF(LISTADO_NOM!AN245="","",VLOOKUP(LISTADO_NOM!AN245,SEGUIMIENTOS,2,FALSE))</f>
        <v/>
      </c>
    </row>
    <row r="249" spans="26:31">
      <c r="Z249" s="89" t="str">
        <f>IF(LISTADO_NOM!K246="","",DATE(LISTADO_NOM!M246,LISTADO_NOM!L246,LISTADO_NOM!K246))</f>
        <v/>
      </c>
      <c r="AA249" s="89" t="str">
        <f>IFERROR(INDEX($Z$14:$Z$300, MATCH(0, INDEX(COUNTIF($AA$13:AA248, $Z$14:$Z$300), 0, 0), 0)), "")</f>
        <v/>
      </c>
      <c r="AB249" s="89" t="str">
        <f t="shared" si="3"/>
        <v/>
      </c>
      <c r="AC249">
        <v>236</v>
      </c>
      <c r="AE249" t="str">
        <f>IF(LISTADO_NOM!AN246="","",VLOOKUP(LISTADO_NOM!AN246,SEGUIMIENTOS,2,FALSE))</f>
        <v/>
      </c>
    </row>
    <row r="250" spans="26:31">
      <c r="Z250" s="89" t="str">
        <f>IF(LISTADO_NOM!K247="","",DATE(LISTADO_NOM!M247,LISTADO_NOM!L247,LISTADO_NOM!K247))</f>
        <v/>
      </c>
      <c r="AA250" s="89" t="str">
        <f>IFERROR(INDEX($Z$14:$Z$300, MATCH(0, INDEX(COUNTIF($AA$13:AA249, $Z$14:$Z$300), 0, 0), 0)), "")</f>
        <v/>
      </c>
      <c r="AB250" s="89" t="str">
        <f t="shared" si="3"/>
        <v/>
      </c>
      <c r="AC250">
        <v>237</v>
      </c>
      <c r="AE250" t="str">
        <f>IF(LISTADO_NOM!AN247="","",VLOOKUP(LISTADO_NOM!AN247,SEGUIMIENTOS,2,FALSE))</f>
        <v/>
      </c>
    </row>
    <row r="251" spans="26:31">
      <c r="Z251" s="89" t="str">
        <f>IF(LISTADO_NOM!K248="","",DATE(LISTADO_NOM!M248,LISTADO_NOM!L248,LISTADO_NOM!K248))</f>
        <v/>
      </c>
      <c r="AA251" s="89" t="str">
        <f>IFERROR(INDEX($Z$14:$Z$300, MATCH(0, INDEX(COUNTIF($AA$13:AA250, $Z$14:$Z$300), 0, 0), 0)), "")</f>
        <v/>
      </c>
      <c r="AB251" s="89" t="str">
        <f t="shared" si="3"/>
        <v/>
      </c>
      <c r="AC251">
        <v>238</v>
      </c>
      <c r="AE251" t="str">
        <f>IF(LISTADO_NOM!AN248="","",VLOOKUP(LISTADO_NOM!AN248,SEGUIMIENTOS,2,FALSE))</f>
        <v/>
      </c>
    </row>
    <row r="252" spans="26:31">
      <c r="Z252" s="89" t="str">
        <f>IF(LISTADO_NOM!K249="","",DATE(LISTADO_NOM!M249,LISTADO_NOM!L249,LISTADO_NOM!K249))</f>
        <v/>
      </c>
      <c r="AA252" s="89" t="str">
        <f>IFERROR(INDEX($Z$14:$Z$300, MATCH(0, INDEX(COUNTIF($AA$13:AA251, $Z$14:$Z$300), 0, 0), 0)), "")</f>
        <v/>
      </c>
      <c r="AB252" s="89" t="str">
        <f t="shared" si="3"/>
        <v/>
      </c>
      <c r="AC252">
        <v>239</v>
      </c>
      <c r="AE252" t="str">
        <f>IF(LISTADO_NOM!AN249="","",VLOOKUP(LISTADO_NOM!AN249,SEGUIMIENTOS,2,FALSE))</f>
        <v/>
      </c>
    </row>
    <row r="253" spans="26:31">
      <c r="Z253" s="89" t="str">
        <f>IF(LISTADO_NOM!K250="","",DATE(LISTADO_NOM!M250,LISTADO_NOM!L250,LISTADO_NOM!K250))</f>
        <v/>
      </c>
      <c r="AA253" s="89" t="str">
        <f>IFERROR(INDEX($Z$14:$Z$300, MATCH(0, INDEX(COUNTIF($AA$13:AA252, $Z$14:$Z$300), 0, 0), 0)), "")</f>
        <v/>
      </c>
      <c r="AB253" s="89" t="str">
        <f t="shared" si="3"/>
        <v/>
      </c>
      <c r="AC253">
        <v>240</v>
      </c>
      <c r="AE253" t="str">
        <f>IF(LISTADO_NOM!AN250="","",VLOOKUP(LISTADO_NOM!AN250,SEGUIMIENTOS,2,FALSE))</f>
        <v/>
      </c>
    </row>
    <row r="254" spans="26:31">
      <c r="Z254" s="89" t="str">
        <f>IF(LISTADO_NOM!K251="","",DATE(LISTADO_NOM!M251,LISTADO_NOM!L251,LISTADO_NOM!K251))</f>
        <v/>
      </c>
      <c r="AA254" s="89" t="str">
        <f>IFERROR(INDEX($Z$14:$Z$300, MATCH(0, INDEX(COUNTIF($AA$13:AA253, $Z$14:$Z$300), 0, 0), 0)), "")</f>
        <v/>
      </c>
      <c r="AB254" s="89" t="str">
        <f t="shared" si="3"/>
        <v/>
      </c>
      <c r="AC254">
        <v>241</v>
      </c>
      <c r="AE254" t="str">
        <f>IF(LISTADO_NOM!AN251="","",VLOOKUP(LISTADO_NOM!AN251,SEGUIMIENTOS,2,FALSE))</f>
        <v/>
      </c>
    </row>
    <row r="255" spans="26:31">
      <c r="Z255" s="89" t="str">
        <f>IF(LISTADO_NOM!K252="","",DATE(LISTADO_NOM!M252,LISTADO_NOM!L252,LISTADO_NOM!K252))</f>
        <v/>
      </c>
      <c r="AA255" s="89" t="str">
        <f>IFERROR(INDEX($Z$14:$Z$300, MATCH(0, INDEX(COUNTIF($AA$13:AA254, $Z$14:$Z$300), 0, 0), 0)), "")</f>
        <v/>
      </c>
      <c r="AB255" s="89" t="str">
        <f t="shared" si="3"/>
        <v/>
      </c>
      <c r="AC255">
        <v>242</v>
      </c>
      <c r="AE255" t="str">
        <f>IF(LISTADO_NOM!AN252="","",VLOOKUP(LISTADO_NOM!AN252,SEGUIMIENTOS,2,FALSE))</f>
        <v/>
      </c>
    </row>
    <row r="256" spans="26:31">
      <c r="Z256" s="89" t="str">
        <f>IF(LISTADO_NOM!K253="","",DATE(LISTADO_NOM!M253,LISTADO_NOM!L253,LISTADO_NOM!K253))</f>
        <v/>
      </c>
      <c r="AA256" s="89" t="str">
        <f>IFERROR(INDEX($Z$14:$Z$300, MATCH(0, INDEX(COUNTIF($AA$13:AA255, $Z$14:$Z$300), 0, 0), 0)), "")</f>
        <v/>
      </c>
      <c r="AB256" s="89" t="str">
        <f t="shared" si="3"/>
        <v/>
      </c>
      <c r="AC256">
        <v>243</v>
      </c>
      <c r="AE256" t="str">
        <f>IF(LISTADO_NOM!AN253="","",VLOOKUP(LISTADO_NOM!AN253,SEGUIMIENTOS,2,FALSE))</f>
        <v/>
      </c>
    </row>
    <row r="257" spans="26:31">
      <c r="Z257" s="89" t="str">
        <f>IF(LISTADO_NOM!K254="","",DATE(LISTADO_NOM!M254,LISTADO_NOM!L254,LISTADO_NOM!K254))</f>
        <v/>
      </c>
      <c r="AA257" s="89" t="str">
        <f>IFERROR(INDEX($Z$14:$Z$300, MATCH(0, INDEX(COUNTIF($AA$13:AA256, $Z$14:$Z$300), 0, 0), 0)), "")</f>
        <v/>
      </c>
      <c r="AB257" s="89" t="str">
        <f t="shared" si="3"/>
        <v/>
      </c>
      <c r="AC257">
        <v>244</v>
      </c>
      <c r="AE257" t="str">
        <f>IF(LISTADO_NOM!AN254="","",VLOOKUP(LISTADO_NOM!AN254,SEGUIMIENTOS,2,FALSE))</f>
        <v/>
      </c>
    </row>
    <row r="258" spans="26:31">
      <c r="Z258" s="89" t="str">
        <f>IF(LISTADO_NOM!K255="","",DATE(LISTADO_NOM!M255,LISTADO_NOM!L255,LISTADO_NOM!K255))</f>
        <v/>
      </c>
      <c r="AA258" s="89" t="str">
        <f>IFERROR(INDEX($Z$14:$Z$300, MATCH(0, INDEX(COUNTIF($AA$13:AA257, $Z$14:$Z$300), 0, 0), 0)), "")</f>
        <v/>
      </c>
      <c r="AB258" s="89" t="str">
        <f t="shared" si="3"/>
        <v/>
      </c>
      <c r="AC258">
        <v>245</v>
      </c>
      <c r="AE258" t="str">
        <f>IF(LISTADO_NOM!AN255="","",VLOOKUP(LISTADO_NOM!AN255,SEGUIMIENTOS,2,FALSE))</f>
        <v/>
      </c>
    </row>
    <row r="259" spans="26:31">
      <c r="Z259" s="89" t="str">
        <f>IF(LISTADO_NOM!K256="","",DATE(LISTADO_NOM!M256,LISTADO_NOM!L256,LISTADO_NOM!K256))</f>
        <v/>
      </c>
      <c r="AA259" s="89" t="str">
        <f>IFERROR(INDEX($Z$14:$Z$300, MATCH(0, INDEX(COUNTIF($AA$13:AA258, $Z$14:$Z$300), 0, 0), 0)), "")</f>
        <v/>
      </c>
      <c r="AB259" s="89" t="str">
        <f t="shared" si="3"/>
        <v/>
      </c>
      <c r="AC259">
        <v>246</v>
      </c>
      <c r="AE259" t="str">
        <f>IF(LISTADO_NOM!AN256="","",VLOOKUP(LISTADO_NOM!AN256,SEGUIMIENTOS,2,FALSE))</f>
        <v/>
      </c>
    </row>
    <row r="260" spans="26:31">
      <c r="Z260" s="89" t="str">
        <f>IF(LISTADO_NOM!K257="","",DATE(LISTADO_NOM!M257,LISTADO_NOM!L257,LISTADO_NOM!K257))</f>
        <v/>
      </c>
      <c r="AA260" s="89" t="str">
        <f>IFERROR(INDEX($Z$14:$Z$300, MATCH(0, INDEX(COUNTIF($AA$13:AA259, $Z$14:$Z$300), 0, 0), 0)), "")</f>
        <v/>
      </c>
      <c r="AB260" s="89" t="str">
        <f t="shared" si="3"/>
        <v/>
      </c>
      <c r="AC260">
        <v>247</v>
      </c>
      <c r="AE260" t="str">
        <f>IF(LISTADO_NOM!AN257="","",VLOOKUP(LISTADO_NOM!AN257,SEGUIMIENTOS,2,FALSE))</f>
        <v/>
      </c>
    </row>
    <row r="261" spans="26:31">
      <c r="Z261" s="89" t="str">
        <f>IF(LISTADO_NOM!K258="","",DATE(LISTADO_NOM!M258,LISTADO_NOM!L258,LISTADO_NOM!K258))</f>
        <v/>
      </c>
      <c r="AA261" s="89" t="str">
        <f>IFERROR(INDEX($Z$14:$Z$300, MATCH(0, INDEX(COUNTIF($AA$13:AA260, $Z$14:$Z$300), 0, 0), 0)), "")</f>
        <v/>
      </c>
      <c r="AB261" s="89" t="str">
        <f t="shared" si="3"/>
        <v/>
      </c>
      <c r="AC261">
        <v>248</v>
      </c>
      <c r="AE261" t="str">
        <f>IF(LISTADO_NOM!AN258="","",VLOOKUP(LISTADO_NOM!AN258,SEGUIMIENTOS,2,FALSE))</f>
        <v/>
      </c>
    </row>
    <row r="262" spans="26:31">
      <c r="Z262" s="89" t="str">
        <f>IF(LISTADO_NOM!K259="","",DATE(LISTADO_NOM!M259,LISTADO_NOM!L259,LISTADO_NOM!K259))</f>
        <v/>
      </c>
      <c r="AA262" s="89" t="str">
        <f>IFERROR(INDEX($Z$14:$Z$300, MATCH(0, INDEX(COUNTIF($AA$13:AA261, $Z$14:$Z$300), 0, 0), 0)), "")</f>
        <v/>
      </c>
      <c r="AB262" s="89" t="str">
        <f t="shared" si="3"/>
        <v/>
      </c>
      <c r="AC262">
        <v>249</v>
      </c>
      <c r="AE262" t="str">
        <f>IF(LISTADO_NOM!AN259="","",VLOOKUP(LISTADO_NOM!AN259,SEGUIMIENTOS,2,FALSE))</f>
        <v/>
      </c>
    </row>
    <row r="263" spans="26:31">
      <c r="Z263" s="89" t="str">
        <f>IF(LISTADO_NOM!K260="","",DATE(LISTADO_NOM!M260,LISTADO_NOM!L260,LISTADO_NOM!K260))</f>
        <v/>
      </c>
      <c r="AA263" s="89" t="str">
        <f>IFERROR(INDEX($Z$14:$Z$300, MATCH(0, INDEX(COUNTIF($AA$13:AA262, $Z$14:$Z$300), 0, 0), 0)), "")</f>
        <v/>
      </c>
      <c r="AB263" s="89" t="str">
        <f t="shared" si="3"/>
        <v/>
      </c>
      <c r="AC263">
        <v>250</v>
      </c>
      <c r="AE263" t="str">
        <f>IF(LISTADO_NOM!AN260="","",VLOOKUP(LISTADO_NOM!AN260,SEGUIMIENTOS,2,FALSE))</f>
        <v/>
      </c>
    </row>
    <row r="264" spans="26:31">
      <c r="Z264" s="89" t="str">
        <f>IF(LISTADO_NOM!K261="","",DATE(LISTADO_NOM!M261,LISTADO_NOM!L261,LISTADO_NOM!K261))</f>
        <v/>
      </c>
      <c r="AA264" s="89" t="str">
        <f>IFERROR(INDEX($Z$14:$Z$300, MATCH(0, INDEX(COUNTIF($AA$13:AA263, $Z$14:$Z$300), 0, 0), 0)), "")</f>
        <v/>
      </c>
      <c r="AB264" s="89" t="str">
        <f t="shared" si="3"/>
        <v/>
      </c>
      <c r="AC264">
        <v>251</v>
      </c>
      <c r="AE264" t="str">
        <f>IF(LISTADO_NOM!AN261="","",VLOOKUP(LISTADO_NOM!AN261,SEGUIMIENTOS,2,FALSE))</f>
        <v/>
      </c>
    </row>
    <row r="265" spans="26:31">
      <c r="Z265" s="89" t="str">
        <f>IF(LISTADO_NOM!K262="","",DATE(LISTADO_NOM!M262,LISTADO_NOM!L262,LISTADO_NOM!K262))</f>
        <v/>
      </c>
      <c r="AA265" s="89" t="str">
        <f>IFERROR(INDEX($Z$14:$Z$300, MATCH(0, INDEX(COUNTIF($AA$13:AA264, $Z$14:$Z$300), 0, 0), 0)), "")</f>
        <v/>
      </c>
      <c r="AB265" s="89" t="str">
        <f t="shared" si="3"/>
        <v/>
      </c>
      <c r="AC265">
        <v>252</v>
      </c>
      <c r="AE265" t="str">
        <f>IF(LISTADO_NOM!AN262="","",VLOOKUP(LISTADO_NOM!AN262,SEGUIMIENTOS,2,FALSE))</f>
        <v/>
      </c>
    </row>
    <row r="266" spans="26:31">
      <c r="Z266" s="89" t="str">
        <f>IF(LISTADO_NOM!K263="","",DATE(LISTADO_NOM!M263,LISTADO_NOM!L263,LISTADO_NOM!K263))</f>
        <v/>
      </c>
      <c r="AA266" s="89" t="str">
        <f>IFERROR(INDEX($Z$14:$Z$300, MATCH(0, INDEX(COUNTIF($AA$13:AA265, $Z$14:$Z$300), 0, 0), 0)), "")</f>
        <v/>
      </c>
      <c r="AB266" s="89" t="str">
        <f t="shared" si="3"/>
        <v/>
      </c>
      <c r="AC266">
        <v>253</v>
      </c>
      <c r="AE266" t="str">
        <f>IF(LISTADO_NOM!AN263="","",VLOOKUP(LISTADO_NOM!AN263,SEGUIMIENTOS,2,FALSE))</f>
        <v/>
      </c>
    </row>
    <row r="267" spans="26:31">
      <c r="Z267" s="89" t="str">
        <f>IF(LISTADO_NOM!K264="","",DATE(LISTADO_NOM!M264,LISTADO_NOM!L264,LISTADO_NOM!K264))</f>
        <v/>
      </c>
      <c r="AA267" s="89" t="str">
        <f>IFERROR(INDEX($Z$14:$Z$300, MATCH(0, INDEX(COUNTIF($AA$13:AA266, $Z$14:$Z$300), 0, 0), 0)), "")</f>
        <v/>
      </c>
      <c r="AB267" s="89" t="str">
        <f t="shared" si="3"/>
        <v/>
      </c>
      <c r="AC267">
        <v>254</v>
      </c>
      <c r="AE267" t="str">
        <f>IF(LISTADO_NOM!AN264="","",VLOOKUP(LISTADO_NOM!AN264,SEGUIMIENTOS,2,FALSE))</f>
        <v/>
      </c>
    </row>
    <row r="268" spans="26:31">
      <c r="Z268" s="89" t="str">
        <f>IF(LISTADO_NOM!K265="","",DATE(LISTADO_NOM!M265,LISTADO_NOM!L265,LISTADO_NOM!K265))</f>
        <v/>
      </c>
      <c r="AA268" s="89" t="str">
        <f>IFERROR(INDEX($Z$14:$Z$300, MATCH(0, INDEX(COUNTIF($AA$13:AA267, $Z$14:$Z$300), 0, 0), 0)), "")</f>
        <v/>
      </c>
      <c r="AB268" s="89" t="str">
        <f t="shared" si="3"/>
        <v/>
      </c>
      <c r="AC268">
        <v>255</v>
      </c>
      <c r="AE268" t="str">
        <f>IF(LISTADO_NOM!AN265="","",VLOOKUP(LISTADO_NOM!AN265,SEGUIMIENTOS,2,FALSE))</f>
        <v/>
      </c>
    </row>
    <row r="269" spans="26:31">
      <c r="Z269" s="89" t="str">
        <f>IF(LISTADO_NOM!K266="","",DATE(LISTADO_NOM!M266,LISTADO_NOM!L266,LISTADO_NOM!K266))</f>
        <v/>
      </c>
      <c r="AA269" s="89" t="str">
        <f>IFERROR(INDEX($Z$14:$Z$300, MATCH(0, INDEX(COUNTIF($AA$13:AA268, $Z$14:$Z$300), 0, 0), 0)), "")</f>
        <v/>
      </c>
      <c r="AB269" s="89" t="str">
        <f t="shared" si="3"/>
        <v/>
      </c>
      <c r="AC269">
        <v>256</v>
      </c>
      <c r="AE269" t="str">
        <f>IF(LISTADO_NOM!AN266="","",VLOOKUP(LISTADO_NOM!AN266,SEGUIMIENTOS,2,FALSE))</f>
        <v/>
      </c>
    </row>
    <row r="270" spans="26:31">
      <c r="Z270" s="89" t="str">
        <f>IF(LISTADO_NOM!K267="","",DATE(LISTADO_NOM!M267,LISTADO_NOM!L267,LISTADO_NOM!K267))</f>
        <v/>
      </c>
      <c r="AA270" s="89" t="str">
        <f>IFERROR(INDEX($Z$14:$Z$300, MATCH(0, INDEX(COUNTIF($AA$13:AA269, $Z$14:$Z$300), 0, 0), 0)), "")</f>
        <v/>
      </c>
      <c r="AB270" s="89" t="str">
        <f t="shared" ref="AB270:AB333" si="4">IF(AA270="","",SMALL(ORDENA_,AC270))</f>
        <v/>
      </c>
      <c r="AC270">
        <v>257</v>
      </c>
      <c r="AE270" t="str">
        <f>IF(LISTADO_NOM!AN267="","",VLOOKUP(LISTADO_NOM!AN267,SEGUIMIENTOS,2,FALSE))</f>
        <v/>
      </c>
    </row>
    <row r="271" spans="26:31">
      <c r="Z271" s="89" t="str">
        <f>IF(LISTADO_NOM!K268="","",DATE(LISTADO_NOM!M268,LISTADO_NOM!L268,LISTADO_NOM!K268))</f>
        <v/>
      </c>
      <c r="AA271" s="89" t="str">
        <f>IFERROR(INDEX($Z$14:$Z$300, MATCH(0, INDEX(COUNTIF($AA$13:AA270, $Z$14:$Z$300), 0, 0), 0)), "")</f>
        <v/>
      </c>
      <c r="AB271" s="89" t="str">
        <f t="shared" si="4"/>
        <v/>
      </c>
      <c r="AC271">
        <v>258</v>
      </c>
      <c r="AE271" t="str">
        <f>IF(LISTADO_NOM!AN268="","",VLOOKUP(LISTADO_NOM!AN268,SEGUIMIENTOS,2,FALSE))</f>
        <v/>
      </c>
    </row>
    <row r="272" spans="26:31">
      <c r="Z272" s="89" t="str">
        <f>IF(LISTADO_NOM!K269="","",DATE(LISTADO_NOM!M269,LISTADO_NOM!L269,LISTADO_NOM!K269))</f>
        <v/>
      </c>
      <c r="AA272" s="89" t="str">
        <f>IFERROR(INDEX($Z$14:$Z$300, MATCH(0, INDEX(COUNTIF($AA$13:AA271, $Z$14:$Z$300), 0, 0), 0)), "")</f>
        <v/>
      </c>
      <c r="AB272" s="89" t="str">
        <f t="shared" si="4"/>
        <v/>
      </c>
      <c r="AC272">
        <v>259</v>
      </c>
      <c r="AE272" t="str">
        <f>IF(LISTADO_NOM!AN269="","",VLOOKUP(LISTADO_NOM!AN269,SEGUIMIENTOS,2,FALSE))</f>
        <v/>
      </c>
    </row>
    <row r="273" spans="26:31">
      <c r="Z273" s="89" t="str">
        <f>IF(LISTADO_NOM!K270="","",DATE(LISTADO_NOM!M270,LISTADO_NOM!L270,LISTADO_NOM!K270))</f>
        <v/>
      </c>
      <c r="AA273" s="89" t="str">
        <f>IFERROR(INDEX($Z$14:$Z$300, MATCH(0, INDEX(COUNTIF($AA$13:AA272, $Z$14:$Z$300), 0, 0), 0)), "")</f>
        <v/>
      </c>
      <c r="AB273" s="89" t="str">
        <f t="shared" si="4"/>
        <v/>
      </c>
      <c r="AC273">
        <v>260</v>
      </c>
      <c r="AE273" t="str">
        <f>IF(LISTADO_NOM!AN270="","",VLOOKUP(LISTADO_NOM!AN270,SEGUIMIENTOS,2,FALSE))</f>
        <v/>
      </c>
    </row>
    <row r="274" spans="26:31">
      <c r="Z274" s="89" t="str">
        <f>IF(LISTADO_NOM!K271="","",DATE(LISTADO_NOM!M271,LISTADO_NOM!L271,LISTADO_NOM!K271))</f>
        <v/>
      </c>
      <c r="AA274" s="89" t="str">
        <f>IFERROR(INDEX($Z$14:$Z$300, MATCH(0, INDEX(COUNTIF($AA$13:AA273, $Z$14:$Z$300), 0, 0), 0)), "")</f>
        <v/>
      </c>
      <c r="AB274" s="89" t="str">
        <f t="shared" si="4"/>
        <v/>
      </c>
      <c r="AC274">
        <v>261</v>
      </c>
      <c r="AE274" t="str">
        <f>IF(LISTADO_NOM!AN271="","",VLOOKUP(LISTADO_NOM!AN271,SEGUIMIENTOS,2,FALSE))</f>
        <v/>
      </c>
    </row>
    <row r="275" spans="26:31">
      <c r="Z275" s="89" t="str">
        <f>IF(LISTADO_NOM!K272="","",DATE(LISTADO_NOM!M272,LISTADO_NOM!L272,LISTADO_NOM!K272))</f>
        <v/>
      </c>
      <c r="AA275" s="89" t="str">
        <f>IFERROR(INDEX($Z$14:$Z$300, MATCH(0, INDEX(COUNTIF($AA$13:AA274, $Z$14:$Z$300), 0, 0), 0)), "")</f>
        <v/>
      </c>
      <c r="AB275" s="89" t="str">
        <f t="shared" si="4"/>
        <v/>
      </c>
      <c r="AC275">
        <v>262</v>
      </c>
      <c r="AE275" t="str">
        <f>IF(LISTADO_NOM!AN272="","",VLOOKUP(LISTADO_NOM!AN272,SEGUIMIENTOS,2,FALSE))</f>
        <v/>
      </c>
    </row>
    <row r="276" spans="26:31">
      <c r="Z276" s="89" t="str">
        <f>IF(LISTADO_NOM!K273="","",DATE(LISTADO_NOM!M273,LISTADO_NOM!L273,LISTADO_NOM!K273))</f>
        <v/>
      </c>
      <c r="AA276" s="89" t="str">
        <f>IFERROR(INDEX($Z$14:$Z$300, MATCH(0, INDEX(COUNTIF($AA$13:AA275, $Z$14:$Z$300), 0, 0), 0)), "")</f>
        <v/>
      </c>
      <c r="AB276" s="89" t="str">
        <f t="shared" si="4"/>
        <v/>
      </c>
      <c r="AC276">
        <v>263</v>
      </c>
      <c r="AE276" t="str">
        <f>IF(LISTADO_NOM!AN273="","",VLOOKUP(LISTADO_NOM!AN273,SEGUIMIENTOS,2,FALSE))</f>
        <v/>
      </c>
    </row>
    <row r="277" spans="26:31">
      <c r="Z277" s="89" t="str">
        <f>IF(LISTADO_NOM!K274="","",DATE(LISTADO_NOM!M274,LISTADO_NOM!L274,LISTADO_NOM!K274))</f>
        <v/>
      </c>
      <c r="AA277" s="89" t="str">
        <f>IFERROR(INDEX($Z$14:$Z$300, MATCH(0, INDEX(COUNTIF($AA$13:AA276, $Z$14:$Z$300), 0, 0), 0)), "")</f>
        <v/>
      </c>
      <c r="AB277" s="89" t="str">
        <f t="shared" si="4"/>
        <v/>
      </c>
      <c r="AC277">
        <v>264</v>
      </c>
      <c r="AE277" t="str">
        <f>IF(LISTADO_NOM!AN274="","",VLOOKUP(LISTADO_NOM!AN274,SEGUIMIENTOS,2,FALSE))</f>
        <v/>
      </c>
    </row>
    <row r="278" spans="26:31">
      <c r="Z278" s="89" t="str">
        <f>IF(LISTADO_NOM!K275="","",DATE(LISTADO_NOM!M275,LISTADO_NOM!L275,LISTADO_NOM!K275))</f>
        <v/>
      </c>
      <c r="AA278" s="89" t="str">
        <f>IFERROR(INDEX($Z$14:$Z$300, MATCH(0, INDEX(COUNTIF($AA$13:AA277, $Z$14:$Z$300), 0, 0), 0)), "")</f>
        <v/>
      </c>
      <c r="AB278" s="89" t="str">
        <f t="shared" si="4"/>
        <v/>
      </c>
      <c r="AC278">
        <v>265</v>
      </c>
      <c r="AE278" t="str">
        <f>IF(LISTADO_NOM!AN275="","",VLOOKUP(LISTADO_NOM!AN275,SEGUIMIENTOS,2,FALSE))</f>
        <v/>
      </c>
    </row>
    <row r="279" spans="26:31">
      <c r="Z279" s="89" t="str">
        <f>IF(LISTADO_NOM!K276="","",DATE(LISTADO_NOM!M276,LISTADO_NOM!L276,LISTADO_NOM!K276))</f>
        <v/>
      </c>
      <c r="AA279" s="89" t="str">
        <f>IFERROR(INDEX($Z$14:$Z$300, MATCH(0, INDEX(COUNTIF($AA$13:AA278, $Z$14:$Z$300), 0, 0), 0)), "")</f>
        <v/>
      </c>
      <c r="AB279" s="89" t="str">
        <f t="shared" si="4"/>
        <v/>
      </c>
      <c r="AC279">
        <v>266</v>
      </c>
      <c r="AE279" t="str">
        <f>IF(LISTADO_NOM!AN276="","",VLOOKUP(LISTADO_NOM!AN276,SEGUIMIENTOS,2,FALSE))</f>
        <v/>
      </c>
    </row>
    <row r="280" spans="26:31">
      <c r="Z280" s="89" t="str">
        <f>IF(LISTADO_NOM!K277="","",DATE(LISTADO_NOM!M277,LISTADO_NOM!L277,LISTADO_NOM!K277))</f>
        <v/>
      </c>
      <c r="AA280" s="89" t="str">
        <f>IFERROR(INDEX($Z$14:$Z$300, MATCH(0, INDEX(COUNTIF($AA$13:AA279, $Z$14:$Z$300), 0, 0), 0)), "")</f>
        <v/>
      </c>
      <c r="AB280" s="89" t="str">
        <f t="shared" si="4"/>
        <v/>
      </c>
      <c r="AC280">
        <v>267</v>
      </c>
      <c r="AE280" t="str">
        <f>IF(LISTADO_NOM!AN277="","",VLOOKUP(LISTADO_NOM!AN277,SEGUIMIENTOS,2,FALSE))</f>
        <v/>
      </c>
    </row>
    <row r="281" spans="26:31">
      <c r="Z281" s="89" t="str">
        <f>IF(LISTADO_NOM!K278="","",DATE(LISTADO_NOM!M278,LISTADO_NOM!L278,LISTADO_NOM!K278))</f>
        <v/>
      </c>
      <c r="AA281" s="89" t="str">
        <f>IFERROR(INDEX($Z$14:$Z$300, MATCH(0, INDEX(COUNTIF($AA$13:AA280, $Z$14:$Z$300), 0, 0), 0)), "")</f>
        <v/>
      </c>
      <c r="AB281" s="89" t="str">
        <f t="shared" si="4"/>
        <v/>
      </c>
      <c r="AC281">
        <v>268</v>
      </c>
      <c r="AE281" t="str">
        <f>IF(LISTADO_NOM!AN278="","",VLOOKUP(LISTADO_NOM!AN278,SEGUIMIENTOS,2,FALSE))</f>
        <v/>
      </c>
    </row>
    <row r="282" spans="26:31">
      <c r="Z282" s="89" t="str">
        <f>IF(LISTADO_NOM!K279="","",DATE(LISTADO_NOM!M279,LISTADO_NOM!L279,LISTADO_NOM!K279))</f>
        <v/>
      </c>
      <c r="AA282" s="89" t="str">
        <f>IFERROR(INDEX($Z$14:$Z$300, MATCH(0, INDEX(COUNTIF($AA$13:AA281, $Z$14:$Z$300), 0, 0), 0)), "")</f>
        <v/>
      </c>
      <c r="AB282" s="89" t="str">
        <f t="shared" si="4"/>
        <v/>
      </c>
      <c r="AC282">
        <v>269</v>
      </c>
      <c r="AE282" t="str">
        <f>IF(LISTADO_NOM!AN279="","",VLOOKUP(LISTADO_NOM!AN279,SEGUIMIENTOS,2,FALSE))</f>
        <v/>
      </c>
    </row>
    <row r="283" spans="26:31">
      <c r="Z283" s="89" t="str">
        <f>IF(LISTADO_NOM!K280="","",DATE(LISTADO_NOM!M280,LISTADO_NOM!L280,LISTADO_NOM!K280))</f>
        <v/>
      </c>
      <c r="AA283" s="89" t="str">
        <f>IFERROR(INDEX($Z$14:$Z$300, MATCH(0, INDEX(COUNTIF($AA$13:AA282, $Z$14:$Z$300), 0, 0), 0)), "")</f>
        <v/>
      </c>
      <c r="AB283" s="89" t="str">
        <f t="shared" si="4"/>
        <v/>
      </c>
      <c r="AC283">
        <v>270</v>
      </c>
      <c r="AE283" t="str">
        <f>IF(LISTADO_NOM!AN280="","",VLOOKUP(LISTADO_NOM!AN280,SEGUIMIENTOS,2,FALSE))</f>
        <v/>
      </c>
    </row>
    <row r="284" spans="26:31">
      <c r="Z284" s="89" t="str">
        <f>IF(LISTADO_NOM!K281="","",DATE(LISTADO_NOM!M281,LISTADO_NOM!L281,LISTADO_NOM!K281))</f>
        <v/>
      </c>
      <c r="AA284" s="89" t="str">
        <f>IFERROR(INDEX($Z$14:$Z$300, MATCH(0, INDEX(COUNTIF($AA$13:AA283, $Z$14:$Z$300), 0, 0), 0)), "")</f>
        <v/>
      </c>
      <c r="AB284" s="89" t="str">
        <f t="shared" si="4"/>
        <v/>
      </c>
      <c r="AC284">
        <v>271</v>
      </c>
      <c r="AE284" t="str">
        <f>IF(LISTADO_NOM!AN281="","",VLOOKUP(LISTADO_NOM!AN281,SEGUIMIENTOS,2,FALSE))</f>
        <v/>
      </c>
    </row>
    <row r="285" spans="26:31">
      <c r="Z285" s="89" t="str">
        <f>IF(LISTADO_NOM!K282="","",DATE(LISTADO_NOM!M282,LISTADO_NOM!L282,LISTADO_NOM!K282))</f>
        <v/>
      </c>
      <c r="AA285" s="89" t="str">
        <f>IFERROR(INDEX($Z$14:$Z$300, MATCH(0, INDEX(COUNTIF($AA$13:AA284, $Z$14:$Z$300), 0, 0), 0)), "")</f>
        <v/>
      </c>
      <c r="AB285" s="89" t="str">
        <f t="shared" si="4"/>
        <v/>
      </c>
      <c r="AC285">
        <v>272</v>
      </c>
      <c r="AE285" t="str">
        <f>IF(LISTADO_NOM!AN282="","",VLOOKUP(LISTADO_NOM!AN282,SEGUIMIENTOS,2,FALSE))</f>
        <v/>
      </c>
    </row>
    <row r="286" spans="26:31">
      <c r="Z286" s="89" t="str">
        <f>IF(LISTADO_NOM!K283="","",DATE(LISTADO_NOM!M283,LISTADO_NOM!L283,LISTADO_NOM!K283))</f>
        <v/>
      </c>
      <c r="AA286" s="89" t="str">
        <f>IFERROR(INDEX($Z$14:$Z$300, MATCH(0, INDEX(COUNTIF($AA$13:AA285, $Z$14:$Z$300), 0, 0), 0)), "")</f>
        <v/>
      </c>
      <c r="AB286" s="89" t="str">
        <f t="shared" si="4"/>
        <v/>
      </c>
      <c r="AC286">
        <v>273</v>
      </c>
      <c r="AE286" t="str">
        <f>IF(LISTADO_NOM!AN283="","",VLOOKUP(LISTADO_NOM!AN283,SEGUIMIENTOS,2,FALSE))</f>
        <v/>
      </c>
    </row>
    <row r="287" spans="26:31">
      <c r="Z287" s="89" t="str">
        <f>IF(LISTADO_NOM!K284="","",DATE(LISTADO_NOM!M284,LISTADO_NOM!L284,LISTADO_NOM!K284))</f>
        <v/>
      </c>
      <c r="AA287" s="89" t="str">
        <f>IFERROR(INDEX($Z$14:$Z$300, MATCH(0, INDEX(COUNTIF($AA$13:AA286, $Z$14:$Z$300), 0, 0), 0)), "")</f>
        <v/>
      </c>
      <c r="AB287" s="89" t="str">
        <f t="shared" si="4"/>
        <v/>
      </c>
      <c r="AC287">
        <v>274</v>
      </c>
      <c r="AE287" t="str">
        <f>IF(LISTADO_NOM!AN284="","",VLOOKUP(LISTADO_NOM!AN284,SEGUIMIENTOS,2,FALSE))</f>
        <v/>
      </c>
    </row>
    <row r="288" spans="26:31">
      <c r="Z288" s="89" t="str">
        <f>IF(LISTADO_NOM!K285="","",DATE(LISTADO_NOM!M285,LISTADO_NOM!L285,LISTADO_NOM!K285))</f>
        <v/>
      </c>
      <c r="AA288" s="89" t="str">
        <f>IFERROR(INDEX($Z$14:$Z$300, MATCH(0, INDEX(COUNTIF($AA$13:AA287, $Z$14:$Z$300), 0, 0), 0)), "")</f>
        <v/>
      </c>
      <c r="AB288" s="89" t="str">
        <f t="shared" si="4"/>
        <v/>
      </c>
      <c r="AC288">
        <v>275</v>
      </c>
      <c r="AE288" t="str">
        <f>IF(LISTADO_NOM!AN285="","",VLOOKUP(LISTADO_NOM!AN285,SEGUIMIENTOS,2,FALSE))</f>
        <v/>
      </c>
    </row>
    <row r="289" spans="26:31">
      <c r="Z289" s="89" t="str">
        <f>IF(LISTADO_NOM!K286="","",DATE(LISTADO_NOM!M286,LISTADO_NOM!L286,LISTADO_NOM!K286))</f>
        <v/>
      </c>
      <c r="AA289" s="89" t="str">
        <f>IFERROR(INDEX($Z$14:$Z$300, MATCH(0, INDEX(COUNTIF($AA$13:AA288, $Z$14:$Z$300), 0, 0), 0)), "")</f>
        <v/>
      </c>
      <c r="AB289" s="89" t="str">
        <f t="shared" si="4"/>
        <v/>
      </c>
      <c r="AC289">
        <v>276</v>
      </c>
      <c r="AE289" t="str">
        <f>IF(LISTADO_NOM!AN286="","",VLOOKUP(LISTADO_NOM!AN286,SEGUIMIENTOS,2,FALSE))</f>
        <v/>
      </c>
    </row>
    <row r="290" spans="26:31">
      <c r="Z290" s="89" t="str">
        <f>IF(LISTADO_NOM!K287="","",DATE(LISTADO_NOM!M287,LISTADO_NOM!L287,LISTADO_NOM!K287))</f>
        <v/>
      </c>
      <c r="AA290" s="89" t="str">
        <f>IFERROR(INDEX($Z$14:$Z$300, MATCH(0, INDEX(COUNTIF($AA$13:AA289, $Z$14:$Z$300), 0, 0), 0)), "")</f>
        <v/>
      </c>
      <c r="AB290" s="89" t="str">
        <f t="shared" si="4"/>
        <v/>
      </c>
      <c r="AC290">
        <v>277</v>
      </c>
      <c r="AE290" t="str">
        <f>IF(LISTADO_NOM!AN287="","",VLOOKUP(LISTADO_NOM!AN287,SEGUIMIENTOS,2,FALSE))</f>
        <v/>
      </c>
    </row>
    <row r="291" spans="26:31">
      <c r="Z291" s="89" t="str">
        <f>IF(LISTADO_NOM!K288="","",DATE(LISTADO_NOM!M288,LISTADO_NOM!L288,LISTADO_NOM!K288))</f>
        <v/>
      </c>
      <c r="AA291" s="89" t="str">
        <f>IFERROR(INDEX($Z$14:$Z$300, MATCH(0, INDEX(COUNTIF($AA$13:AA290, $Z$14:$Z$300), 0, 0), 0)), "")</f>
        <v/>
      </c>
      <c r="AB291" s="89" t="str">
        <f t="shared" si="4"/>
        <v/>
      </c>
      <c r="AC291">
        <v>278</v>
      </c>
      <c r="AE291" t="str">
        <f>IF(LISTADO_NOM!AN288="","",VLOOKUP(LISTADO_NOM!AN288,SEGUIMIENTOS,2,FALSE))</f>
        <v/>
      </c>
    </row>
    <row r="292" spans="26:31">
      <c r="Z292" s="89" t="str">
        <f>IF(LISTADO_NOM!K289="","",DATE(LISTADO_NOM!M289,LISTADO_NOM!L289,LISTADO_NOM!K289))</f>
        <v/>
      </c>
      <c r="AA292" s="89" t="str">
        <f>IFERROR(INDEX($Z$14:$Z$300, MATCH(0, INDEX(COUNTIF($AA$13:AA291, $Z$14:$Z$300), 0, 0), 0)), "")</f>
        <v/>
      </c>
      <c r="AB292" s="89" t="str">
        <f t="shared" si="4"/>
        <v/>
      </c>
      <c r="AC292">
        <v>279</v>
      </c>
      <c r="AE292" t="str">
        <f>IF(LISTADO_NOM!AN289="","",VLOOKUP(LISTADO_NOM!AN289,SEGUIMIENTOS,2,FALSE))</f>
        <v/>
      </c>
    </row>
    <row r="293" spans="26:31">
      <c r="Z293" s="89" t="str">
        <f>IF(LISTADO_NOM!K290="","",DATE(LISTADO_NOM!M290,LISTADO_NOM!L290,LISTADO_NOM!K290))</f>
        <v/>
      </c>
      <c r="AA293" s="89" t="str">
        <f>IFERROR(INDEX($Z$14:$Z$300, MATCH(0, INDEX(COUNTIF($AA$13:AA292, $Z$14:$Z$300), 0, 0), 0)), "")</f>
        <v/>
      </c>
      <c r="AB293" s="89" t="str">
        <f t="shared" si="4"/>
        <v/>
      </c>
      <c r="AC293">
        <v>280</v>
      </c>
      <c r="AE293" t="str">
        <f>IF(LISTADO_NOM!AN290="","",VLOOKUP(LISTADO_NOM!AN290,SEGUIMIENTOS,2,FALSE))</f>
        <v/>
      </c>
    </row>
    <row r="294" spans="26:31">
      <c r="Z294" s="89" t="str">
        <f>IF(LISTADO_NOM!K291="","",DATE(LISTADO_NOM!M291,LISTADO_NOM!L291,LISTADO_NOM!K291))</f>
        <v/>
      </c>
      <c r="AA294" s="89" t="str">
        <f>IFERROR(INDEX($Z$14:$Z$300, MATCH(0, INDEX(COUNTIF($AA$13:AA293, $Z$14:$Z$300), 0, 0), 0)), "")</f>
        <v/>
      </c>
      <c r="AB294" s="89" t="str">
        <f t="shared" si="4"/>
        <v/>
      </c>
      <c r="AC294">
        <v>281</v>
      </c>
      <c r="AE294" t="str">
        <f>IF(LISTADO_NOM!AN291="","",VLOOKUP(LISTADO_NOM!AN291,SEGUIMIENTOS,2,FALSE))</f>
        <v/>
      </c>
    </row>
    <row r="295" spans="26:31">
      <c r="Z295" s="89" t="str">
        <f>IF(LISTADO_NOM!K292="","",DATE(LISTADO_NOM!M292,LISTADO_NOM!L292,LISTADO_NOM!K292))</f>
        <v/>
      </c>
      <c r="AA295" s="89" t="str">
        <f>IFERROR(INDEX($Z$14:$Z$300, MATCH(0, INDEX(COUNTIF($AA$13:AA294, $Z$14:$Z$300), 0, 0), 0)), "")</f>
        <v/>
      </c>
      <c r="AB295" s="89" t="str">
        <f t="shared" si="4"/>
        <v/>
      </c>
      <c r="AC295">
        <v>282</v>
      </c>
      <c r="AE295" t="str">
        <f>IF(LISTADO_NOM!AN292="","",VLOOKUP(LISTADO_NOM!AN292,SEGUIMIENTOS,2,FALSE))</f>
        <v/>
      </c>
    </row>
    <row r="296" spans="26:31">
      <c r="Z296" s="89" t="str">
        <f>IF(LISTADO_NOM!K293="","",DATE(LISTADO_NOM!M293,LISTADO_NOM!L293,LISTADO_NOM!K293))</f>
        <v/>
      </c>
      <c r="AA296" s="89" t="str">
        <f>IFERROR(INDEX($Z$14:$Z$300, MATCH(0, INDEX(COUNTIF($AA$13:AA295, $Z$14:$Z$300), 0, 0), 0)), "")</f>
        <v/>
      </c>
      <c r="AB296" s="89" t="str">
        <f t="shared" si="4"/>
        <v/>
      </c>
      <c r="AC296">
        <v>283</v>
      </c>
      <c r="AE296" t="str">
        <f>IF(LISTADO_NOM!AN293="","",VLOOKUP(LISTADO_NOM!AN293,SEGUIMIENTOS,2,FALSE))</f>
        <v/>
      </c>
    </row>
    <row r="297" spans="26:31">
      <c r="Z297" s="89" t="str">
        <f>IF(LISTADO_NOM!K294="","",DATE(LISTADO_NOM!M294,LISTADO_NOM!L294,LISTADO_NOM!K294))</f>
        <v/>
      </c>
      <c r="AA297" s="89" t="str">
        <f>IFERROR(INDEX($Z$14:$Z$300, MATCH(0, INDEX(COUNTIF($AA$13:AA296, $Z$14:$Z$300), 0, 0), 0)), "")</f>
        <v/>
      </c>
      <c r="AB297" s="89" t="str">
        <f t="shared" si="4"/>
        <v/>
      </c>
      <c r="AC297">
        <v>284</v>
      </c>
      <c r="AE297" t="str">
        <f>IF(LISTADO_NOM!AN294="","",VLOOKUP(LISTADO_NOM!AN294,SEGUIMIENTOS,2,FALSE))</f>
        <v/>
      </c>
    </row>
    <row r="298" spans="26:31">
      <c r="Z298" s="89" t="str">
        <f>IF(LISTADO_NOM!K295="","",DATE(LISTADO_NOM!M295,LISTADO_NOM!L295,LISTADO_NOM!K295))</f>
        <v/>
      </c>
      <c r="AA298" s="89" t="str">
        <f>IFERROR(INDEX($Z$14:$Z$300, MATCH(0, INDEX(COUNTIF($AA$13:AA297, $Z$14:$Z$300), 0, 0), 0)), "")</f>
        <v/>
      </c>
      <c r="AB298" s="89" t="str">
        <f t="shared" si="4"/>
        <v/>
      </c>
      <c r="AC298">
        <v>285</v>
      </c>
      <c r="AE298" t="str">
        <f>IF(LISTADO_NOM!AN295="","",VLOOKUP(LISTADO_NOM!AN295,SEGUIMIENTOS,2,FALSE))</f>
        <v/>
      </c>
    </row>
    <row r="299" spans="26:31">
      <c r="Z299" s="89" t="str">
        <f>IF(LISTADO_NOM!K296="","",DATE(LISTADO_NOM!M296,LISTADO_NOM!L296,LISTADO_NOM!K296))</f>
        <v/>
      </c>
      <c r="AA299" s="89" t="str">
        <f>IFERROR(INDEX($Z$14:$Z$300, MATCH(0, INDEX(COUNTIF($AA$13:AA298, $Z$14:$Z$300), 0, 0), 0)), "")</f>
        <v/>
      </c>
      <c r="AB299" s="89" t="str">
        <f t="shared" si="4"/>
        <v/>
      </c>
      <c r="AC299">
        <v>286</v>
      </c>
      <c r="AE299" t="str">
        <f>IF(LISTADO_NOM!AN296="","",VLOOKUP(LISTADO_NOM!AN296,SEGUIMIENTOS,2,FALSE))</f>
        <v/>
      </c>
    </row>
    <row r="300" spans="26:31">
      <c r="Z300" s="89" t="str">
        <f>IF(LISTADO_NOM!K297="","",DATE(LISTADO_NOM!M297,LISTADO_NOM!L297,LISTADO_NOM!K297))</f>
        <v/>
      </c>
      <c r="AA300" s="89" t="str">
        <f>IFERROR(INDEX($Z$14:$Z$300, MATCH(0, INDEX(COUNTIF($AA$13:AA299, $Z$14:$Z$300), 0, 0), 0)), "")</f>
        <v/>
      </c>
      <c r="AB300" s="89" t="str">
        <f t="shared" si="4"/>
        <v/>
      </c>
      <c r="AC300">
        <v>287</v>
      </c>
      <c r="AE300" t="str">
        <f>IF(LISTADO_NOM!AN297="","",VLOOKUP(LISTADO_NOM!AN297,SEGUIMIENTOS,2,FALSE))</f>
        <v/>
      </c>
    </row>
    <row r="301" spans="26:31">
      <c r="Z301" s="89" t="str">
        <f>IF(LISTADO_NOM!K298="","",DATE(LISTADO_NOM!M298,LISTADO_NOM!L298,LISTADO_NOM!K298))</f>
        <v/>
      </c>
      <c r="AA301" s="89" t="str">
        <f>IFERROR(INDEX($Z$14:$Z$300, MATCH(0, INDEX(COUNTIF($AA$13:AA300, $Z$14:$Z$300), 0, 0), 0)), "")</f>
        <v/>
      </c>
      <c r="AB301" s="89" t="str">
        <f t="shared" si="4"/>
        <v/>
      </c>
      <c r="AC301">
        <v>288</v>
      </c>
      <c r="AE301" t="str">
        <f>IF(LISTADO_NOM!AN298="","",VLOOKUP(LISTADO_NOM!AN298,SEGUIMIENTOS,2,FALSE))</f>
        <v/>
      </c>
    </row>
    <row r="302" spans="26:31">
      <c r="Z302" s="89" t="str">
        <f>IF(LISTADO_NOM!K299="","",DATE(LISTADO_NOM!M299,LISTADO_NOM!L299,LISTADO_NOM!K299))</f>
        <v/>
      </c>
      <c r="AA302" s="89" t="str">
        <f>IFERROR(INDEX($Z$14:$Z$300, MATCH(0, INDEX(COUNTIF($AA$13:AA301, $Z$14:$Z$300), 0, 0), 0)), "")</f>
        <v/>
      </c>
      <c r="AB302" s="89" t="str">
        <f t="shared" si="4"/>
        <v/>
      </c>
      <c r="AC302">
        <v>289</v>
      </c>
      <c r="AE302" t="str">
        <f>IF(LISTADO_NOM!AN299="","",VLOOKUP(LISTADO_NOM!AN299,SEGUIMIENTOS,2,FALSE))</f>
        <v/>
      </c>
    </row>
    <row r="303" spans="26:31">
      <c r="Z303" s="89" t="str">
        <f>IF(LISTADO_NOM!K300="","",DATE(LISTADO_NOM!M300,LISTADO_NOM!L300,LISTADO_NOM!K300))</f>
        <v/>
      </c>
      <c r="AA303" s="89" t="str">
        <f>IFERROR(INDEX($Z$14:$Z$300, MATCH(0, INDEX(COUNTIF($AA$13:AA302, $Z$14:$Z$300), 0, 0), 0)), "")</f>
        <v/>
      </c>
      <c r="AB303" s="89" t="str">
        <f t="shared" si="4"/>
        <v/>
      </c>
      <c r="AC303">
        <v>290</v>
      </c>
      <c r="AE303" t="str">
        <f>IF(LISTADO_NOM!AN300="","",VLOOKUP(LISTADO_NOM!AN300,SEGUIMIENTOS,2,FALSE))</f>
        <v/>
      </c>
    </row>
    <row r="304" spans="26:31">
      <c r="Z304" s="89" t="str">
        <f>IF(LISTADO_NOM!K301="","",DATE(LISTADO_NOM!M301,LISTADO_NOM!L301,LISTADO_NOM!K301))</f>
        <v/>
      </c>
      <c r="AA304" s="89" t="str">
        <f>IFERROR(INDEX($Z$14:$Z$300, MATCH(0, INDEX(COUNTIF($AA$13:AA303, $Z$14:$Z$300), 0, 0), 0)), "")</f>
        <v/>
      </c>
      <c r="AB304" s="89" t="str">
        <f t="shared" si="4"/>
        <v/>
      </c>
      <c r="AC304">
        <v>291</v>
      </c>
      <c r="AE304" t="str">
        <f>IF(LISTADO_NOM!AN301="","",VLOOKUP(LISTADO_NOM!AN301,SEGUIMIENTOS,2,FALSE))</f>
        <v/>
      </c>
    </row>
    <row r="305" spans="26:31">
      <c r="Z305" s="89" t="str">
        <f>IF(LISTADO_NOM!K302="","",DATE(LISTADO_NOM!M302,LISTADO_NOM!L302,LISTADO_NOM!K302))</f>
        <v/>
      </c>
      <c r="AA305" s="89" t="str">
        <f>IFERROR(INDEX($Z$14:$Z$300, MATCH(0, INDEX(COUNTIF($AA$13:AA304, $Z$14:$Z$300), 0, 0), 0)), "")</f>
        <v/>
      </c>
      <c r="AB305" s="89" t="str">
        <f t="shared" si="4"/>
        <v/>
      </c>
      <c r="AC305">
        <v>292</v>
      </c>
      <c r="AE305" t="str">
        <f>IF(LISTADO_NOM!AN302="","",VLOOKUP(LISTADO_NOM!AN302,SEGUIMIENTOS,2,FALSE))</f>
        <v/>
      </c>
    </row>
    <row r="306" spans="26:31">
      <c r="Z306" s="89" t="str">
        <f>IF(LISTADO_NOM!K303="","",DATE(LISTADO_NOM!M303,LISTADO_NOM!L303,LISTADO_NOM!K303))</f>
        <v/>
      </c>
      <c r="AA306" s="89" t="str">
        <f>IFERROR(INDEX($Z$14:$Z$300, MATCH(0, INDEX(COUNTIF($AA$13:AA305, $Z$14:$Z$300), 0, 0), 0)), "")</f>
        <v/>
      </c>
      <c r="AB306" s="89" t="str">
        <f t="shared" si="4"/>
        <v/>
      </c>
      <c r="AC306">
        <v>293</v>
      </c>
      <c r="AE306" t="str">
        <f>IF(LISTADO_NOM!AN303="","",VLOOKUP(LISTADO_NOM!AN303,SEGUIMIENTOS,2,FALSE))</f>
        <v/>
      </c>
    </row>
    <row r="307" spans="26:31">
      <c r="Z307" s="89" t="str">
        <f>IF(LISTADO_NOM!K304="","",DATE(LISTADO_NOM!M304,LISTADO_NOM!L304,LISTADO_NOM!K304))</f>
        <v/>
      </c>
      <c r="AA307" s="89" t="str">
        <f>IFERROR(INDEX($Z$14:$Z$300, MATCH(0, INDEX(COUNTIF($AA$13:AA306, $Z$14:$Z$300), 0, 0), 0)), "")</f>
        <v/>
      </c>
      <c r="AB307" s="89" t="str">
        <f t="shared" si="4"/>
        <v/>
      </c>
      <c r="AC307">
        <v>294</v>
      </c>
      <c r="AE307" t="str">
        <f>IF(LISTADO_NOM!AN304="","",VLOOKUP(LISTADO_NOM!AN304,SEGUIMIENTOS,2,FALSE))</f>
        <v/>
      </c>
    </row>
    <row r="308" spans="26:31">
      <c r="Z308" s="89" t="str">
        <f>IF(LISTADO_NOM!K305="","",DATE(LISTADO_NOM!M305,LISTADO_NOM!L305,LISTADO_NOM!K305))</f>
        <v/>
      </c>
      <c r="AA308" s="89" t="str">
        <f>IFERROR(INDEX($Z$14:$Z$300, MATCH(0, INDEX(COUNTIF($AA$13:AA307, $Z$14:$Z$300), 0, 0), 0)), "")</f>
        <v/>
      </c>
      <c r="AB308" s="89" t="str">
        <f t="shared" si="4"/>
        <v/>
      </c>
      <c r="AC308">
        <v>295</v>
      </c>
      <c r="AE308" t="str">
        <f>IF(LISTADO_NOM!AN305="","",VLOOKUP(LISTADO_NOM!AN305,SEGUIMIENTOS,2,FALSE))</f>
        <v/>
      </c>
    </row>
    <row r="309" spans="26:31">
      <c r="Z309" s="89" t="str">
        <f>IF(LISTADO_NOM!K306="","",DATE(LISTADO_NOM!M306,LISTADO_NOM!L306,LISTADO_NOM!K306))</f>
        <v/>
      </c>
      <c r="AA309" s="89" t="str">
        <f>IFERROR(INDEX($Z$14:$Z$300, MATCH(0, INDEX(COUNTIF($AA$13:AA308, $Z$14:$Z$300), 0, 0), 0)), "")</f>
        <v/>
      </c>
      <c r="AB309" s="89" t="str">
        <f t="shared" si="4"/>
        <v/>
      </c>
      <c r="AC309">
        <v>296</v>
      </c>
      <c r="AE309" t="str">
        <f>IF(LISTADO_NOM!AN306="","",VLOOKUP(LISTADO_NOM!AN306,SEGUIMIENTOS,2,FALSE))</f>
        <v/>
      </c>
    </row>
    <row r="310" spans="26:31">
      <c r="Z310" s="89" t="str">
        <f>IF(LISTADO_NOM!K307="","",DATE(LISTADO_NOM!M307,LISTADO_NOM!L307,LISTADO_NOM!K307))</f>
        <v/>
      </c>
      <c r="AA310" s="89" t="str">
        <f>IFERROR(INDEX($Z$14:$Z$300, MATCH(0, INDEX(COUNTIF($AA$13:AA309, $Z$14:$Z$300), 0, 0), 0)), "")</f>
        <v/>
      </c>
      <c r="AB310" s="89" t="str">
        <f t="shared" si="4"/>
        <v/>
      </c>
      <c r="AC310">
        <v>297</v>
      </c>
      <c r="AE310" t="str">
        <f>IF(LISTADO_NOM!AN307="","",VLOOKUP(LISTADO_NOM!AN307,SEGUIMIENTOS,2,FALSE))</f>
        <v/>
      </c>
    </row>
    <row r="311" spans="26:31">
      <c r="Z311" s="89" t="str">
        <f>IF(LISTADO_NOM!K308="","",DATE(LISTADO_NOM!M308,LISTADO_NOM!L308,LISTADO_NOM!K308))</f>
        <v/>
      </c>
      <c r="AA311" s="89" t="str">
        <f>IFERROR(INDEX($Z$14:$Z$300, MATCH(0, INDEX(COUNTIF($AA$13:AA310, $Z$14:$Z$300), 0, 0), 0)), "")</f>
        <v/>
      </c>
      <c r="AB311" s="89" t="str">
        <f t="shared" si="4"/>
        <v/>
      </c>
      <c r="AC311">
        <v>298</v>
      </c>
      <c r="AE311" t="str">
        <f>IF(LISTADO_NOM!AN308="","",VLOOKUP(LISTADO_NOM!AN308,SEGUIMIENTOS,2,FALSE))</f>
        <v/>
      </c>
    </row>
    <row r="312" spans="26:31">
      <c r="Z312" t="str">
        <f>IF(LISTADO_NOM!K309="","",DATE(LISTADO_NOM!M309,LISTADO_NOM!L309,LISTADO_NOM!K309))</f>
        <v/>
      </c>
      <c r="AA312" s="89" t="str">
        <f>IFERROR(INDEX($Z$14:$Z$300, MATCH(0, INDEX(COUNTIF($AA$13:AA311, $Z$14:$Z$300), 0, 0), 0)), "")</f>
        <v/>
      </c>
      <c r="AB312" s="89" t="str">
        <f t="shared" si="4"/>
        <v/>
      </c>
      <c r="AC312">
        <v>299</v>
      </c>
      <c r="AE312" t="str">
        <f>IF(LISTADO_NOM!AN309="","",VLOOKUP(LISTADO_NOM!AN309,SEGUIMIENTOS,2,FALSE))</f>
        <v/>
      </c>
    </row>
    <row r="313" spans="26:31">
      <c r="Z313" t="str">
        <f>IF(LISTADO_NOM!K310="","",DATE(LISTADO_NOM!M310,LISTADO_NOM!L310,LISTADO_NOM!K310))</f>
        <v/>
      </c>
      <c r="AA313" s="89" t="str">
        <f>IFERROR(INDEX($Z$14:$Z$300, MATCH(0, INDEX(COUNTIF($AA$13:AA312, $Z$14:$Z$300), 0, 0), 0)), "")</f>
        <v/>
      </c>
      <c r="AB313" s="89" t="str">
        <f t="shared" si="4"/>
        <v/>
      </c>
      <c r="AC313">
        <v>300</v>
      </c>
      <c r="AE313" t="str">
        <f>IF(LISTADO_NOM!AN310="","",VLOOKUP(LISTADO_NOM!AN310,SEGUIMIENTOS,2,FALSE))</f>
        <v/>
      </c>
    </row>
    <row r="314" spans="26:31">
      <c r="Z314" t="str">
        <f>IF(LISTADO_NOM!K311="","",DATE(LISTADO_NOM!M311,LISTADO_NOM!L311,LISTADO_NOM!K311))</f>
        <v/>
      </c>
      <c r="AA314" s="89" t="str">
        <f>IFERROR(INDEX($Z$14:$Z$300, MATCH(0, INDEX(COUNTIF($AA$13:AA313, $Z$14:$Z$300), 0, 0), 0)), "")</f>
        <v/>
      </c>
      <c r="AB314" s="89" t="str">
        <f t="shared" si="4"/>
        <v/>
      </c>
      <c r="AC314">
        <v>301</v>
      </c>
      <c r="AE314" t="str">
        <f>IF(LISTADO_NOM!AN311="","",VLOOKUP(LISTADO_NOM!AN311,SEGUIMIENTOS,2,FALSE))</f>
        <v/>
      </c>
    </row>
    <row r="315" spans="26:31">
      <c r="Z315" t="str">
        <f>IF(LISTADO_NOM!K312="","",DATE(LISTADO_NOM!M312,LISTADO_NOM!L312,LISTADO_NOM!K312))</f>
        <v/>
      </c>
      <c r="AA315" s="89" t="str">
        <f>IFERROR(INDEX($Z$14:$Z$300, MATCH(0, INDEX(COUNTIF($AA$13:AA314, $Z$14:$Z$300), 0, 0), 0)), "")</f>
        <v/>
      </c>
      <c r="AB315" s="89" t="str">
        <f t="shared" si="4"/>
        <v/>
      </c>
      <c r="AC315">
        <v>302</v>
      </c>
      <c r="AE315" t="str">
        <f>IF(LISTADO_NOM!AN312="","",VLOOKUP(LISTADO_NOM!AN312,SEGUIMIENTOS,2,FALSE))</f>
        <v/>
      </c>
    </row>
    <row r="316" spans="26:31">
      <c r="Z316" t="str">
        <f>IF(LISTADO_NOM!K313="","",DATE(LISTADO_NOM!M313,LISTADO_NOM!L313,LISTADO_NOM!K313))</f>
        <v/>
      </c>
      <c r="AA316" s="89" t="str">
        <f>IFERROR(INDEX($Z$14:$Z$300, MATCH(0, INDEX(COUNTIF($AA$13:AA315, $Z$14:$Z$300), 0, 0), 0)), "")</f>
        <v/>
      </c>
      <c r="AB316" s="89" t="str">
        <f t="shared" si="4"/>
        <v/>
      </c>
      <c r="AC316">
        <v>303</v>
      </c>
      <c r="AE316" t="str">
        <f>IF(LISTADO_NOM!AN313="","",VLOOKUP(LISTADO_NOM!AN313,SEGUIMIENTOS,2,FALSE))</f>
        <v/>
      </c>
    </row>
    <row r="317" spans="26:31">
      <c r="Z317" t="str">
        <f>IF(LISTADO_NOM!K314="","",DATE(LISTADO_NOM!M314,LISTADO_NOM!L314,LISTADO_NOM!K314))</f>
        <v/>
      </c>
      <c r="AA317" s="89" t="str">
        <f>IFERROR(INDEX($Z$14:$Z$300, MATCH(0, INDEX(COUNTIF($AA$13:AA316, $Z$14:$Z$300), 0, 0), 0)), "")</f>
        <v/>
      </c>
      <c r="AB317" s="89" t="str">
        <f t="shared" si="4"/>
        <v/>
      </c>
      <c r="AC317">
        <v>304</v>
      </c>
      <c r="AE317" t="str">
        <f>IF(LISTADO_NOM!AN314="","",VLOOKUP(LISTADO_NOM!AN314,SEGUIMIENTOS,2,FALSE))</f>
        <v/>
      </c>
    </row>
    <row r="318" spans="26:31">
      <c r="Z318" t="str">
        <f>IF(LISTADO_NOM!K315="","",DATE(LISTADO_NOM!M315,LISTADO_NOM!L315,LISTADO_NOM!K315))</f>
        <v/>
      </c>
      <c r="AA318" s="89" t="str">
        <f>IFERROR(INDEX($Z$14:$Z$300, MATCH(0, INDEX(COUNTIF($AA$13:AA317, $Z$14:$Z$300), 0, 0), 0)), "")</f>
        <v/>
      </c>
      <c r="AB318" s="89" t="str">
        <f t="shared" si="4"/>
        <v/>
      </c>
      <c r="AC318">
        <v>305</v>
      </c>
      <c r="AE318" t="str">
        <f>IF(LISTADO_NOM!AN315="","",VLOOKUP(LISTADO_NOM!AN315,SEGUIMIENTOS,2,FALSE))</f>
        <v/>
      </c>
    </row>
    <row r="319" spans="26:31">
      <c r="Z319" t="str">
        <f>IF(LISTADO_NOM!K316="","",DATE(LISTADO_NOM!M316,LISTADO_NOM!L316,LISTADO_NOM!K316))</f>
        <v/>
      </c>
      <c r="AA319" s="89" t="str">
        <f>IFERROR(INDEX($Z$14:$Z$300, MATCH(0, INDEX(COUNTIF($AA$13:AA318, $Z$14:$Z$300), 0, 0), 0)), "")</f>
        <v/>
      </c>
      <c r="AB319" s="89" t="str">
        <f t="shared" si="4"/>
        <v/>
      </c>
      <c r="AC319">
        <v>306</v>
      </c>
      <c r="AE319" t="str">
        <f>IF(LISTADO_NOM!AN316="","",VLOOKUP(LISTADO_NOM!AN316,SEGUIMIENTOS,2,FALSE))</f>
        <v/>
      </c>
    </row>
    <row r="320" spans="26:31">
      <c r="Z320" t="str">
        <f>IF(LISTADO_NOM!K317="","",DATE(LISTADO_NOM!M317,LISTADO_NOM!L317,LISTADO_NOM!K317))</f>
        <v/>
      </c>
      <c r="AA320" s="89" t="str">
        <f>IFERROR(INDEX($Z$14:$Z$300, MATCH(0, INDEX(COUNTIF($AA$13:AA319, $Z$14:$Z$300), 0, 0), 0)), "")</f>
        <v/>
      </c>
      <c r="AB320" s="89" t="str">
        <f t="shared" si="4"/>
        <v/>
      </c>
      <c r="AC320">
        <v>307</v>
      </c>
      <c r="AE320" t="str">
        <f>IF(LISTADO_NOM!AN317="","",VLOOKUP(LISTADO_NOM!AN317,SEGUIMIENTOS,2,FALSE))</f>
        <v/>
      </c>
    </row>
    <row r="321" spans="26:31">
      <c r="Z321" t="str">
        <f>IF(LISTADO_NOM!K318="","",DATE(LISTADO_NOM!M318,LISTADO_NOM!L318,LISTADO_NOM!K318))</f>
        <v/>
      </c>
      <c r="AA321" s="89" t="str">
        <f>IFERROR(INDEX($Z$14:$Z$300, MATCH(0, INDEX(COUNTIF($AA$13:AA320, $Z$14:$Z$300), 0, 0), 0)), "")</f>
        <v/>
      </c>
      <c r="AB321" s="89" t="str">
        <f t="shared" si="4"/>
        <v/>
      </c>
      <c r="AC321">
        <v>308</v>
      </c>
      <c r="AE321" t="str">
        <f>IF(LISTADO_NOM!AN318="","",VLOOKUP(LISTADO_NOM!AN318,SEGUIMIENTOS,2,FALSE))</f>
        <v/>
      </c>
    </row>
    <row r="322" spans="26:31">
      <c r="Z322" s="89" t="str">
        <f>IF(LISTADO_NOM!K319="","",DATE(LISTADO_NOM!M319,LISTADO_NOM!L319,LISTADO_NOM!K319))</f>
        <v/>
      </c>
      <c r="AA322" s="89" t="str">
        <f>IFERROR(INDEX($Z$14:$Z$300, MATCH(0, INDEX(COUNTIF($AA$13:AA321, $Z$14:$Z$300), 0, 0), 0)), "")</f>
        <v/>
      </c>
      <c r="AB322" s="89" t="str">
        <f t="shared" si="4"/>
        <v/>
      </c>
      <c r="AC322">
        <v>309</v>
      </c>
      <c r="AE322" t="str">
        <f>IF(LISTADO_NOM!AN319="","",VLOOKUP(LISTADO_NOM!AN319,SEGUIMIENTOS,2,FALSE))</f>
        <v/>
      </c>
    </row>
    <row r="323" spans="26:31">
      <c r="Z323" s="89" t="str">
        <f>IF(LISTADO_NOM!K320="","",DATE(LISTADO_NOM!M320,LISTADO_NOM!L320,LISTADO_NOM!K320))</f>
        <v/>
      </c>
      <c r="AA323" s="89" t="str">
        <f>IFERROR(INDEX($Z$14:$Z$300, MATCH(0, INDEX(COUNTIF($AA$13:AA322, $Z$14:$Z$300), 0, 0), 0)), "")</f>
        <v/>
      </c>
      <c r="AB323" s="89" t="str">
        <f t="shared" si="4"/>
        <v/>
      </c>
      <c r="AC323">
        <v>310</v>
      </c>
      <c r="AE323" t="str">
        <f>IF(LISTADO_NOM!AN320="","",VLOOKUP(LISTADO_NOM!AN320,SEGUIMIENTOS,2,FALSE))</f>
        <v/>
      </c>
    </row>
    <row r="324" spans="26:31">
      <c r="Z324" s="89" t="str">
        <f>IF(LISTADO_NOM!K321="","",DATE(LISTADO_NOM!M321,LISTADO_NOM!L321,LISTADO_NOM!K321))</f>
        <v/>
      </c>
      <c r="AA324" s="89" t="str">
        <f>IFERROR(INDEX($Z$14:$Z$300, MATCH(0, INDEX(COUNTIF($AA$13:AA323, $Z$14:$Z$300), 0, 0), 0)), "")</f>
        <v/>
      </c>
      <c r="AB324" s="89" t="str">
        <f t="shared" si="4"/>
        <v/>
      </c>
      <c r="AC324">
        <v>311</v>
      </c>
      <c r="AE324" t="str">
        <f>IF(LISTADO_NOM!AN321="","",VLOOKUP(LISTADO_NOM!AN321,SEGUIMIENTOS,2,FALSE))</f>
        <v/>
      </c>
    </row>
    <row r="325" spans="26:31">
      <c r="Z325" s="89" t="str">
        <f>IF(LISTADO_NOM!K322="","",DATE(LISTADO_NOM!M322,LISTADO_NOM!L322,LISTADO_NOM!K322))</f>
        <v/>
      </c>
      <c r="AA325" s="89" t="str">
        <f>IFERROR(INDEX($Z$14:$Z$300, MATCH(0, INDEX(COUNTIF($AA$13:AA324, $Z$14:$Z$300), 0, 0), 0)), "")</f>
        <v/>
      </c>
      <c r="AB325" s="89" t="str">
        <f t="shared" si="4"/>
        <v/>
      </c>
      <c r="AC325">
        <v>312</v>
      </c>
      <c r="AE325" t="str">
        <f>IF(LISTADO_NOM!AN322="","",VLOOKUP(LISTADO_NOM!AN322,SEGUIMIENTOS,2,FALSE))</f>
        <v/>
      </c>
    </row>
    <row r="326" spans="26:31">
      <c r="Z326" s="89" t="str">
        <f>IF(LISTADO_NOM!K323="","",DATE(LISTADO_NOM!M323,LISTADO_NOM!L323,LISTADO_NOM!K323))</f>
        <v/>
      </c>
      <c r="AA326" s="89" t="str">
        <f>IFERROR(INDEX($Z$14:$Z$300, MATCH(0, INDEX(COUNTIF($AA$13:AA325, $Z$14:$Z$300), 0, 0), 0)), "")</f>
        <v/>
      </c>
      <c r="AB326" s="89" t="str">
        <f t="shared" si="4"/>
        <v/>
      </c>
      <c r="AC326">
        <v>313</v>
      </c>
      <c r="AE326" t="str">
        <f>IF(LISTADO_NOM!AN323="","",VLOOKUP(LISTADO_NOM!AN323,SEGUIMIENTOS,2,FALSE))</f>
        <v/>
      </c>
    </row>
    <row r="327" spans="26:31">
      <c r="Z327" s="89" t="str">
        <f>IF(LISTADO_NOM!K324="","",DATE(LISTADO_NOM!M324,LISTADO_NOM!L324,LISTADO_NOM!K324))</f>
        <v/>
      </c>
      <c r="AA327" s="89" t="str">
        <f>IFERROR(INDEX($Z$14:$Z$300, MATCH(0, INDEX(COUNTIF($AA$13:AA326, $Z$14:$Z$300), 0, 0), 0)), "")</f>
        <v/>
      </c>
      <c r="AB327" s="89" t="str">
        <f t="shared" si="4"/>
        <v/>
      </c>
      <c r="AC327">
        <v>314</v>
      </c>
      <c r="AE327" t="str">
        <f>IF(LISTADO_NOM!AN324="","",VLOOKUP(LISTADO_NOM!AN324,SEGUIMIENTOS,2,FALSE))</f>
        <v/>
      </c>
    </row>
    <row r="328" spans="26:31">
      <c r="Z328" s="89" t="str">
        <f>IF(LISTADO_NOM!K325="","",DATE(LISTADO_NOM!M325,LISTADO_NOM!L325,LISTADO_NOM!K325))</f>
        <v/>
      </c>
      <c r="AA328" s="89" t="str">
        <f>IFERROR(INDEX($Z$14:$Z$300, MATCH(0, INDEX(COUNTIF($AA$13:AA327, $Z$14:$Z$300), 0, 0), 0)), "")</f>
        <v/>
      </c>
      <c r="AB328" s="89" t="str">
        <f t="shared" si="4"/>
        <v/>
      </c>
      <c r="AC328">
        <v>315</v>
      </c>
      <c r="AE328" t="str">
        <f>IF(LISTADO_NOM!AN325="","",VLOOKUP(LISTADO_NOM!AN325,SEGUIMIENTOS,2,FALSE))</f>
        <v/>
      </c>
    </row>
    <row r="329" spans="26:31">
      <c r="Z329" s="89" t="str">
        <f>IF(LISTADO_NOM!K326="","",DATE(LISTADO_NOM!M326,LISTADO_NOM!L326,LISTADO_NOM!K326))</f>
        <v/>
      </c>
      <c r="AA329" s="89" t="str">
        <f>IFERROR(INDEX($Z$14:$Z$300, MATCH(0, INDEX(COUNTIF($AA$13:AA328, $Z$14:$Z$300), 0, 0), 0)), "")</f>
        <v/>
      </c>
      <c r="AB329" s="89" t="str">
        <f t="shared" si="4"/>
        <v/>
      </c>
      <c r="AC329">
        <v>316</v>
      </c>
      <c r="AE329" t="str">
        <f>IF(LISTADO_NOM!AN326="","",VLOOKUP(LISTADO_NOM!AN326,SEGUIMIENTOS,2,FALSE))</f>
        <v/>
      </c>
    </row>
    <row r="330" spans="26:31">
      <c r="Z330" s="89" t="str">
        <f>IF(LISTADO_NOM!K327="","",DATE(LISTADO_NOM!M327,LISTADO_NOM!L327,LISTADO_NOM!K327))</f>
        <v/>
      </c>
      <c r="AA330" s="89" t="str">
        <f>IFERROR(INDEX($Z$14:$Z$300, MATCH(0, INDEX(COUNTIF($AA$13:AA329, $Z$14:$Z$300), 0, 0), 0)), "")</f>
        <v/>
      </c>
      <c r="AB330" s="89" t="str">
        <f t="shared" si="4"/>
        <v/>
      </c>
      <c r="AC330">
        <v>317</v>
      </c>
      <c r="AE330" t="str">
        <f>IF(LISTADO_NOM!AN327="","",VLOOKUP(LISTADO_NOM!AN327,SEGUIMIENTOS,2,FALSE))</f>
        <v/>
      </c>
    </row>
    <row r="331" spans="26:31">
      <c r="Z331" s="89" t="str">
        <f>IF(LISTADO_NOM!K328="","",DATE(LISTADO_NOM!M328,LISTADO_NOM!L328,LISTADO_NOM!K328))</f>
        <v/>
      </c>
      <c r="AA331" s="89" t="str">
        <f>IFERROR(INDEX($Z$14:$Z$300, MATCH(0, INDEX(COUNTIF($AA$13:AA330, $Z$14:$Z$300), 0, 0), 0)), "")</f>
        <v/>
      </c>
      <c r="AB331" s="89" t="str">
        <f t="shared" si="4"/>
        <v/>
      </c>
      <c r="AC331">
        <v>318</v>
      </c>
      <c r="AE331" t="str">
        <f>IF(LISTADO_NOM!AN328="","",VLOOKUP(LISTADO_NOM!AN328,SEGUIMIENTOS,2,FALSE))</f>
        <v/>
      </c>
    </row>
    <row r="332" spans="26:31">
      <c r="Z332" s="89" t="str">
        <f>IF(LISTADO_NOM!K329="","",DATE(LISTADO_NOM!M329,LISTADO_NOM!L329,LISTADO_NOM!K329))</f>
        <v/>
      </c>
      <c r="AA332" s="89" t="str">
        <f>IFERROR(INDEX($Z$14:$Z$300, MATCH(0, INDEX(COUNTIF($AA$13:AA331, $Z$14:$Z$300), 0, 0), 0)), "")</f>
        <v/>
      </c>
      <c r="AB332" s="89" t="str">
        <f t="shared" si="4"/>
        <v/>
      </c>
      <c r="AC332">
        <v>319</v>
      </c>
      <c r="AE332" t="str">
        <f>IF(LISTADO_NOM!AN329="","",VLOOKUP(LISTADO_NOM!AN329,SEGUIMIENTOS,2,FALSE))</f>
        <v/>
      </c>
    </row>
    <row r="333" spans="26:31">
      <c r="Z333" s="89" t="str">
        <f>IF(LISTADO_NOM!K330="","",DATE(LISTADO_NOM!M330,LISTADO_NOM!L330,LISTADO_NOM!K330))</f>
        <v/>
      </c>
      <c r="AA333" s="89" t="str">
        <f>IFERROR(INDEX($Z$14:$Z$300, MATCH(0, INDEX(COUNTIF($AA$13:AA332, $Z$14:$Z$300), 0, 0), 0)), "")</f>
        <v/>
      </c>
      <c r="AB333" s="89" t="str">
        <f t="shared" si="4"/>
        <v/>
      </c>
      <c r="AC333">
        <v>320</v>
      </c>
      <c r="AE333" t="str">
        <f>IF(LISTADO_NOM!AN330="","",VLOOKUP(LISTADO_NOM!AN330,SEGUIMIENTOS,2,FALSE))</f>
        <v/>
      </c>
    </row>
    <row r="334" spans="26:31">
      <c r="Z334" s="89" t="str">
        <f>IF(LISTADO_NOM!K331="","",DATE(LISTADO_NOM!M331,LISTADO_NOM!L331,LISTADO_NOM!K331))</f>
        <v/>
      </c>
      <c r="AA334" s="89" t="str">
        <f>IFERROR(INDEX($Z$14:$Z$300, MATCH(0, INDEX(COUNTIF($AA$13:AA333, $Z$14:$Z$300), 0, 0), 0)), "")</f>
        <v/>
      </c>
      <c r="AB334" s="89" t="str">
        <f t="shared" ref="AB334:AB397" si="5">IF(AA334="","",SMALL(ORDENA_,AC334))</f>
        <v/>
      </c>
      <c r="AC334">
        <v>321</v>
      </c>
      <c r="AE334" t="str">
        <f>IF(LISTADO_NOM!AN331="","",VLOOKUP(LISTADO_NOM!AN331,SEGUIMIENTOS,2,FALSE))</f>
        <v/>
      </c>
    </row>
    <row r="335" spans="26:31">
      <c r="Z335" s="89" t="str">
        <f>IF(LISTADO_NOM!K332="","",DATE(LISTADO_NOM!M332,LISTADO_NOM!L332,LISTADO_NOM!K332))</f>
        <v/>
      </c>
      <c r="AA335" s="89" t="str">
        <f>IFERROR(INDEX($Z$14:$Z$300, MATCH(0, INDEX(COUNTIF($AA$13:AA334, $Z$14:$Z$300), 0, 0), 0)), "")</f>
        <v/>
      </c>
      <c r="AB335" s="89" t="str">
        <f t="shared" si="5"/>
        <v/>
      </c>
      <c r="AC335">
        <v>322</v>
      </c>
      <c r="AE335" t="str">
        <f>IF(LISTADO_NOM!AN332="","",VLOOKUP(LISTADO_NOM!AN332,SEGUIMIENTOS,2,FALSE))</f>
        <v/>
      </c>
    </row>
    <row r="336" spans="26:31">
      <c r="Z336" s="89" t="str">
        <f>IF(LISTADO_NOM!K333="","",DATE(LISTADO_NOM!M333,LISTADO_NOM!L333,LISTADO_NOM!K333))</f>
        <v/>
      </c>
      <c r="AA336" s="89" t="str">
        <f>IFERROR(INDEX($Z$14:$Z$300, MATCH(0, INDEX(COUNTIF($AA$13:AA335, $Z$14:$Z$300), 0, 0), 0)), "")</f>
        <v/>
      </c>
      <c r="AB336" s="89" t="str">
        <f t="shared" si="5"/>
        <v/>
      </c>
      <c r="AC336">
        <v>323</v>
      </c>
      <c r="AE336" t="str">
        <f>IF(LISTADO_NOM!AN333="","",VLOOKUP(LISTADO_NOM!AN333,SEGUIMIENTOS,2,FALSE))</f>
        <v/>
      </c>
    </row>
    <row r="337" spans="26:31">
      <c r="Z337" s="89" t="str">
        <f>IF(LISTADO_NOM!K334="","",DATE(LISTADO_NOM!M334,LISTADO_NOM!L334,LISTADO_NOM!K334))</f>
        <v/>
      </c>
      <c r="AA337" s="89" t="str">
        <f>IFERROR(INDEX($Z$14:$Z$300, MATCH(0, INDEX(COUNTIF($AA$13:AA336, $Z$14:$Z$300), 0, 0), 0)), "")</f>
        <v/>
      </c>
      <c r="AB337" s="89" t="str">
        <f t="shared" si="5"/>
        <v/>
      </c>
      <c r="AC337">
        <v>324</v>
      </c>
      <c r="AE337" t="str">
        <f>IF(LISTADO_NOM!AN334="","",VLOOKUP(LISTADO_NOM!AN334,SEGUIMIENTOS,2,FALSE))</f>
        <v/>
      </c>
    </row>
    <row r="338" spans="26:31">
      <c r="Z338" s="89" t="str">
        <f>IF(LISTADO_NOM!K335="","",DATE(LISTADO_NOM!M335,LISTADO_NOM!L335,LISTADO_NOM!K335))</f>
        <v/>
      </c>
      <c r="AA338" s="89" t="str">
        <f>IFERROR(INDEX($Z$14:$Z$300, MATCH(0, INDEX(COUNTIF($AA$13:AA337, $Z$14:$Z$300), 0, 0), 0)), "")</f>
        <v/>
      </c>
      <c r="AB338" s="89" t="str">
        <f t="shared" si="5"/>
        <v/>
      </c>
      <c r="AC338">
        <v>325</v>
      </c>
      <c r="AE338" t="str">
        <f>IF(LISTADO_NOM!AN335="","",VLOOKUP(LISTADO_NOM!AN335,SEGUIMIENTOS,2,FALSE))</f>
        <v/>
      </c>
    </row>
    <row r="339" spans="26:31">
      <c r="Z339" s="89" t="str">
        <f>IF(LISTADO_NOM!K336="","",DATE(LISTADO_NOM!M336,LISTADO_NOM!L336,LISTADO_NOM!K336))</f>
        <v/>
      </c>
      <c r="AA339" s="89" t="str">
        <f>IFERROR(INDEX($Z$14:$Z$300, MATCH(0, INDEX(COUNTIF($AA$13:AA338, $Z$14:$Z$300), 0, 0), 0)), "")</f>
        <v/>
      </c>
      <c r="AB339" s="89" t="str">
        <f t="shared" si="5"/>
        <v/>
      </c>
      <c r="AC339">
        <v>326</v>
      </c>
      <c r="AE339" t="str">
        <f>IF(LISTADO_NOM!AN336="","",VLOOKUP(LISTADO_NOM!AN336,SEGUIMIENTOS,2,FALSE))</f>
        <v/>
      </c>
    </row>
    <row r="340" spans="26:31">
      <c r="Z340" s="89" t="str">
        <f>IF(LISTADO_NOM!K337="","",DATE(LISTADO_NOM!M337,LISTADO_NOM!L337,LISTADO_NOM!K337))</f>
        <v/>
      </c>
      <c r="AA340" s="89" t="str">
        <f>IFERROR(INDEX($Z$14:$Z$300, MATCH(0, INDEX(COUNTIF($AA$13:AA339, $Z$14:$Z$300), 0, 0), 0)), "")</f>
        <v/>
      </c>
      <c r="AB340" s="89" t="str">
        <f t="shared" si="5"/>
        <v/>
      </c>
      <c r="AC340">
        <v>327</v>
      </c>
      <c r="AE340" t="str">
        <f>IF(LISTADO_NOM!AN337="","",VLOOKUP(LISTADO_NOM!AN337,SEGUIMIENTOS,2,FALSE))</f>
        <v/>
      </c>
    </row>
    <row r="341" spans="26:31">
      <c r="Z341" s="89" t="str">
        <f>IF(LISTADO_NOM!K338="","",DATE(LISTADO_NOM!M338,LISTADO_NOM!L338,LISTADO_NOM!K338))</f>
        <v/>
      </c>
      <c r="AA341" s="89" t="str">
        <f>IFERROR(INDEX($Z$14:$Z$300, MATCH(0, INDEX(COUNTIF($AA$13:AA340, $Z$14:$Z$300), 0, 0), 0)), "")</f>
        <v/>
      </c>
      <c r="AB341" s="89" t="str">
        <f t="shared" si="5"/>
        <v/>
      </c>
      <c r="AC341">
        <v>328</v>
      </c>
      <c r="AE341" t="str">
        <f>IF(LISTADO_NOM!AN338="","",VLOOKUP(LISTADO_NOM!AN338,SEGUIMIENTOS,2,FALSE))</f>
        <v/>
      </c>
    </row>
    <row r="342" spans="26:31">
      <c r="Z342" s="89" t="str">
        <f>IF(LISTADO_NOM!K339="","",DATE(LISTADO_NOM!M339,LISTADO_NOM!L339,LISTADO_NOM!K339))</f>
        <v/>
      </c>
      <c r="AA342" s="89" t="str">
        <f>IFERROR(INDEX($Z$14:$Z$300, MATCH(0, INDEX(COUNTIF($AA$13:AA341, $Z$14:$Z$300), 0, 0), 0)), "")</f>
        <v/>
      </c>
      <c r="AB342" s="89" t="str">
        <f t="shared" si="5"/>
        <v/>
      </c>
      <c r="AC342">
        <v>329</v>
      </c>
      <c r="AE342" t="str">
        <f>IF(LISTADO_NOM!AN339="","",VLOOKUP(LISTADO_NOM!AN339,SEGUIMIENTOS,2,FALSE))</f>
        <v/>
      </c>
    </row>
    <row r="343" spans="26:31">
      <c r="Z343" s="89" t="str">
        <f>IF(LISTADO_NOM!K340="","",DATE(LISTADO_NOM!M340,LISTADO_NOM!L340,LISTADO_NOM!K340))</f>
        <v/>
      </c>
      <c r="AA343" s="89" t="str">
        <f>IFERROR(INDEX($Z$14:$Z$300, MATCH(0, INDEX(COUNTIF($AA$13:AA342, $Z$14:$Z$300), 0, 0), 0)), "")</f>
        <v/>
      </c>
      <c r="AB343" s="89" t="str">
        <f t="shared" si="5"/>
        <v/>
      </c>
      <c r="AC343">
        <v>330</v>
      </c>
      <c r="AE343" t="str">
        <f>IF(LISTADO_NOM!AN340="","",VLOOKUP(LISTADO_NOM!AN340,SEGUIMIENTOS,2,FALSE))</f>
        <v/>
      </c>
    </row>
    <row r="344" spans="26:31">
      <c r="Z344" s="89" t="str">
        <f>IF(LISTADO_NOM!K341="","",DATE(LISTADO_NOM!M341,LISTADO_NOM!L341,LISTADO_NOM!K341))</f>
        <v/>
      </c>
      <c r="AA344" s="89" t="str">
        <f>IFERROR(INDEX($Z$14:$Z$300, MATCH(0, INDEX(COUNTIF($AA$13:AA343, $Z$14:$Z$300), 0, 0), 0)), "")</f>
        <v/>
      </c>
      <c r="AB344" s="89" t="str">
        <f t="shared" si="5"/>
        <v/>
      </c>
      <c r="AC344">
        <v>331</v>
      </c>
      <c r="AE344" t="str">
        <f>IF(LISTADO_NOM!AN341="","",VLOOKUP(LISTADO_NOM!AN341,SEGUIMIENTOS,2,FALSE))</f>
        <v/>
      </c>
    </row>
    <row r="345" spans="26:31">
      <c r="Z345" s="89" t="str">
        <f>IF(LISTADO_NOM!K342="","",DATE(LISTADO_NOM!M342,LISTADO_NOM!L342,LISTADO_NOM!K342))</f>
        <v/>
      </c>
      <c r="AA345" s="89" t="str">
        <f>IFERROR(INDEX($Z$14:$Z$300, MATCH(0, INDEX(COUNTIF($AA$13:AA344, $Z$14:$Z$300), 0, 0), 0)), "")</f>
        <v/>
      </c>
      <c r="AB345" s="89" t="str">
        <f t="shared" si="5"/>
        <v/>
      </c>
      <c r="AC345">
        <v>332</v>
      </c>
      <c r="AE345" t="str">
        <f>IF(LISTADO_NOM!AN342="","",VLOOKUP(LISTADO_NOM!AN342,SEGUIMIENTOS,2,FALSE))</f>
        <v/>
      </c>
    </row>
    <row r="346" spans="26:31">
      <c r="Z346" s="89" t="str">
        <f>IF(LISTADO_NOM!K343="","",DATE(LISTADO_NOM!M343,LISTADO_NOM!L343,LISTADO_NOM!K343))</f>
        <v/>
      </c>
      <c r="AA346" s="89" t="str">
        <f>IFERROR(INDEX($Z$14:$Z$300, MATCH(0, INDEX(COUNTIF($AA$13:AA345, $Z$14:$Z$300), 0, 0), 0)), "")</f>
        <v/>
      </c>
      <c r="AB346" s="89" t="str">
        <f t="shared" si="5"/>
        <v/>
      </c>
      <c r="AC346">
        <v>333</v>
      </c>
      <c r="AE346" t="str">
        <f>IF(LISTADO_NOM!AN343="","",VLOOKUP(LISTADO_NOM!AN343,SEGUIMIENTOS,2,FALSE))</f>
        <v/>
      </c>
    </row>
    <row r="347" spans="26:31">
      <c r="Z347" s="89" t="str">
        <f>IF(LISTADO_NOM!K344="","",DATE(LISTADO_NOM!M344,LISTADO_NOM!L344,LISTADO_NOM!K344))</f>
        <v/>
      </c>
      <c r="AA347" s="89" t="str">
        <f>IFERROR(INDEX($Z$14:$Z$300, MATCH(0, INDEX(COUNTIF($AA$13:AA346, $Z$14:$Z$300), 0, 0), 0)), "")</f>
        <v/>
      </c>
      <c r="AB347" s="89" t="str">
        <f t="shared" si="5"/>
        <v/>
      </c>
      <c r="AC347">
        <v>334</v>
      </c>
      <c r="AE347" t="str">
        <f>IF(LISTADO_NOM!AN344="","",VLOOKUP(LISTADO_NOM!AN344,SEGUIMIENTOS,2,FALSE))</f>
        <v/>
      </c>
    </row>
    <row r="348" spans="26:31">
      <c r="Z348" s="89" t="str">
        <f>IF(LISTADO_NOM!K345="","",DATE(LISTADO_NOM!M345,LISTADO_NOM!L345,LISTADO_NOM!K345))</f>
        <v/>
      </c>
      <c r="AA348" s="89" t="str">
        <f>IFERROR(INDEX($Z$14:$Z$300, MATCH(0, INDEX(COUNTIF($AA$13:AA347, $Z$14:$Z$300), 0, 0), 0)), "")</f>
        <v/>
      </c>
      <c r="AB348" s="89" t="str">
        <f t="shared" si="5"/>
        <v/>
      </c>
      <c r="AC348">
        <v>335</v>
      </c>
      <c r="AE348" t="str">
        <f>IF(LISTADO_NOM!AN345="","",VLOOKUP(LISTADO_NOM!AN345,SEGUIMIENTOS,2,FALSE))</f>
        <v/>
      </c>
    </row>
    <row r="349" spans="26:31">
      <c r="Z349" s="89" t="str">
        <f>IF(LISTADO_NOM!K346="","",DATE(LISTADO_NOM!M346,LISTADO_NOM!L346,LISTADO_NOM!K346))</f>
        <v/>
      </c>
      <c r="AA349" s="89" t="str">
        <f>IFERROR(INDEX($Z$14:$Z$300, MATCH(0, INDEX(COUNTIF($AA$13:AA348, $Z$14:$Z$300), 0, 0), 0)), "")</f>
        <v/>
      </c>
      <c r="AB349" s="89" t="str">
        <f t="shared" si="5"/>
        <v/>
      </c>
      <c r="AC349">
        <v>336</v>
      </c>
      <c r="AE349" t="str">
        <f>IF(LISTADO_NOM!AN346="","",VLOOKUP(LISTADO_NOM!AN346,SEGUIMIENTOS,2,FALSE))</f>
        <v/>
      </c>
    </row>
    <row r="350" spans="26:31">
      <c r="Z350" s="89" t="str">
        <f>IF(LISTADO_NOM!K347="","",DATE(LISTADO_NOM!M347,LISTADO_NOM!L347,LISTADO_NOM!K347))</f>
        <v/>
      </c>
      <c r="AA350" s="89" t="str">
        <f>IFERROR(INDEX($Z$14:$Z$300, MATCH(0, INDEX(COUNTIF($AA$13:AA349, $Z$14:$Z$300), 0, 0), 0)), "")</f>
        <v/>
      </c>
      <c r="AB350" s="89" t="str">
        <f t="shared" si="5"/>
        <v/>
      </c>
      <c r="AC350">
        <v>337</v>
      </c>
      <c r="AE350" t="str">
        <f>IF(LISTADO_NOM!AN347="","",VLOOKUP(LISTADO_NOM!AN347,SEGUIMIENTOS,2,FALSE))</f>
        <v/>
      </c>
    </row>
    <row r="351" spans="26:31">
      <c r="Z351" s="89" t="str">
        <f>IF(LISTADO_NOM!K348="","",DATE(LISTADO_NOM!M348,LISTADO_NOM!L348,LISTADO_NOM!K348))</f>
        <v/>
      </c>
      <c r="AA351" s="89" t="str">
        <f>IFERROR(INDEX($Z$14:$Z$300, MATCH(0, INDEX(COUNTIF($AA$13:AA350, $Z$14:$Z$300), 0, 0), 0)), "")</f>
        <v/>
      </c>
      <c r="AB351" s="89" t="str">
        <f t="shared" si="5"/>
        <v/>
      </c>
      <c r="AC351">
        <v>338</v>
      </c>
      <c r="AE351" t="str">
        <f>IF(LISTADO_NOM!AN348="","",VLOOKUP(LISTADO_NOM!AN348,SEGUIMIENTOS,2,FALSE))</f>
        <v/>
      </c>
    </row>
    <row r="352" spans="26:31">
      <c r="Z352" s="89" t="str">
        <f>IF(LISTADO_NOM!K349="","",DATE(LISTADO_NOM!M349,LISTADO_NOM!L349,LISTADO_NOM!K349))</f>
        <v/>
      </c>
      <c r="AA352" s="89" t="str">
        <f>IFERROR(INDEX($Z$14:$Z$300, MATCH(0, INDEX(COUNTIF($AA$13:AA351, $Z$14:$Z$300), 0, 0), 0)), "")</f>
        <v/>
      </c>
      <c r="AB352" s="89" t="str">
        <f t="shared" si="5"/>
        <v/>
      </c>
      <c r="AC352">
        <v>339</v>
      </c>
      <c r="AE352" t="str">
        <f>IF(LISTADO_NOM!AN349="","",VLOOKUP(LISTADO_NOM!AN349,SEGUIMIENTOS,2,FALSE))</f>
        <v/>
      </c>
    </row>
    <row r="353" spans="26:31">
      <c r="Z353" s="89" t="str">
        <f>IF(LISTADO_NOM!K350="","",DATE(LISTADO_NOM!M350,LISTADO_NOM!L350,LISTADO_NOM!K350))</f>
        <v/>
      </c>
      <c r="AA353" s="89" t="str">
        <f>IFERROR(INDEX($Z$14:$Z$300, MATCH(0, INDEX(COUNTIF($AA$13:AA352, $Z$14:$Z$300), 0, 0), 0)), "")</f>
        <v/>
      </c>
      <c r="AB353" s="89" t="str">
        <f t="shared" si="5"/>
        <v/>
      </c>
      <c r="AC353">
        <v>340</v>
      </c>
      <c r="AE353" t="str">
        <f>IF(LISTADO_NOM!AN350="","",VLOOKUP(LISTADO_NOM!AN350,SEGUIMIENTOS,2,FALSE))</f>
        <v/>
      </c>
    </row>
    <row r="354" spans="26:31">
      <c r="Z354" s="89" t="str">
        <f>IF(LISTADO_NOM!K351="","",DATE(LISTADO_NOM!M351,LISTADO_NOM!L351,LISTADO_NOM!K351))</f>
        <v/>
      </c>
      <c r="AA354" s="89" t="str">
        <f>IFERROR(INDEX($Z$14:$Z$300, MATCH(0, INDEX(COUNTIF($AA$13:AA353, $Z$14:$Z$300), 0, 0), 0)), "")</f>
        <v/>
      </c>
      <c r="AB354" s="89" t="str">
        <f t="shared" si="5"/>
        <v/>
      </c>
      <c r="AC354">
        <v>341</v>
      </c>
      <c r="AE354" t="str">
        <f>IF(LISTADO_NOM!AN351="","",VLOOKUP(LISTADO_NOM!AN351,SEGUIMIENTOS,2,FALSE))</f>
        <v/>
      </c>
    </row>
    <row r="355" spans="26:31">
      <c r="Z355" s="89" t="str">
        <f>IF(LISTADO_NOM!K352="","",DATE(LISTADO_NOM!M352,LISTADO_NOM!L352,LISTADO_NOM!K352))</f>
        <v/>
      </c>
      <c r="AA355" s="89" t="str">
        <f>IFERROR(INDEX($Z$14:$Z$300, MATCH(0, INDEX(COUNTIF($AA$13:AA354, $Z$14:$Z$300), 0, 0), 0)), "")</f>
        <v/>
      </c>
      <c r="AB355" s="89" t="str">
        <f t="shared" si="5"/>
        <v/>
      </c>
      <c r="AC355">
        <v>342</v>
      </c>
      <c r="AE355" t="str">
        <f>IF(LISTADO_NOM!AN352="","",VLOOKUP(LISTADO_NOM!AN352,SEGUIMIENTOS,2,FALSE))</f>
        <v/>
      </c>
    </row>
    <row r="356" spans="26:31">
      <c r="Z356" s="89" t="str">
        <f>IF(LISTADO_NOM!K353="","",DATE(LISTADO_NOM!M353,LISTADO_NOM!L353,LISTADO_NOM!K353))</f>
        <v/>
      </c>
      <c r="AA356" s="89" t="str">
        <f>IFERROR(INDEX($Z$14:$Z$300, MATCH(0, INDEX(COUNTIF($AA$13:AA355, $Z$14:$Z$300), 0, 0), 0)), "")</f>
        <v/>
      </c>
      <c r="AB356" s="89" t="str">
        <f t="shared" si="5"/>
        <v/>
      </c>
      <c r="AC356">
        <v>343</v>
      </c>
      <c r="AE356" t="str">
        <f>IF(LISTADO_NOM!AN353="","",VLOOKUP(LISTADO_NOM!AN353,SEGUIMIENTOS,2,FALSE))</f>
        <v/>
      </c>
    </row>
    <row r="357" spans="26:31">
      <c r="Z357" s="89" t="str">
        <f>IF(LISTADO_NOM!K354="","",DATE(LISTADO_NOM!M354,LISTADO_NOM!L354,LISTADO_NOM!K354))</f>
        <v/>
      </c>
      <c r="AA357" s="89" t="str">
        <f>IFERROR(INDEX($Z$14:$Z$300, MATCH(0, INDEX(COUNTIF($AA$13:AA356, $Z$14:$Z$300), 0, 0), 0)), "")</f>
        <v/>
      </c>
      <c r="AB357" s="89" t="str">
        <f t="shared" si="5"/>
        <v/>
      </c>
      <c r="AC357">
        <v>344</v>
      </c>
      <c r="AE357" t="str">
        <f>IF(LISTADO_NOM!AN354="","",VLOOKUP(LISTADO_NOM!AN354,SEGUIMIENTOS,2,FALSE))</f>
        <v/>
      </c>
    </row>
    <row r="358" spans="26:31">
      <c r="Z358" s="89" t="str">
        <f>IF(LISTADO_NOM!K355="","",DATE(LISTADO_NOM!M355,LISTADO_NOM!L355,LISTADO_NOM!K355))</f>
        <v/>
      </c>
      <c r="AA358" s="89" t="str">
        <f>IFERROR(INDEX($Z$14:$Z$300, MATCH(0, INDEX(COUNTIF($AA$13:AA357, $Z$14:$Z$300), 0, 0), 0)), "")</f>
        <v/>
      </c>
      <c r="AB358" s="89" t="str">
        <f t="shared" si="5"/>
        <v/>
      </c>
      <c r="AC358">
        <v>345</v>
      </c>
      <c r="AE358" t="str">
        <f>IF(LISTADO_NOM!AN355="","",VLOOKUP(LISTADO_NOM!AN355,SEGUIMIENTOS,2,FALSE))</f>
        <v/>
      </c>
    </row>
    <row r="359" spans="26:31">
      <c r="Z359" s="89" t="str">
        <f>IF(LISTADO_NOM!K356="","",DATE(LISTADO_NOM!M356,LISTADO_NOM!L356,LISTADO_NOM!K356))</f>
        <v/>
      </c>
      <c r="AA359" s="89" t="str">
        <f>IFERROR(INDEX($Z$14:$Z$300, MATCH(0, INDEX(COUNTIF($AA$13:AA358, $Z$14:$Z$300), 0, 0), 0)), "")</f>
        <v/>
      </c>
      <c r="AB359" s="89" t="str">
        <f t="shared" si="5"/>
        <v/>
      </c>
      <c r="AC359">
        <v>346</v>
      </c>
      <c r="AE359" t="str">
        <f>IF(LISTADO_NOM!AN356="","",VLOOKUP(LISTADO_NOM!AN356,SEGUIMIENTOS,2,FALSE))</f>
        <v/>
      </c>
    </row>
    <row r="360" spans="26:31">
      <c r="Z360" s="89" t="str">
        <f>IF(LISTADO_NOM!K357="","",DATE(LISTADO_NOM!M357,LISTADO_NOM!L357,LISTADO_NOM!K357))</f>
        <v/>
      </c>
      <c r="AA360" s="89" t="str">
        <f>IFERROR(INDEX($Z$14:$Z$300, MATCH(0, INDEX(COUNTIF($AA$13:AA359, $Z$14:$Z$300), 0, 0), 0)), "")</f>
        <v/>
      </c>
      <c r="AB360" s="89" t="str">
        <f t="shared" si="5"/>
        <v/>
      </c>
      <c r="AC360">
        <v>347</v>
      </c>
      <c r="AE360" t="str">
        <f>IF(LISTADO_NOM!AN357="","",VLOOKUP(LISTADO_NOM!AN357,SEGUIMIENTOS,2,FALSE))</f>
        <v/>
      </c>
    </row>
    <row r="361" spans="26:31">
      <c r="Z361" s="89" t="str">
        <f>IF(LISTADO_NOM!K358="","",DATE(LISTADO_NOM!M358,LISTADO_NOM!L358,LISTADO_NOM!K358))</f>
        <v/>
      </c>
      <c r="AA361" s="89" t="str">
        <f>IFERROR(INDEX($Z$14:$Z$300, MATCH(0, INDEX(COUNTIF($AA$13:AA360, $Z$14:$Z$300), 0, 0), 0)), "")</f>
        <v/>
      </c>
      <c r="AB361" s="89" t="str">
        <f t="shared" si="5"/>
        <v/>
      </c>
      <c r="AC361">
        <v>348</v>
      </c>
      <c r="AE361" t="str">
        <f>IF(LISTADO_NOM!AN358="","",VLOOKUP(LISTADO_NOM!AN358,SEGUIMIENTOS,2,FALSE))</f>
        <v/>
      </c>
    </row>
    <row r="362" spans="26:31">
      <c r="Z362" s="89" t="str">
        <f>IF(LISTADO_NOM!K359="","",DATE(LISTADO_NOM!M359,LISTADO_NOM!L359,LISTADO_NOM!K359))</f>
        <v/>
      </c>
      <c r="AA362" s="89" t="str">
        <f>IFERROR(INDEX($Z$14:$Z$300, MATCH(0, INDEX(COUNTIF($AA$13:AA361, $Z$14:$Z$300), 0, 0), 0)), "")</f>
        <v/>
      </c>
      <c r="AB362" s="89" t="str">
        <f t="shared" si="5"/>
        <v/>
      </c>
      <c r="AC362">
        <v>349</v>
      </c>
      <c r="AE362" t="str">
        <f>IF(LISTADO_NOM!AN359="","",VLOOKUP(LISTADO_NOM!AN359,SEGUIMIENTOS,2,FALSE))</f>
        <v/>
      </c>
    </row>
    <row r="363" spans="26:31">
      <c r="Z363" s="89" t="str">
        <f>IF(LISTADO_NOM!K360="","",DATE(LISTADO_NOM!M360,LISTADO_NOM!L360,LISTADO_NOM!K360))</f>
        <v/>
      </c>
      <c r="AA363" s="89" t="str">
        <f>IFERROR(INDEX($Z$14:$Z$300, MATCH(0, INDEX(COUNTIF($AA$13:AA362, $Z$14:$Z$300), 0, 0), 0)), "")</f>
        <v/>
      </c>
      <c r="AB363" s="89" t="str">
        <f t="shared" si="5"/>
        <v/>
      </c>
      <c r="AC363">
        <v>350</v>
      </c>
      <c r="AE363" t="str">
        <f>IF(LISTADO_NOM!AN360="","",VLOOKUP(LISTADO_NOM!AN360,SEGUIMIENTOS,2,FALSE))</f>
        <v/>
      </c>
    </row>
    <row r="364" spans="26:31">
      <c r="Z364" s="89" t="str">
        <f>IF(LISTADO_NOM!K361="","",DATE(LISTADO_NOM!M361,LISTADO_NOM!L361,LISTADO_NOM!K361))</f>
        <v/>
      </c>
      <c r="AA364" s="89" t="str">
        <f>IFERROR(INDEX($Z$14:$Z$300, MATCH(0, INDEX(COUNTIF($AA$13:AA363, $Z$14:$Z$300), 0, 0), 0)), "")</f>
        <v/>
      </c>
      <c r="AB364" s="89" t="str">
        <f t="shared" si="5"/>
        <v/>
      </c>
      <c r="AC364">
        <v>351</v>
      </c>
      <c r="AE364" t="str">
        <f>IF(LISTADO_NOM!AN361="","",VLOOKUP(LISTADO_NOM!AN361,SEGUIMIENTOS,2,FALSE))</f>
        <v/>
      </c>
    </row>
    <row r="365" spans="26:31">
      <c r="Z365" s="89" t="str">
        <f>IF(LISTADO_NOM!K362="","",DATE(LISTADO_NOM!M362,LISTADO_NOM!L362,LISTADO_NOM!K362))</f>
        <v/>
      </c>
      <c r="AA365" s="89" t="str">
        <f>IFERROR(INDEX($Z$14:$Z$300, MATCH(0, INDEX(COUNTIF($AA$13:AA364, $Z$14:$Z$300), 0, 0), 0)), "")</f>
        <v/>
      </c>
      <c r="AB365" s="89" t="str">
        <f t="shared" si="5"/>
        <v/>
      </c>
      <c r="AC365">
        <v>352</v>
      </c>
      <c r="AE365" t="str">
        <f>IF(LISTADO_NOM!AN362="","",VLOOKUP(LISTADO_NOM!AN362,SEGUIMIENTOS,2,FALSE))</f>
        <v/>
      </c>
    </row>
    <row r="366" spans="26:31">
      <c r="Z366" s="89" t="str">
        <f>IF(LISTADO_NOM!K363="","",DATE(LISTADO_NOM!M363,LISTADO_NOM!L363,LISTADO_NOM!K363))</f>
        <v/>
      </c>
      <c r="AA366" s="89" t="str">
        <f>IFERROR(INDEX($Z$14:$Z$300, MATCH(0, INDEX(COUNTIF($AA$13:AA365, $Z$14:$Z$300), 0, 0), 0)), "")</f>
        <v/>
      </c>
      <c r="AB366" s="89" t="str">
        <f t="shared" si="5"/>
        <v/>
      </c>
      <c r="AC366">
        <v>353</v>
      </c>
      <c r="AE366" t="str">
        <f>IF(LISTADO_NOM!AN363="","",VLOOKUP(LISTADO_NOM!AN363,SEGUIMIENTOS,2,FALSE))</f>
        <v/>
      </c>
    </row>
    <row r="367" spans="26:31">
      <c r="Z367" s="89" t="str">
        <f>IF(LISTADO_NOM!K364="","",DATE(LISTADO_NOM!M364,LISTADO_NOM!L364,LISTADO_NOM!K364))</f>
        <v/>
      </c>
      <c r="AA367" s="89" t="str">
        <f>IFERROR(INDEX($Z$14:$Z$300, MATCH(0, INDEX(COUNTIF($AA$13:AA366, $Z$14:$Z$300), 0, 0), 0)), "")</f>
        <v/>
      </c>
      <c r="AB367" s="89" t="str">
        <f t="shared" si="5"/>
        <v/>
      </c>
      <c r="AC367">
        <v>354</v>
      </c>
      <c r="AE367" t="str">
        <f>IF(LISTADO_NOM!AN364="","",VLOOKUP(LISTADO_NOM!AN364,SEGUIMIENTOS,2,FALSE))</f>
        <v/>
      </c>
    </row>
    <row r="368" spans="26:31">
      <c r="Z368" s="89" t="str">
        <f>IF(LISTADO_NOM!K365="","",DATE(LISTADO_NOM!M365,LISTADO_NOM!L365,LISTADO_NOM!K365))</f>
        <v/>
      </c>
      <c r="AA368" s="89" t="str">
        <f>IFERROR(INDEX($Z$14:$Z$300, MATCH(0, INDEX(COUNTIF($AA$13:AA367, $Z$14:$Z$300), 0, 0), 0)), "")</f>
        <v/>
      </c>
      <c r="AB368" s="89" t="str">
        <f t="shared" si="5"/>
        <v/>
      </c>
      <c r="AC368">
        <v>355</v>
      </c>
      <c r="AE368" t="str">
        <f>IF(LISTADO_NOM!AN365="","",VLOOKUP(LISTADO_NOM!AN365,SEGUIMIENTOS,2,FALSE))</f>
        <v/>
      </c>
    </row>
    <row r="369" spans="26:31">
      <c r="Z369" s="89" t="str">
        <f>IF(LISTADO_NOM!K366="","",DATE(LISTADO_NOM!M366,LISTADO_NOM!L366,LISTADO_NOM!K366))</f>
        <v/>
      </c>
      <c r="AA369" s="89" t="str">
        <f>IFERROR(INDEX($Z$14:$Z$300, MATCH(0, INDEX(COUNTIF($AA$13:AA368, $Z$14:$Z$300), 0, 0), 0)), "")</f>
        <v/>
      </c>
      <c r="AB369" s="89" t="str">
        <f t="shared" si="5"/>
        <v/>
      </c>
      <c r="AC369">
        <v>356</v>
      </c>
      <c r="AE369" t="str">
        <f>IF(LISTADO_NOM!AN366="","",VLOOKUP(LISTADO_NOM!AN366,SEGUIMIENTOS,2,FALSE))</f>
        <v/>
      </c>
    </row>
    <row r="370" spans="26:31">
      <c r="Z370" s="89" t="str">
        <f>IF(LISTADO_NOM!K367="","",DATE(LISTADO_NOM!M367,LISTADO_NOM!L367,LISTADO_NOM!K367))</f>
        <v/>
      </c>
      <c r="AA370" s="89" t="str">
        <f>IFERROR(INDEX($Z$14:$Z$300, MATCH(0, INDEX(COUNTIF($AA$13:AA369, $Z$14:$Z$300), 0, 0), 0)), "")</f>
        <v/>
      </c>
      <c r="AB370" s="89" t="str">
        <f t="shared" si="5"/>
        <v/>
      </c>
      <c r="AC370">
        <v>357</v>
      </c>
      <c r="AE370" t="str">
        <f>IF(LISTADO_NOM!AN367="","",VLOOKUP(LISTADO_NOM!AN367,SEGUIMIENTOS,2,FALSE))</f>
        <v/>
      </c>
    </row>
    <row r="371" spans="26:31">
      <c r="Z371" s="89" t="str">
        <f>IF(LISTADO_NOM!K368="","",DATE(LISTADO_NOM!M368,LISTADO_NOM!L368,LISTADO_NOM!K368))</f>
        <v/>
      </c>
      <c r="AA371" s="89" t="str">
        <f>IFERROR(INDEX($Z$14:$Z$300, MATCH(0, INDEX(COUNTIF($AA$13:AA370, $Z$14:$Z$300), 0, 0), 0)), "")</f>
        <v/>
      </c>
      <c r="AB371" s="89" t="str">
        <f t="shared" si="5"/>
        <v/>
      </c>
      <c r="AC371">
        <v>358</v>
      </c>
      <c r="AE371" t="str">
        <f>IF(LISTADO_NOM!AN368="","",VLOOKUP(LISTADO_NOM!AN368,SEGUIMIENTOS,2,FALSE))</f>
        <v/>
      </c>
    </row>
    <row r="372" spans="26:31">
      <c r="Z372" s="89" t="str">
        <f>IF(LISTADO_NOM!K369="","",DATE(LISTADO_NOM!M369,LISTADO_NOM!L369,LISTADO_NOM!K369))</f>
        <v/>
      </c>
      <c r="AA372" s="89" t="str">
        <f>IFERROR(INDEX($Z$14:$Z$300, MATCH(0, INDEX(COUNTIF($AA$13:AA371, $Z$14:$Z$300), 0, 0), 0)), "")</f>
        <v/>
      </c>
      <c r="AB372" s="89" t="str">
        <f t="shared" si="5"/>
        <v/>
      </c>
      <c r="AC372">
        <v>359</v>
      </c>
      <c r="AE372" t="str">
        <f>IF(LISTADO_NOM!AN369="","",VLOOKUP(LISTADO_NOM!AN369,SEGUIMIENTOS,2,FALSE))</f>
        <v/>
      </c>
    </row>
    <row r="373" spans="26:31">
      <c r="Z373" s="89" t="str">
        <f>IF(LISTADO_NOM!K370="","",DATE(LISTADO_NOM!M370,LISTADO_NOM!L370,LISTADO_NOM!K370))</f>
        <v/>
      </c>
      <c r="AA373" s="89" t="str">
        <f>IFERROR(INDEX($Z$14:$Z$300, MATCH(0, INDEX(COUNTIF($AA$13:AA372, $Z$14:$Z$300), 0, 0), 0)), "")</f>
        <v/>
      </c>
      <c r="AB373" s="89" t="str">
        <f t="shared" si="5"/>
        <v/>
      </c>
      <c r="AC373">
        <v>360</v>
      </c>
      <c r="AE373" t="str">
        <f>IF(LISTADO_NOM!AN370="","",VLOOKUP(LISTADO_NOM!AN370,SEGUIMIENTOS,2,FALSE))</f>
        <v/>
      </c>
    </row>
    <row r="374" spans="26:31">
      <c r="Z374" s="89" t="str">
        <f>IF(LISTADO_NOM!K371="","",DATE(LISTADO_NOM!M371,LISTADO_NOM!L371,LISTADO_NOM!K371))</f>
        <v/>
      </c>
      <c r="AA374" s="89" t="str">
        <f>IFERROR(INDEX($Z$14:$Z$300, MATCH(0, INDEX(COUNTIF($AA$13:AA373, $Z$14:$Z$300), 0, 0), 0)), "")</f>
        <v/>
      </c>
      <c r="AB374" s="89" t="str">
        <f t="shared" si="5"/>
        <v/>
      </c>
      <c r="AC374">
        <v>361</v>
      </c>
      <c r="AE374" t="str">
        <f>IF(LISTADO_NOM!AN371="","",VLOOKUP(LISTADO_NOM!AN371,SEGUIMIENTOS,2,FALSE))</f>
        <v/>
      </c>
    </row>
    <row r="375" spans="26:31">
      <c r="Z375" s="89" t="str">
        <f>IF(LISTADO_NOM!K372="","",DATE(LISTADO_NOM!M372,LISTADO_NOM!L372,LISTADO_NOM!K372))</f>
        <v/>
      </c>
      <c r="AA375" s="89" t="str">
        <f>IFERROR(INDEX($Z$14:$Z$300, MATCH(0, INDEX(COUNTIF($AA$13:AA374, $Z$14:$Z$300), 0, 0), 0)), "")</f>
        <v/>
      </c>
      <c r="AB375" s="89" t="str">
        <f t="shared" si="5"/>
        <v/>
      </c>
      <c r="AC375">
        <v>362</v>
      </c>
      <c r="AE375" t="str">
        <f>IF(LISTADO_NOM!AN372="","",VLOOKUP(LISTADO_NOM!AN372,SEGUIMIENTOS,2,FALSE))</f>
        <v/>
      </c>
    </row>
    <row r="376" spans="26:31">
      <c r="Z376" s="89" t="str">
        <f>IF(LISTADO_NOM!K373="","",DATE(LISTADO_NOM!M373,LISTADO_NOM!L373,LISTADO_NOM!K373))</f>
        <v/>
      </c>
      <c r="AA376" s="89" t="str">
        <f>IFERROR(INDEX($Z$14:$Z$300, MATCH(0, INDEX(COUNTIF($AA$13:AA375, $Z$14:$Z$300), 0, 0), 0)), "")</f>
        <v/>
      </c>
      <c r="AB376" s="89" t="str">
        <f t="shared" si="5"/>
        <v/>
      </c>
      <c r="AC376">
        <v>363</v>
      </c>
      <c r="AE376" t="str">
        <f>IF(LISTADO_NOM!AN373="","",VLOOKUP(LISTADO_NOM!AN373,SEGUIMIENTOS,2,FALSE))</f>
        <v/>
      </c>
    </row>
    <row r="377" spans="26:31">
      <c r="Z377" s="89" t="str">
        <f>IF(LISTADO_NOM!K374="","",DATE(LISTADO_NOM!M374,LISTADO_NOM!L374,LISTADO_NOM!K374))</f>
        <v/>
      </c>
      <c r="AA377" s="89" t="str">
        <f>IFERROR(INDEX($Z$14:$Z$300, MATCH(0, INDEX(COUNTIF($AA$13:AA376, $Z$14:$Z$300), 0, 0), 0)), "")</f>
        <v/>
      </c>
      <c r="AB377" s="89" t="str">
        <f t="shared" si="5"/>
        <v/>
      </c>
      <c r="AC377">
        <v>364</v>
      </c>
      <c r="AE377" t="str">
        <f>IF(LISTADO_NOM!AN374="","",VLOOKUP(LISTADO_NOM!AN374,SEGUIMIENTOS,2,FALSE))</f>
        <v/>
      </c>
    </row>
    <row r="378" spans="26:31">
      <c r="Z378" s="89" t="str">
        <f>IF(LISTADO_NOM!K375="","",DATE(LISTADO_NOM!M375,LISTADO_NOM!L375,LISTADO_NOM!K375))</f>
        <v/>
      </c>
      <c r="AA378" s="89" t="str">
        <f>IFERROR(INDEX($Z$14:$Z$300, MATCH(0, INDEX(COUNTIF($AA$13:AA377, $Z$14:$Z$300), 0, 0), 0)), "")</f>
        <v/>
      </c>
      <c r="AB378" s="89" t="str">
        <f t="shared" si="5"/>
        <v/>
      </c>
      <c r="AC378">
        <v>365</v>
      </c>
      <c r="AE378" t="str">
        <f>IF(LISTADO_NOM!AN375="","",VLOOKUP(LISTADO_NOM!AN375,SEGUIMIENTOS,2,FALSE))</f>
        <v/>
      </c>
    </row>
    <row r="379" spans="26:31">
      <c r="Z379" s="89" t="str">
        <f>IF(LISTADO_NOM!K376="","",DATE(LISTADO_NOM!M376,LISTADO_NOM!L376,LISTADO_NOM!K376))</f>
        <v/>
      </c>
      <c r="AA379" s="89" t="str">
        <f>IFERROR(INDEX($Z$14:$Z$300, MATCH(0, INDEX(COUNTIF($AA$13:AA378, $Z$14:$Z$300), 0, 0), 0)), "")</f>
        <v/>
      </c>
      <c r="AB379" s="89" t="str">
        <f t="shared" si="5"/>
        <v/>
      </c>
      <c r="AC379">
        <v>366</v>
      </c>
      <c r="AE379" t="str">
        <f>IF(LISTADO_NOM!AN376="","",VLOOKUP(LISTADO_NOM!AN376,SEGUIMIENTOS,2,FALSE))</f>
        <v/>
      </c>
    </row>
    <row r="380" spans="26:31">
      <c r="Z380" s="89" t="str">
        <f>IF(LISTADO_NOM!K377="","",DATE(LISTADO_NOM!M377,LISTADO_NOM!L377,LISTADO_NOM!K377))</f>
        <v/>
      </c>
      <c r="AA380" s="89" t="str">
        <f>IFERROR(INDEX($Z$14:$Z$300, MATCH(0, INDEX(COUNTIF($AA$13:AA379, $Z$14:$Z$300), 0, 0), 0)), "")</f>
        <v/>
      </c>
      <c r="AB380" s="89" t="str">
        <f t="shared" si="5"/>
        <v/>
      </c>
      <c r="AC380">
        <v>367</v>
      </c>
      <c r="AE380" t="str">
        <f>IF(LISTADO_NOM!AN377="","",VLOOKUP(LISTADO_NOM!AN377,SEGUIMIENTOS,2,FALSE))</f>
        <v/>
      </c>
    </row>
    <row r="381" spans="26:31">
      <c r="Z381" s="89" t="str">
        <f>IF(LISTADO_NOM!K378="","",DATE(LISTADO_NOM!M378,LISTADO_NOM!L378,LISTADO_NOM!K378))</f>
        <v/>
      </c>
      <c r="AA381" s="89" t="str">
        <f>IFERROR(INDEX($Z$14:$Z$300, MATCH(0, INDEX(COUNTIF($AA$13:AA380, $Z$14:$Z$300), 0, 0), 0)), "")</f>
        <v/>
      </c>
      <c r="AB381" s="89" t="str">
        <f t="shared" si="5"/>
        <v/>
      </c>
      <c r="AC381">
        <v>368</v>
      </c>
      <c r="AE381" t="str">
        <f>IF(LISTADO_NOM!AN378="","",VLOOKUP(LISTADO_NOM!AN378,SEGUIMIENTOS,2,FALSE))</f>
        <v/>
      </c>
    </row>
    <row r="382" spans="26:31">
      <c r="Z382" s="89" t="str">
        <f>IF(LISTADO_NOM!K379="","",DATE(LISTADO_NOM!M379,LISTADO_NOM!L379,LISTADO_NOM!K379))</f>
        <v/>
      </c>
      <c r="AA382" s="89" t="str">
        <f>IFERROR(INDEX($Z$14:$Z$300, MATCH(0, INDEX(COUNTIF($AA$13:AA381, $Z$14:$Z$300), 0, 0), 0)), "")</f>
        <v/>
      </c>
      <c r="AB382" s="89" t="str">
        <f t="shared" si="5"/>
        <v/>
      </c>
      <c r="AC382">
        <v>369</v>
      </c>
      <c r="AE382" t="str">
        <f>IF(LISTADO_NOM!AN379="","",VLOOKUP(LISTADO_NOM!AN379,SEGUIMIENTOS,2,FALSE))</f>
        <v/>
      </c>
    </row>
    <row r="383" spans="26:31">
      <c r="Z383" s="89" t="str">
        <f>IF(LISTADO_NOM!K380="","",DATE(LISTADO_NOM!M380,LISTADO_NOM!L380,LISTADO_NOM!K380))</f>
        <v/>
      </c>
      <c r="AA383" s="89" t="str">
        <f>IFERROR(INDEX($Z$14:$Z$300, MATCH(0, INDEX(COUNTIF($AA$13:AA382, $Z$14:$Z$300), 0, 0), 0)), "")</f>
        <v/>
      </c>
      <c r="AB383" s="89" t="str">
        <f t="shared" si="5"/>
        <v/>
      </c>
      <c r="AC383">
        <v>370</v>
      </c>
      <c r="AE383" t="str">
        <f>IF(LISTADO_NOM!AN380="","",VLOOKUP(LISTADO_NOM!AN380,SEGUIMIENTOS,2,FALSE))</f>
        <v/>
      </c>
    </row>
    <row r="384" spans="26:31">
      <c r="Z384" s="89" t="str">
        <f>IF(LISTADO_NOM!K381="","",DATE(LISTADO_NOM!M381,LISTADO_NOM!L381,LISTADO_NOM!K381))</f>
        <v/>
      </c>
      <c r="AA384" s="89" t="str">
        <f>IFERROR(INDEX($Z$14:$Z$300, MATCH(0, INDEX(COUNTIF($AA$13:AA383, $Z$14:$Z$300), 0, 0), 0)), "")</f>
        <v/>
      </c>
      <c r="AB384" s="89" t="str">
        <f t="shared" si="5"/>
        <v/>
      </c>
      <c r="AC384">
        <v>371</v>
      </c>
      <c r="AE384" t="str">
        <f>IF(LISTADO_NOM!AN381="","",VLOOKUP(LISTADO_NOM!AN381,SEGUIMIENTOS,2,FALSE))</f>
        <v/>
      </c>
    </row>
    <row r="385" spans="26:31">
      <c r="Z385" s="89" t="str">
        <f>IF(LISTADO_NOM!K382="","",DATE(LISTADO_NOM!M382,LISTADO_NOM!L382,LISTADO_NOM!K382))</f>
        <v/>
      </c>
      <c r="AA385" s="89" t="str">
        <f>IFERROR(INDEX($Z$14:$Z$300, MATCH(0, INDEX(COUNTIF($AA$13:AA384, $Z$14:$Z$300), 0, 0), 0)), "")</f>
        <v/>
      </c>
      <c r="AB385" s="89" t="str">
        <f t="shared" si="5"/>
        <v/>
      </c>
      <c r="AC385">
        <v>372</v>
      </c>
      <c r="AE385" t="str">
        <f>IF(LISTADO_NOM!AN382="","",VLOOKUP(LISTADO_NOM!AN382,SEGUIMIENTOS,2,FALSE))</f>
        <v/>
      </c>
    </row>
    <row r="386" spans="26:31">
      <c r="Z386" s="89" t="str">
        <f>IF(LISTADO_NOM!K383="","",DATE(LISTADO_NOM!M383,LISTADO_NOM!L383,LISTADO_NOM!K383))</f>
        <v/>
      </c>
      <c r="AA386" s="89" t="str">
        <f>IFERROR(INDEX($Z$14:$Z$300, MATCH(0, INDEX(COUNTIF($AA$13:AA385, $Z$14:$Z$300), 0, 0), 0)), "")</f>
        <v/>
      </c>
      <c r="AB386" s="89" t="str">
        <f t="shared" si="5"/>
        <v/>
      </c>
      <c r="AC386">
        <v>373</v>
      </c>
      <c r="AE386" t="str">
        <f>IF(LISTADO_NOM!AN383="","",VLOOKUP(LISTADO_NOM!AN383,SEGUIMIENTOS,2,FALSE))</f>
        <v/>
      </c>
    </row>
    <row r="387" spans="26:31">
      <c r="Z387" s="89" t="str">
        <f>IF(LISTADO_NOM!K384="","",DATE(LISTADO_NOM!M384,LISTADO_NOM!L384,LISTADO_NOM!K384))</f>
        <v/>
      </c>
      <c r="AA387" s="89" t="str">
        <f>IFERROR(INDEX($Z$14:$Z$300, MATCH(0, INDEX(COUNTIF($AA$13:AA386, $Z$14:$Z$300), 0, 0), 0)), "")</f>
        <v/>
      </c>
      <c r="AB387" s="89" t="str">
        <f t="shared" si="5"/>
        <v/>
      </c>
      <c r="AC387">
        <v>374</v>
      </c>
      <c r="AE387" t="str">
        <f>IF(LISTADO_NOM!AN384="","",VLOOKUP(LISTADO_NOM!AN384,SEGUIMIENTOS,2,FALSE))</f>
        <v/>
      </c>
    </row>
    <row r="388" spans="26:31">
      <c r="Z388" s="89" t="str">
        <f>IF(LISTADO_NOM!K385="","",DATE(LISTADO_NOM!M385,LISTADO_NOM!L385,LISTADO_NOM!K385))</f>
        <v/>
      </c>
      <c r="AA388" s="89" t="str">
        <f>IFERROR(INDEX($Z$14:$Z$300, MATCH(0, INDEX(COUNTIF($AA$13:AA387, $Z$14:$Z$300), 0, 0), 0)), "")</f>
        <v/>
      </c>
      <c r="AB388" s="89" t="str">
        <f t="shared" si="5"/>
        <v/>
      </c>
      <c r="AC388">
        <v>375</v>
      </c>
      <c r="AE388" t="str">
        <f>IF(LISTADO_NOM!AN385="","",VLOOKUP(LISTADO_NOM!AN385,SEGUIMIENTOS,2,FALSE))</f>
        <v/>
      </c>
    </row>
    <row r="389" spans="26:31">
      <c r="Z389" s="89" t="str">
        <f>IF(LISTADO_NOM!K386="","",DATE(LISTADO_NOM!M386,LISTADO_NOM!L386,LISTADO_NOM!K386))</f>
        <v/>
      </c>
      <c r="AA389" s="89" t="str">
        <f>IFERROR(INDEX($Z$14:$Z$300, MATCH(0, INDEX(COUNTIF($AA$13:AA388, $Z$14:$Z$300), 0, 0), 0)), "")</f>
        <v/>
      </c>
      <c r="AB389" s="89" t="str">
        <f t="shared" si="5"/>
        <v/>
      </c>
      <c r="AC389">
        <v>376</v>
      </c>
      <c r="AE389" t="str">
        <f>IF(LISTADO_NOM!AN386="","",VLOOKUP(LISTADO_NOM!AN386,SEGUIMIENTOS,2,FALSE))</f>
        <v/>
      </c>
    </row>
    <row r="390" spans="26:31">
      <c r="Z390" s="89" t="str">
        <f>IF(LISTADO_NOM!K387="","",DATE(LISTADO_NOM!M387,LISTADO_NOM!L387,LISTADO_NOM!K387))</f>
        <v/>
      </c>
      <c r="AA390" s="89" t="str">
        <f>IFERROR(INDEX($Z$14:$Z$300, MATCH(0, INDEX(COUNTIF($AA$13:AA389, $Z$14:$Z$300), 0, 0), 0)), "")</f>
        <v/>
      </c>
      <c r="AB390" s="89" t="str">
        <f t="shared" si="5"/>
        <v/>
      </c>
      <c r="AC390">
        <v>377</v>
      </c>
      <c r="AE390" t="str">
        <f>IF(LISTADO_NOM!AN387="","",VLOOKUP(LISTADO_NOM!AN387,SEGUIMIENTOS,2,FALSE))</f>
        <v/>
      </c>
    </row>
    <row r="391" spans="26:31">
      <c r="Z391" s="89" t="str">
        <f>IF(LISTADO_NOM!K388="","",DATE(LISTADO_NOM!M388,LISTADO_NOM!L388,LISTADO_NOM!K388))</f>
        <v/>
      </c>
      <c r="AA391" s="89" t="str">
        <f>IFERROR(INDEX($Z$14:$Z$300, MATCH(0, INDEX(COUNTIF($AA$13:AA390, $Z$14:$Z$300), 0, 0), 0)), "")</f>
        <v/>
      </c>
      <c r="AB391" s="89" t="str">
        <f t="shared" si="5"/>
        <v/>
      </c>
      <c r="AC391">
        <v>378</v>
      </c>
      <c r="AE391" t="str">
        <f>IF(LISTADO_NOM!AN388="","",VLOOKUP(LISTADO_NOM!AN388,SEGUIMIENTOS,2,FALSE))</f>
        <v/>
      </c>
    </row>
    <row r="392" spans="26:31">
      <c r="Z392" s="89" t="str">
        <f>IF(LISTADO_NOM!K389="","",DATE(LISTADO_NOM!M389,LISTADO_NOM!L389,LISTADO_NOM!K389))</f>
        <v/>
      </c>
      <c r="AA392" s="89" t="str">
        <f>IFERROR(INDEX($Z$14:$Z$300, MATCH(0, INDEX(COUNTIF($AA$13:AA391, $Z$14:$Z$300), 0, 0), 0)), "")</f>
        <v/>
      </c>
      <c r="AB392" s="89" t="str">
        <f t="shared" si="5"/>
        <v/>
      </c>
      <c r="AC392">
        <v>379</v>
      </c>
      <c r="AE392" t="str">
        <f>IF(LISTADO_NOM!AN389="","",VLOOKUP(LISTADO_NOM!AN389,SEGUIMIENTOS,2,FALSE))</f>
        <v/>
      </c>
    </row>
    <row r="393" spans="26:31">
      <c r="Z393" s="89" t="str">
        <f>IF(LISTADO_NOM!K390="","",DATE(LISTADO_NOM!M390,LISTADO_NOM!L390,LISTADO_NOM!K390))</f>
        <v/>
      </c>
      <c r="AA393" s="89" t="str">
        <f>IFERROR(INDEX($Z$14:$Z$300, MATCH(0, INDEX(COUNTIF($AA$13:AA392, $Z$14:$Z$300), 0, 0), 0)), "")</f>
        <v/>
      </c>
      <c r="AB393" s="89" t="str">
        <f t="shared" si="5"/>
        <v/>
      </c>
      <c r="AC393">
        <v>380</v>
      </c>
      <c r="AE393" t="str">
        <f>IF(LISTADO_NOM!AN390="","",VLOOKUP(LISTADO_NOM!AN390,SEGUIMIENTOS,2,FALSE))</f>
        <v/>
      </c>
    </row>
    <row r="394" spans="26:31">
      <c r="Z394" s="89" t="str">
        <f>IF(LISTADO_NOM!K391="","",DATE(LISTADO_NOM!M391,LISTADO_NOM!L391,LISTADO_NOM!K391))</f>
        <v/>
      </c>
      <c r="AA394" s="89" t="str">
        <f>IFERROR(INDEX($Z$14:$Z$300, MATCH(0, INDEX(COUNTIF($AA$13:AA393, $Z$14:$Z$300), 0, 0), 0)), "")</f>
        <v/>
      </c>
      <c r="AB394" s="89" t="str">
        <f t="shared" si="5"/>
        <v/>
      </c>
      <c r="AC394">
        <v>381</v>
      </c>
      <c r="AE394" t="str">
        <f>IF(LISTADO_NOM!AN391="","",VLOOKUP(LISTADO_NOM!AN391,SEGUIMIENTOS,2,FALSE))</f>
        <v/>
      </c>
    </row>
    <row r="395" spans="26:31">
      <c r="Z395" s="89" t="str">
        <f>IF(LISTADO_NOM!K392="","",DATE(LISTADO_NOM!M392,LISTADO_NOM!L392,LISTADO_NOM!K392))</f>
        <v/>
      </c>
      <c r="AA395" s="89" t="str">
        <f>IFERROR(INDEX($Z$14:$Z$300, MATCH(0, INDEX(COUNTIF($AA$13:AA394, $Z$14:$Z$300), 0, 0), 0)), "")</f>
        <v/>
      </c>
      <c r="AB395" s="89" t="str">
        <f t="shared" si="5"/>
        <v/>
      </c>
      <c r="AC395">
        <v>382</v>
      </c>
      <c r="AE395" t="str">
        <f>IF(LISTADO_NOM!AN392="","",VLOOKUP(LISTADO_NOM!AN392,SEGUIMIENTOS,2,FALSE))</f>
        <v/>
      </c>
    </row>
    <row r="396" spans="26:31">
      <c r="Z396" s="89" t="str">
        <f>IF(LISTADO_NOM!K393="","",DATE(LISTADO_NOM!M393,LISTADO_NOM!L393,LISTADO_NOM!K393))</f>
        <v/>
      </c>
      <c r="AA396" s="89" t="str">
        <f>IFERROR(INDEX($Z$14:$Z$300, MATCH(0, INDEX(COUNTIF($AA$13:AA395, $Z$14:$Z$300), 0, 0), 0)), "")</f>
        <v/>
      </c>
      <c r="AB396" s="89" t="str">
        <f t="shared" si="5"/>
        <v/>
      </c>
      <c r="AC396">
        <v>383</v>
      </c>
      <c r="AE396" t="str">
        <f>IF(LISTADO_NOM!AN393="","",VLOOKUP(LISTADO_NOM!AN393,SEGUIMIENTOS,2,FALSE))</f>
        <v/>
      </c>
    </row>
    <row r="397" spans="26:31">
      <c r="Z397" s="89" t="str">
        <f>IF(LISTADO_NOM!K394="","",DATE(LISTADO_NOM!M394,LISTADO_NOM!L394,LISTADO_NOM!K394))</f>
        <v/>
      </c>
      <c r="AA397" s="89" t="str">
        <f>IFERROR(INDEX($Z$14:$Z$300, MATCH(0, INDEX(COUNTIF($AA$13:AA396, $Z$14:$Z$300), 0, 0), 0)), "")</f>
        <v/>
      </c>
      <c r="AB397" s="89" t="str">
        <f t="shared" si="5"/>
        <v/>
      </c>
      <c r="AC397">
        <v>384</v>
      </c>
      <c r="AE397" t="str">
        <f>IF(LISTADO_NOM!AN394="","",VLOOKUP(LISTADO_NOM!AN394,SEGUIMIENTOS,2,FALSE))</f>
        <v/>
      </c>
    </row>
    <row r="398" spans="26:31">
      <c r="Z398" s="89" t="str">
        <f>IF(LISTADO_NOM!K395="","",DATE(LISTADO_NOM!M395,LISTADO_NOM!L395,LISTADO_NOM!K395))</f>
        <v/>
      </c>
      <c r="AA398" s="89" t="str">
        <f>IFERROR(INDEX($Z$14:$Z$300, MATCH(0, INDEX(COUNTIF($AA$13:AA397, $Z$14:$Z$300), 0, 0), 0)), "")</f>
        <v/>
      </c>
      <c r="AB398" s="89" t="str">
        <f t="shared" ref="AB398:AB461" si="6">IF(AA398="","",SMALL(ORDENA_,AC398))</f>
        <v/>
      </c>
      <c r="AC398">
        <v>385</v>
      </c>
      <c r="AE398" t="str">
        <f>IF(LISTADO_NOM!AN395="","",VLOOKUP(LISTADO_NOM!AN395,SEGUIMIENTOS,2,FALSE))</f>
        <v/>
      </c>
    </row>
    <row r="399" spans="26:31">
      <c r="Z399" s="89" t="str">
        <f>IF(LISTADO_NOM!K396="","",DATE(LISTADO_NOM!M396,LISTADO_NOM!L396,LISTADO_NOM!K396))</f>
        <v/>
      </c>
      <c r="AA399" s="89" t="str">
        <f>IFERROR(INDEX($Z$14:$Z$300, MATCH(0, INDEX(COUNTIF($AA$13:AA398, $Z$14:$Z$300), 0, 0), 0)), "")</f>
        <v/>
      </c>
      <c r="AB399" s="89" t="str">
        <f t="shared" si="6"/>
        <v/>
      </c>
      <c r="AC399">
        <v>386</v>
      </c>
      <c r="AE399" t="str">
        <f>IF(LISTADO_NOM!AN396="","",VLOOKUP(LISTADO_NOM!AN396,SEGUIMIENTOS,2,FALSE))</f>
        <v/>
      </c>
    </row>
    <row r="400" spans="26:31">
      <c r="Z400" s="89" t="str">
        <f>IF(LISTADO_NOM!K397="","",DATE(LISTADO_NOM!M397,LISTADO_NOM!L397,LISTADO_NOM!K397))</f>
        <v/>
      </c>
      <c r="AA400" s="89" t="str">
        <f>IFERROR(INDEX($Z$14:$Z$300, MATCH(0, INDEX(COUNTIF($AA$13:AA399, $Z$14:$Z$300), 0, 0), 0)), "")</f>
        <v/>
      </c>
      <c r="AB400" s="89" t="str">
        <f t="shared" si="6"/>
        <v/>
      </c>
      <c r="AC400">
        <v>387</v>
      </c>
      <c r="AE400" t="str">
        <f>IF(LISTADO_NOM!AN397="","",VLOOKUP(LISTADO_NOM!AN397,SEGUIMIENTOS,2,FALSE))</f>
        <v/>
      </c>
    </row>
    <row r="401" spans="26:31">
      <c r="Z401" s="89" t="str">
        <f>IF(LISTADO_NOM!K398="","",DATE(LISTADO_NOM!M398,LISTADO_NOM!L398,LISTADO_NOM!K398))</f>
        <v/>
      </c>
      <c r="AA401" s="89" t="str">
        <f>IFERROR(INDEX($Z$14:$Z$300, MATCH(0, INDEX(COUNTIF($AA$13:AA400, $Z$14:$Z$300), 0, 0), 0)), "")</f>
        <v/>
      </c>
      <c r="AB401" s="89" t="str">
        <f t="shared" si="6"/>
        <v/>
      </c>
      <c r="AC401">
        <v>388</v>
      </c>
      <c r="AE401" t="str">
        <f>IF(LISTADO_NOM!AN398="","",VLOOKUP(LISTADO_NOM!AN398,SEGUIMIENTOS,2,FALSE))</f>
        <v/>
      </c>
    </row>
    <row r="402" spans="26:31">
      <c r="Z402" s="89" t="str">
        <f>IF(LISTADO_NOM!K399="","",DATE(LISTADO_NOM!M399,LISTADO_NOM!L399,LISTADO_NOM!K399))</f>
        <v/>
      </c>
      <c r="AA402" s="89" t="str">
        <f>IFERROR(INDEX($Z$14:$Z$300, MATCH(0, INDEX(COUNTIF($AA$13:AA401, $Z$14:$Z$300), 0, 0), 0)), "")</f>
        <v/>
      </c>
      <c r="AB402" s="89" t="str">
        <f t="shared" si="6"/>
        <v/>
      </c>
      <c r="AC402">
        <v>389</v>
      </c>
      <c r="AE402" t="str">
        <f>IF(LISTADO_NOM!AN399="","",VLOOKUP(LISTADO_NOM!AN399,SEGUIMIENTOS,2,FALSE))</f>
        <v/>
      </c>
    </row>
    <row r="403" spans="26:31">
      <c r="Z403" s="89" t="str">
        <f>IF(LISTADO_NOM!K400="","",DATE(LISTADO_NOM!M400,LISTADO_NOM!L400,LISTADO_NOM!K400))</f>
        <v/>
      </c>
      <c r="AA403" s="89" t="str">
        <f>IFERROR(INDEX($Z$14:$Z$300, MATCH(0, INDEX(COUNTIF($AA$13:AA402, $Z$14:$Z$300), 0, 0), 0)), "")</f>
        <v/>
      </c>
      <c r="AB403" s="89" t="str">
        <f t="shared" si="6"/>
        <v/>
      </c>
      <c r="AC403">
        <v>390</v>
      </c>
      <c r="AE403" t="str">
        <f>IF(LISTADO_NOM!AN400="","",VLOOKUP(LISTADO_NOM!AN400,SEGUIMIENTOS,2,FALSE))</f>
        <v/>
      </c>
    </row>
    <row r="404" spans="26:31">
      <c r="Z404" s="89" t="str">
        <f>IF(LISTADO_NOM!K401="","",DATE(LISTADO_NOM!M401,LISTADO_NOM!L401,LISTADO_NOM!K401))</f>
        <v/>
      </c>
      <c r="AA404" s="89" t="str">
        <f>IFERROR(INDEX($Z$14:$Z$300, MATCH(0, INDEX(COUNTIF($AA$13:AA403, $Z$14:$Z$300), 0, 0), 0)), "")</f>
        <v/>
      </c>
      <c r="AB404" s="89" t="str">
        <f t="shared" si="6"/>
        <v/>
      </c>
      <c r="AC404">
        <v>391</v>
      </c>
      <c r="AE404" t="str">
        <f>IF(LISTADO_NOM!AN401="","",VLOOKUP(LISTADO_NOM!AN401,SEGUIMIENTOS,2,FALSE))</f>
        <v/>
      </c>
    </row>
    <row r="405" spans="26:31">
      <c r="Z405" s="89" t="str">
        <f>IF(LISTADO_NOM!K402="","",DATE(LISTADO_NOM!M402,LISTADO_NOM!L402,LISTADO_NOM!K402))</f>
        <v/>
      </c>
      <c r="AA405" s="89" t="str">
        <f>IFERROR(INDEX($Z$14:$Z$300, MATCH(0, INDEX(COUNTIF($AA$13:AA404, $Z$14:$Z$300), 0, 0), 0)), "")</f>
        <v/>
      </c>
      <c r="AB405" s="89" t="str">
        <f t="shared" si="6"/>
        <v/>
      </c>
      <c r="AC405">
        <v>392</v>
      </c>
      <c r="AE405" t="str">
        <f>IF(LISTADO_NOM!AN402="","",VLOOKUP(LISTADO_NOM!AN402,SEGUIMIENTOS,2,FALSE))</f>
        <v/>
      </c>
    </row>
    <row r="406" spans="26:31">
      <c r="Z406" s="89" t="str">
        <f>IF(LISTADO_NOM!K403="","",DATE(LISTADO_NOM!M403,LISTADO_NOM!L403,LISTADO_NOM!K403))</f>
        <v/>
      </c>
      <c r="AA406" s="89" t="str">
        <f>IFERROR(INDEX($Z$14:$Z$300, MATCH(0, INDEX(COUNTIF($AA$13:AA405, $Z$14:$Z$300), 0, 0), 0)), "")</f>
        <v/>
      </c>
      <c r="AB406" s="89" t="str">
        <f t="shared" si="6"/>
        <v/>
      </c>
      <c r="AC406">
        <v>393</v>
      </c>
      <c r="AE406" t="str">
        <f>IF(LISTADO_NOM!AN403="","",VLOOKUP(LISTADO_NOM!AN403,SEGUIMIENTOS,2,FALSE))</f>
        <v/>
      </c>
    </row>
    <row r="407" spans="26:31">
      <c r="Z407" s="89" t="str">
        <f>IF(LISTADO_NOM!K404="","",DATE(LISTADO_NOM!M404,LISTADO_NOM!L404,LISTADO_NOM!K404))</f>
        <v/>
      </c>
      <c r="AA407" s="89" t="str">
        <f>IFERROR(INDEX($Z$14:$Z$300, MATCH(0, INDEX(COUNTIF($AA$13:AA406, $Z$14:$Z$300), 0, 0), 0)), "")</f>
        <v/>
      </c>
      <c r="AB407" s="89" t="str">
        <f t="shared" si="6"/>
        <v/>
      </c>
      <c r="AC407">
        <v>394</v>
      </c>
      <c r="AE407" t="str">
        <f>IF(LISTADO_NOM!AN404="","",VLOOKUP(LISTADO_NOM!AN404,SEGUIMIENTOS,2,FALSE))</f>
        <v/>
      </c>
    </row>
    <row r="408" spans="26:31">
      <c r="Z408" s="89" t="str">
        <f>IF(LISTADO_NOM!K405="","",DATE(LISTADO_NOM!M405,LISTADO_NOM!L405,LISTADO_NOM!K405))</f>
        <v/>
      </c>
      <c r="AA408" s="89" t="str">
        <f>IFERROR(INDEX($Z$14:$Z$300, MATCH(0, INDEX(COUNTIF($AA$13:AA407, $Z$14:$Z$300), 0, 0), 0)), "")</f>
        <v/>
      </c>
      <c r="AB408" s="89" t="str">
        <f t="shared" si="6"/>
        <v/>
      </c>
      <c r="AC408">
        <v>395</v>
      </c>
      <c r="AE408" t="str">
        <f>IF(LISTADO_NOM!AN405="","",VLOOKUP(LISTADO_NOM!AN405,SEGUIMIENTOS,2,FALSE))</f>
        <v/>
      </c>
    </row>
    <row r="409" spans="26:31">
      <c r="Z409" s="89" t="str">
        <f>IF(LISTADO_NOM!K406="","",DATE(LISTADO_NOM!M406,LISTADO_NOM!L406,LISTADO_NOM!K406))</f>
        <v/>
      </c>
      <c r="AA409" s="89" t="str">
        <f>IFERROR(INDEX($Z$14:$Z$300, MATCH(0, INDEX(COUNTIF($AA$13:AA408, $Z$14:$Z$300), 0, 0), 0)), "")</f>
        <v/>
      </c>
      <c r="AB409" s="89" t="str">
        <f t="shared" si="6"/>
        <v/>
      </c>
      <c r="AC409">
        <v>396</v>
      </c>
      <c r="AE409" t="str">
        <f>IF(LISTADO_NOM!AN406="","",VLOOKUP(LISTADO_NOM!AN406,SEGUIMIENTOS,2,FALSE))</f>
        <v/>
      </c>
    </row>
    <row r="410" spans="26:31">
      <c r="Z410" s="89" t="str">
        <f>IF(LISTADO_NOM!K407="","",DATE(LISTADO_NOM!M407,LISTADO_NOM!L407,LISTADO_NOM!K407))</f>
        <v/>
      </c>
      <c r="AA410" s="89" t="str">
        <f>IFERROR(INDEX($Z$14:$Z$300, MATCH(0, INDEX(COUNTIF($AA$13:AA409, $Z$14:$Z$300), 0, 0), 0)), "")</f>
        <v/>
      </c>
      <c r="AB410" s="89" t="str">
        <f t="shared" si="6"/>
        <v/>
      </c>
      <c r="AC410">
        <v>397</v>
      </c>
      <c r="AE410" t="str">
        <f>IF(LISTADO_NOM!AN407="","",VLOOKUP(LISTADO_NOM!AN407,SEGUIMIENTOS,2,FALSE))</f>
        <v/>
      </c>
    </row>
    <row r="411" spans="26:31">
      <c r="Z411" s="89" t="str">
        <f>IF(LISTADO_NOM!K408="","",DATE(LISTADO_NOM!M408,LISTADO_NOM!L408,LISTADO_NOM!K408))</f>
        <v/>
      </c>
      <c r="AA411" s="89" t="str">
        <f>IFERROR(INDEX($Z$14:$Z$300, MATCH(0, INDEX(COUNTIF($AA$13:AA410, $Z$14:$Z$300), 0, 0), 0)), "")</f>
        <v/>
      </c>
      <c r="AB411" s="89" t="str">
        <f t="shared" si="6"/>
        <v/>
      </c>
      <c r="AC411">
        <v>398</v>
      </c>
      <c r="AE411" t="str">
        <f>IF(LISTADO_NOM!AN408="","",VLOOKUP(LISTADO_NOM!AN408,SEGUIMIENTOS,2,FALSE))</f>
        <v/>
      </c>
    </row>
    <row r="412" spans="26:31">
      <c r="Z412" s="89" t="str">
        <f>IF(LISTADO_NOM!K409="","",DATE(LISTADO_NOM!M409,LISTADO_NOM!L409,LISTADO_NOM!K409))</f>
        <v/>
      </c>
      <c r="AA412" s="89" t="str">
        <f>IFERROR(INDEX($Z$14:$Z$300, MATCH(0, INDEX(COUNTIF($AA$13:AA411, $Z$14:$Z$300), 0, 0), 0)), "")</f>
        <v/>
      </c>
      <c r="AB412" s="89" t="str">
        <f t="shared" si="6"/>
        <v/>
      </c>
      <c r="AC412">
        <v>399</v>
      </c>
      <c r="AE412" t="str">
        <f>IF(LISTADO_NOM!AN409="","",VLOOKUP(LISTADO_NOM!AN409,SEGUIMIENTOS,2,FALSE))</f>
        <v/>
      </c>
    </row>
    <row r="413" spans="26:31">
      <c r="Z413" s="89" t="str">
        <f>IF(LISTADO_NOM!K410="","",DATE(LISTADO_NOM!M410,LISTADO_NOM!L410,LISTADO_NOM!K410))</f>
        <v/>
      </c>
      <c r="AA413" s="89" t="str">
        <f>IFERROR(INDEX($Z$14:$Z$300, MATCH(0, INDEX(COUNTIF($AA$13:AA412, $Z$14:$Z$300), 0, 0), 0)), "")</f>
        <v/>
      </c>
      <c r="AB413" s="89" t="str">
        <f t="shared" si="6"/>
        <v/>
      </c>
      <c r="AC413">
        <v>400</v>
      </c>
      <c r="AE413" t="str">
        <f>IF(LISTADO_NOM!AN410="","",VLOOKUP(LISTADO_NOM!AN410,SEGUIMIENTOS,2,FALSE))</f>
        <v/>
      </c>
    </row>
    <row r="414" spans="26:31">
      <c r="Z414" s="89" t="str">
        <f>IF(LISTADO_NOM!K411="","",DATE(LISTADO_NOM!M411,LISTADO_NOM!L411,LISTADO_NOM!K411))</f>
        <v/>
      </c>
      <c r="AA414" s="89" t="str">
        <f>IFERROR(INDEX($Z$14:$Z$300, MATCH(0, INDEX(COUNTIF($AA$13:AA413, $Z$14:$Z$300), 0, 0), 0)), "")</f>
        <v/>
      </c>
      <c r="AB414" s="89" t="str">
        <f t="shared" si="6"/>
        <v/>
      </c>
      <c r="AC414">
        <v>401</v>
      </c>
      <c r="AE414" t="str">
        <f>IF(LISTADO_NOM!AN411="","",VLOOKUP(LISTADO_NOM!AN411,SEGUIMIENTOS,2,FALSE))</f>
        <v/>
      </c>
    </row>
    <row r="415" spans="26:31">
      <c r="Z415" s="89" t="str">
        <f>IF(LISTADO_NOM!K412="","",DATE(LISTADO_NOM!M412,LISTADO_NOM!L412,LISTADO_NOM!K412))</f>
        <v/>
      </c>
      <c r="AA415" s="89" t="str">
        <f>IFERROR(INDEX($Z$14:$Z$300, MATCH(0, INDEX(COUNTIF($AA$13:AA414, $Z$14:$Z$300), 0, 0), 0)), "")</f>
        <v/>
      </c>
      <c r="AB415" s="89" t="str">
        <f t="shared" si="6"/>
        <v/>
      </c>
      <c r="AC415">
        <v>402</v>
      </c>
      <c r="AE415" t="str">
        <f>IF(LISTADO_NOM!AN412="","",VLOOKUP(LISTADO_NOM!AN412,SEGUIMIENTOS,2,FALSE))</f>
        <v/>
      </c>
    </row>
    <row r="416" spans="26:31">
      <c r="Z416" s="89" t="str">
        <f>IF(LISTADO_NOM!K413="","",DATE(LISTADO_NOM!M413,LISTADO_NOM!L413,LISTADO_NOM!K413))</f>
        <v/>
      </c>
      <c r="AA416" s="89" t="str">
        <f>IFERROR(INDEX($Z$14:$Z$300, MATCH(0, INDEX(COUNTIF($AA$13:AA415, $Z$14:$Z$300), 0, 0), 0)), "")</f>
        <v/>
      </c>
      <c r="AB416" s="89" t="str">
        <f t="shared" si="6"/>
        <v/>
      </c>
      <c r="AC416">
        <v>403</v>
      </c>
      <c r="AE416" t="str">
        <f>IF(LISTADO_NOM!AN413="","",VLOOKUP(LISTADO_NOM!AN413,SEGUIMIENTOS,2,FALSE))</f>
        <v/>
      </c>
    </row>
    <row r="417" spans="26:31">
      <c r="Z417" s="89" t="str">
        <f>IF(LISTADO_NOM!K414="","",DATE(LISTADO_NOM!M414,LISTADO_NOM!L414,LISTADO_NOM!K414))</f>
        <v/>
      </c>
      <c r="AA417" s="89" t="str">
        <f>IFERROR(INDEX($Z$14:$Z$300, MATCH(0, INDEX(COUNTIF($AA$13:AA416, $Z$14:$Z$300), 0, 0), 0)), "")</f>
        <v/>
      </c>
      <c r="AB417" s="89" t="str">
        <f t="shared" si="6"/>
        <v/>
      </c>
      <c r="AC417">
        <v>404</v>
      </c>
      <c r="AE417" t="str">
        <f>IF(LISTADO_NOM!AN414="","",VLOOKUP(LISTADO_NOM!AN414,SEGUIMIENTOS,2,FALSE))</f>
        <v/>
      </c>
    </row>
    <row r="418" spans="26:31">
      <c r="Z418" s="89" t="str">
        <f>IF(LISTADO_NOM!K415="","",DATE(LISTADO_NOM!M415,LISTADO_NOM!L415,LISTADO_NOM!K415))</f>
        <v/>
      </c>
      <c r="AA418" s="89" t="str">
        <f>IFERROR(INDEX($Z$14:$Z$300, MATCH(0, INDEX(COUNTIF($AA$13:AA417, $Z$14:$Z$300), 0, 0), 0)), "")</f>
        <v/>
      </c>
      <c r="AB418" s="89" t="str">
        <f t="shared" si="6"/>
        <v/>
      </c>
      <c r="AC418">
        <v>405</v>
      </c>
      <c r="AE418" t="str">
        <f>IF(LISTADO_NOM!AN415="","",VLOOKUP(LISTADO_NOM!AN415,SEGUIMIENTOS,2,FALSE))</f>
        <v/>
      </c>
    </row>
    <row r="419" spans="26:31">
      <c r="Z419" s="89" t="str">
        <f>IF(LISTADO_NOM!K416="","",DATE(LISTADO_NOM!M416,LISTADO_NOM!L416,LISTADO_NOM!K416))</f>
        <v/>
      </c>
      <c r="AA419" s="89" t="str">
        <f>IFERROR(INDEX($Z$14:$Z$300, MATCH(0, INDEX(COUNTIF($AA$13:AA418, $Z$14:$Z$300), 0, 0), 0)), "")</f>
        <v/>
      </c>
      <c r="AB419" s="89" t="str">
        <f t="shared" si="6"/>
        <v/>
      </c>
      <c r="AC419">
        <v>406</v>
      </c>
      <c r="AE419" t="str">
        <f>IF(LISTADO_NOM!AN416="","",VLOOKUP(LISTADO_NOM!AN416,SEGUIMIENTOS,2,FALSE))</f>
        <v/>
      </c>
    </row>
    <row r="420" spans="26:31">
      <c r="Z420" s="89" t="str">
        <f>IF(LISTADO_NOM!K417="","",DATE(LISTADO_NOM!M417,LISTADO_NOM!L417,LISTADO_NOM!K417))</f>
        <v/>
      </c>
      <c r="AA420" s="89" t="str">
        <f>IFERROR(INDEX($Z$14:$Z$300, MATCH(0, INDEX(COUNTIF($AA$13:AA419, $Z$14:$Z$300), 0, 0), 0)), "")</f>
        <v/>
      </c>
      <c r="AB420" s="89" t="str">
        <f t="shared" si="6"/>
        <v/>
      </c>
      <c r="AC420">
        <v>407</v>
      </c>
      <c r="AE420" t="str">
        <f>IF(LISTADO_NOM!AN417="","",VLOOKUP(LISTADO_NOM!AN417,SEGUIMIENTOS,2,FALSE))</f>
        <v/>
      </c>
    </row>
    <row r="421" spans="26:31">
      <c r="Z421" s="89" t="str">
        <f>IF(LISTADO_NOM!K418="","",DATE(LISTADO_NOM!M418,LISTADO_NOM!L418,LISTADO_NOM!K418))</f>
        <v/>
      </c>
      <c r="AA421" s="89" t="str">
        <f>IFERROR(INDEX($Z$14:$Z$300, MATCH(0, INDEX(COUNTIF($AA$13:AA420, $Z$14:$Z$300), 0, 0), 0)), "")</f>
        <v/>
      </c>
      <c r="AB421" s="89" t="str">
        <f t="shared" si="6"/>
        <v/>
      </c>
      <c r="AC421">
        <v>408</v>
      </c>
      <c r="AE421" t="str">
        <f>IF(LISTADO_NOM!AN418="","",VLOOKUP(LISTADO_NOM!AN418,SEGUIMIENTOS,2,FALSE))</f>
        <v/>
      </c>
    </row>
    <row r="422" spans="26:31">
      <c r="Z422" s="89" t="str">
        <f>IF(LISTADO_NOM!K419="","",DATE(LISTADO_NOM!M419,LISTADO_NOM!L419,LISTADO_NOM!K419))</f>
        <v/>
      </c>
      <c r="AA422" s="89" t="str">
        <f>IFERROR(INDEX($Z$14:$Z$300, MATCH(0, INDEX(COUNTIF($AA$13:AA421, $Z$14:$Z$300), 0, 0), 0)), "")</f>
        <v/>
      </c>
      <c r="AB422" s="89" t="str">
        <f t="shared" si="6"/>
        <v/>
      </c>
      <c r="AC422">
        <v>409</v>
      </c>
      <c r="AE422" t="str">
        <f>IF(LISTADO_NOM!AN419="","",VLOOKUP(LISTADO_NOM!AN419,SEGUIMIENTOS,2,FALSE))</f>
        <v/>
      </c>
    </row>
    <row r="423" spans="26:31">
      <c r="Z423" s="89" t="str">
        <f>IF(LISTADO_NOM!K420="","",DATE(LISTADO_NOM!M420,LISTADO_NOM!L420,LISTADO_NOM!K420))</f>
        <v/>
      </c>
      <c r="AA423" s="89" t="str">
        <f>IFERROR(INDEX($Z$14:$Z$300, MATCH(0, INDEX(COUNTIF($AA$13:AA422, $Z$14:$Z$300), 0, 0), 0)), "")</f>
        <v/>
      </c>
      <c r="AB423" s="89" t="str">
        <f t="shared" si="6"/>
        <v/>
      </c>
      <c r="AC423">
        <v>410</v>
      </c>
      <c r="AE423" t="str">
        <f>IF(LISTADO_NOM!AN420="","",VLOOKUP(LISTADO_NOM!AN420,SEGUIMIENTOS,2,FALSE))</f>
        <v/>
      </c>
    </row>
    <row r="424" spans="26:31">
      <c r="Z424" s="89" t="str">
        <f>IF(LISTADO_NOM!K421="","",DATE(LISTADO_NOM!M421,LISTADO_NOM!L421,LISTADO_NOM!K421))</f>
        <v/>
      </c>
      <c r="AA424" s="89" t="str">
        <f>IFERROR(INDEX($Z$14:$Z$300, MATCH(0, INDEX(COUNTIF($AA$13:AA423, $Z$14:$Z$300), 0, 0), 0)), "")</f>
        <v/>
      </c>
      <c r="AB424" s="89" t="str">
        <f t="shared" si="6"/>
        <v/>
      </c>
      <c r="AC424">
        <v>411</v>
      </c>
      <c r="AE424" t="str">
        <f>IF(LISTADO_NOM!AN421="","",VLOOKUP(LISTADO_NOM!AN421,SEGUIMIENTOS,2,FALSE))</f>
        <v/>
      </c>
    </row>
    <row r="425" spans="26:31">
      <c r="Z425" s="89" t="str">
        <f>IF(LISTADO_NOM!K422="","",DATE(LISTADO_NOM!M422,LISTADO_NOM!L422,LISTADO_NOM!K422))</f>
        <v/>
      </c>
      <c r="AA425" s="89" t="str">
        <f>IFERROR(INDEX($Z$14:$Z$300, MATCH(0, INDEX(COUNTIF($AA$13:AA424, $Z$14:$Z$300), 0, 0), 0)), "")</f>
        <v/>
      </c>
      <c r="AB425" s="89" t="str">
        <f t="shared" si="6"/>
        <v/>
      </c>
      <c r="AC425">
        <v>412</v>
      </c>
      <c r="AE425" t="str">
        <f>IF(LISTADO_NOM!AN422="","",VLOOKUP(LISTADO_NOM!AN422,SEGUIMIENTOS,2,FALSE))</f>
        <v/>
      </c>
    </row>
    <row r="426" spans="26:31">
      <c r="Z426" s="89" t="str">
        <f>IF(LISTADO_NOM!K423="","",DATE(LISTADO_NOM!M423,LISTADO_NOM!L423,LISTADO_NOM!K423))</f>
        <v/>
      </c>
      <c r="AA426" s="89" t="str">
        <f>IFERROR(INDEX($Z$14:$Z$300, MATCH(0, INDEX(COUNTIF($AA$13:AA425, $Z$14:$Z$300), 0, 0), 0)), "")</f>
        <v/>
      </c>
      <c r="AB426" s="89" t="str">
        <f t="shared" si="6"/>
        <v/>
      </c>
      <c r="AC426">
        <v>413</v>
      </c>
      <c r="AE426" t="str">
        <f>IF(LISTADO_NOM!AN423="","",VLOOKUP(LISTADO_NOM!AN423,SEGUIMIENTOS,2,FALSE))</f>
        <v/>
      </c>
    </row>
    <row r="427" spans="26:31">
      <c r="Z427" s="89" t="str">
        <f>IF(LISTADO_NOM!K424="","",DATE(LISTADO_NOM!M424,LISTADO_NOM!L424,LISTADO_NOM!K424))</f>
        <v/>
      </c>
      <c r="AA427" s="89" t="str">
        <f>IFERROR(INDEX($Z$14:$Z$300, MATCH(0, INDEX(COUNTIF($AA$13:AA426, $Z$14:$Z$300), 0, 0), 0)), "")</f>
        <v/>
      </c>
      <c r="AB427" s="89" t="str">
        <f t="shared" si="6"/>
        <v/>
      </c>
      <c r="AC427">
        <v>414</v>
      </c>
      <c r="AE427" t="str">
        <f>IF(LISTADO_NOM!AN424="","",VLOOKUP(LISTADO_NOM!AN424,SEGUIMIENTOS,2,FALSE))</f>
        <v/>
      </c>
    </row>
    <row r="428" spans="26:31">
      <c r="Z428" s="89" t="str">
        <f>IF(LISTADO_NOM!K425="","",DATE(LISTADO_NOM!M425,LISTADO_NOM!L425,LISTADO_NOM!K425))</f>
        <v/>
      </c>
      <c r="AA428" s="89" t="str">
        <f>IFERROR(INDEX($Z$14:$Z$300, MATCH(0, INDEX(COUNTIF($AA$13:AA427, $Z$14:$Z$300), 0, 0), 0)), "")</f>
        <v/>
      </c>
      <c r="AB428" s="89" t="str">
        <f t="shared" si="6"/>
        <v/>
      </c>
      <c r="AC428">
        <v>415</v>
      </c>
      <c r="AE428" t="str">
        <f>IF(LISTADO_NOM!AN425="","",VLOOKUP(LISTADO_NOM!AN425,SEGUIMIENTOS,2,FALSE))</f>
        <v/>
      </c>
    </row>
    <row r="429" spans="26:31">
      <c r="Z429" s="89" t="str">
        <f>IF(LISTADO_NOM!K426="","",DATE(LISTADO_NOM!M426,LISTADO_NOM!L426,LISTADO_NOM!K426))</f>
        <v/>
      </c>
      <c r="AA429" s="89" t="str">
        <f>IFERROR(INDEX($Z$14:$Z$300, MATCH(0, INDEX(COUNTIF($AA$13:AA428, $Z$14:$Z$300), 0, 0), 0)), "")</f>
        <v/>
      </c>
      <c r="AB429" s="89" t="str">
        <f t="shared" si="6"/>
        <v/>
      </c>
      <c r="AC429">
        <v>416</v>
      </c>
      <c r="AE429" t="str">
        <f>IF(LISTADO_NOM!AN426="","",VLOOKUP(LISTADO_NOM!AN426,SEGUIMIENTOS,2,FALSE))</f>
        <v/>
      </c>
    </row>
    <row r="430" spans="26:31">
      <c r="Z430" s="89" t="str">
        <f>IF(LISTADO_NOM!K427="","",DATE(LISTADO_NOM!M427,LISTADO_NOM!L427,LISTADO_NOM!K427))</f>
        <v/>
      </c>
      <c r="AA430" s="89" t="str">
        <f>IFERROR(INDEX($Z$14:$Z$300, MATCH(0, INDEX(COUNTIF($AA$13:AA429, $Z$14:$Z$300), 0, 0), 0)), "")</f>
        <v/>
      </c>
      <c r="AB430" s="89" t="str">
        <f t="shared" si="6"/>
        <v/>
      </c>
      <c r="AC430">
        <v>417</v>
      </c>
      <c r="AE430" t="str">
        <f>IF(LISTADO_NOM!AN427="","",VLOOKUP(LISTADO_NOM!AN427,SEGUIMIENTOS,2,FALSE))</f>
        <v/>
      </c>
    </row>
    <row r="431" spans="26:31">
      <c r="Z431" s="89" t="str">
        <f>IF(LISTADO_NOM!K428="","",DATE(LISTADO_NOM!M428,LISTADO_NOM!L428,LISTADO_NOM!K428))</f>
        <v/>
      </c>
      <c r="AA431" s="89" t="str">
        <f>IFERROR(INDEX($Z$14:$Z$300, MATCH(0, INDEX(COUNTIF($AA$13:AA430, $Z$14:$Z$300), 0, 0), 0)), "")</f>
        <v/>
      </c>
      <c r="AB431" s="89" t="str">
        <f t="shared" si="6"/>
        <v/>
      </c>
      <c r="AC431">
        <v>418</v>
      </c>
      <c r="AE431" t="str">
        <f>IF(LISTADO_NOM!AN428="","",VLOOKUP(LISTADO_NOM!AN428,SEGUIMIENTOS,2,FALSE))</f>
        <v/>
      </c>
    </row>
    <row r="432" spans="26:31">
      <c r="Z432" s="89" t="str">
        <f>IF(LISTADO_NOM!K429="","",DATE(LISTADO_NOM!M429,LISTADO_NOM!L429,LISTADO_NOM!K429))</f>
        <v/>
      </c>
      <c r="AA432" s="89" t="str">
        <f>IFERROR(INDEX($Z$14:$Z$300, MATCH(0, INDEX(COUNTIF($AA$13:AA431, $Z$14:$Z$300), 0, 0), 0)), "")</f>
        <v/>
      </c>
      <c r="AB432" s="89" t="str">
        <f t="shared" si="6"/>
        <v/>
      </c>
      <c r="AC432">
        <v>419</v>
      </c>
      <c r="AE432" t="str">
        <f>IF(LISTADO_NOM!AN429="","",VLOOKUP(LISTADO_NOM!AN429,SEGUIMIENTOS,2,FALSE))</f>
        <v/>
      </c>
    </row>
    <row r="433" spans="26:31">
      <c r="Z433" s="89" t="str">
        <f>IF(LISTADO_NOM!K430="","",DATE(LISTADO_NOM!M430,LISTADO_NOM!L430,LISTADO_NOM!K430))</f>
        <v/>
      </c>
      <c r="AA433" s="89" t="str">
        <f>IFERROR(INDEX($Z$14:$Z$300, MATCH(0, INDEX(COUNTIF($AA$13:AA432, $Z$14:$Z$300), 0, 0), 0)), "")</f>
        <v/>
      </c>
      <c r="AB433" s="89" t="str">
        <f t="shared" si="6"/>
        <v/>
      </c>
      <c r="AC433">
        <v>420</v>
      </c>
      <c r="AE433" t="str">
        <f>IF(LISTADO_NOM!AN430="","",VLOOKUP(LISTADO_NOM!AN430,SEGUIMIENTOS,2,FALSE))</f>
        <v/>
      </c>
    </row>
    <row r="434" spans="26:31">
      <c r="Z434" s="89" t="str">
        <f>IF(LISTADO_NOM!K431="","",DATE(LISTADO_NOM!M431,LISTADO_NOM!L431,LISTADO_NOM!K431))</f>
        <v/>
      </c>
      <c r="AA434" s="89" t="str">
        <f>IFERROR(INDEX($Z$14:$Z$300, MATCH(0, INDEX(COUNTIF($AA$13:AA433, $Z$14:$Z$300), 0, 0), 0)), "")</f>
        <v/>
      </c>
      <c r="AB434" s="89" t="str">
        <f t="shared" si="6"/>
        <v/>
      </c>
      <c r="AC434">
        <v>421</v>
      </c>
      <c r="AE434" t="str">
        <f>IF(LISTADO_NOM!AN431="","",VLOOKUP(LISTADO_NOM!AN431,SEGUIMIENTOS,2,FALSE))</f>
        <v/>
      </c>
    </row>
    <row r="435" spans="26:31">
      <c r="Z435" s="89" t="str">
        <f>IF(LISTADO_NOM!K432="","",DATE(LISTADO_NOM!M432,LISTADO_NOM!L432,LISTADO_NOM!K432))</f>
        <v/>
      </c>
      <c r="AA435" s="89" t="str">
        <f>IFERROR(INDEX($Z$14:$Z$300, MATCH(0, INDEX(COUNTIF($AA$13:AA434, $Z$14:$Z$300), 0, 0), 0)), "")</f>
        <v/>
      </c>
      <c r="AB435" s="89" t="str">
        <f t="shared" si="6"/>
        <v/>
      </c>
      <c r="AC435">
        <v>422</v>
      </c>
      <c r="AE435" t="str">
        <f>IF(LISTADO_NOM!AN432="","",VLOOKUP(LISTADO_NOM!AN432,SEGUIMIENTOS,2,FALSE))</f>
        <v/>
      </c>
    </row>
    <row r="436" spans="26:31">
      <c r="Z436" s="89" t="str">
        <f>IF(LISTADO_NOM!K433="","",DATE(LISTADO_NOM!M433,LISTADO_NOM!L433,LISTADO_NOM!K433))</f>
        <v/>
      </c>
      <c r="AA436" s="89" t="str">
        <f>IFERROR(INDEX($Z$14:$Z$300, MATCH(0, INDEX(COUNTIF($AA$13:AA435, $Z$14:$Z$300), 0, 0), 0)), "")</f>
        <v/>
      </c>
      <c r="AB436" s="89" t="str">
        <f t="shared" si="6"/>
        <v/>
      </c>
      <c r="AC436">
        <v>423</v>
      </c>
      <c r="AE436" t="str">
        <f>IF(LISTADO_NOM!AN433="","",VLOOKUP(LISTADO_NOM!AN433,SEGUIMIENTOS,2,FALSE))</f>
        <v/>
      </c>
    </row>
    <row r="437" spans="26:31">
      <c r="Z437" s="89" t="str">
        <f>IF(LISTADO_NOM!K434="","",DATE(LISTADO_NOM!M434,LISTADO_NOM!L434,LISTADO_NOM!K434))</f>
        <v/>
      </c>
      <c r="AA437" s="89" t="str">
        <f>IFERROR(INDEX($Z$14:$Z$300, MATCH(0, INDEX(COUNTIF($AA$13:AA436, $Z$14:$Z$300), 0, 0), 0)), "")</f>
        <v/>
      </c>
      <c r="AB437" s="89" t="str">
        <f t="shared" si="6"/>
        <v/>
      </c>
      <c r="AC437">
        <v>424</v>
      </c>
      <c r="AE437" t="str">
        <f>IF(LISTADO_NOM!AN434="","",VLOOKUP(LISTADO_NOM!AN434,SEGUIMIENTOS,2,FALSE))</f>
        <v/>
      </c>
    </row>
    <row r="438" spans="26:31">
      <c r="Z438" s="89" t="str">
        <f>IF(LISTADO_NOM!K435="","",DATE(LISTADO_NOM!M435,LISTADO_NOM!L435,LISTADO_NOM!K435))</f>
        <v/>
      </c>
      <c r="AA438" s="89" t="str">
        <f>IFERROR(INDEX($Z$14:$Z$300, MATCH(0, INDEX(COUNTIF($AA$13:AA437, $Z$14:$Z$300), 0, 0), 0)), "")</f>
        <v/>
      </c>
      <c r="AB438" s="89" t="str">
        <f t="shared" si="6"/>
        <v/>
      </c>
      <c r="AC438">
        <v>425</v>
      </c>
      <c r="AE438" t="str">
        <f>IF(LISTADO_NOM!AN435="","",VLOOKUP(LISTADO_NOM!AN435,SEGUIMIENTOS,2,FALSE))</f>
        <v/>
      </c>
    </row>
    <row r="439" spans="26:31">
      <c r="Z439" s="89" t="str">
        <f>IF(LISTADO_NOM!K436="","",DATE(LISTADO_NOM!M436,LISTADO_NOM!L436,LISTADO_NOM!K436))</f>
        <v/>
      </c>
      <c r="AA439" s="89" t="str">
        <f>IFERROR(INDEX($Z$14:$Z$300, MATCH(0, INDEX(COUNTIF($AA$13:AA438, $Z$14:$Z$300), 0, 0), 0)), "")</f>
        <v/>
      </c>
      <c r="AB439" s="89" t="str">
        <f t="shared" si="6"/>
        <v/>
      </c>
      <c r="AC439">
        <v>426</v>
      </c>
      <c r="AE439" t="str">
        <f>IF(LISTADO_NOM!AN436="","",VLOOKUP(LISTADO_NOM!AN436,SEGUIMIENTOS,2,FALSE))</f>
        <v/>
      </c>
    </row>
    <row r="440" spans="26:31">
      <c r="Z440" s="89" t="str">
        <f>IF(LISTADO_NOM!K437="","",DATE(LISTADO_NOM!M437,LISTADO_NOM!L437,LISTADO_NOM!K437))</f>
        <v/>
      </c>
      <c r="AA440" s="89" t="str">
        <f>IFERROR(INDEX($Z$14:$Z$300, MATCH(0, INDEX(COUNTIF($AA$13:AA439, $Z$14:$Z$300), 0, 0), 0)), "")</f>
        <v/>
      </c>
      <c r="AB440" s="89" t="str">
        <f t="shared" si="6"/>
        <v/>
      </c>
      <c r="AC440">
        <v>427</v>
      </c>
      <c r="AE440" t="str">
        <f>IF(LISTADO_NOM!AN437="","",VLOOKUP(LISTADO_NOM!AN437,SEGUIMIENTOS,2,FALSE))</f>
        <v/>
      </c>
    </row>
    <row r="441" spans="26:31">
      <c r="Z441" s="89" t="str">
        <f>IF(LISTADO_NOM!K438="","",DATE(LISTADO_NOM!M438,LISTADO_NOM!L438,LISTADO_NOM!K438))</f>
        <v/>
      </c>
      <c r="AA441" s="89" t="str">
        <f>IFERROR(INDEX($Z$14:$Z$300, MATCH(0, INDEX(COUNTIF($AA$13:AA440, $Z$14:$Z$300), 0, 0), 0)), "")</f>
        <v/>
      </c>
      <c r="AB441" s="89" t="str">
        <f t="shared" si="6"/>
        <v/>
      </c>
      <c r="AC441">
        <v>428</v>
      </c>
      <c r="AE441" t="str">
        <f>IF(LISTADO_NOM!AN438="","",VLOOKUP(LISTADO_NOM!AN438,SEGUIMIENTOS,2,FALSE))</f>
        <v/>
      </c>
    </row>
    <row r="442" spans="26:31">
      <c r="Z442" s="89" t="str">
        <f>IF(LISTADO_NOM!K439="","",DATE(LISTADO_NOM!M439,LISTADO_NOM!L439,LISTADO_NOM!K439))</f>
        <v/>
      </c>
      <c r="AA442" s="89" t="str">
        <f>IFERROR(INDEX($Z$14:$Z$300, MATCH(0, INDEX(COUNTIF($AA$13:AA441, $Z$14:$Z$300), 0, 0), 0)), "")</f>
        <v/>
      </c>
      <c r="AB442" s="89" t="str">
        <f t="shared" si="6"/>
        <v/>
      </c>
      <c r="AC442">
        <v>429</v>
      </c>
      <c r="AE442" t="str">
        <f>IF(LISTADO_NOM!AN439="","",VLOOKUP(LISTADO_NOM!AN439,SEGUIMIENTOS,2,FALSE))</f>
        <v/>
      </c>
    </row>
    <row r="443" spans="26:31">
      <c r="Z443" s="89" t="str">
        <f>IF(LISTADO_NOM!K440="","",DATE(LISTADO_NOM!M440,LISTADO_NOM!L440,LISTADO_NOM!K440))</f>
        <v/>
      </c>
      <c r="AA443" s="89" t="str">
        <f>IFERROR(INDEX($Z$14:$Z$300, MATCH(0, INDEX(COUNTIF($AA$13:AA442, $Z$14:$Z$300), 0, 0), 0)), "")</f>
        <v/>
      </c>
      <c r="AB443" s="89" t="str">
        <f t="shared" si="6"/>
        <v/>
      </c>
      <c r="AC443">
        <v>430</v>
      </c>
      <c r="AE443" t="str">
        <f>IF(LISTADO_NOM!AN440="","",VLOOKUP(LISTADO_NOM!AN440,SEGUIMIENTOS,2,FALSE))</f>
        <v/>
      </c>
    </row>
    <row r="444" spans="26:31">
      <c r="Z444" s="89" t="str">
        <f>IF(LISTADO_NOM!K441="","",DATE(LISTADO_NOM!M441,LISTADO_NOM!L441,LISTADO_NOM!K441))</f>
        <v/>
      </c>
      <c r="AA444" s="89" t="str">
        <f>IFERROR(INDEX($Z$14:$Z$300, MATCH(0, INDEX(COUNTIF($AA$13:AA443, $Z$14:$Z$300), 0, 0), 0)), "")</f>
        <v/>
      </c>
      <c r="AB444" s="89" t="str">
        <f t="shared" si="6"/>
        <v/>
      </c>
      <c r="AC444">
        <v>431</v>
      </c>
      <c r="AE444" t="str">
        <f>IF(LISTADO_NOM!AN441="","",VLOOKUP(LISTADO_NOM!AN441,SEGUIMIENTOS,2,FALSE))</f>
        <v/>
      </c>
    </row>
    <row r="445" spans="26:31">
      <c r="Z445" s="89" t="str">
        <f>IF(LISTADO_NOM!K442="","",DATE(LISTADO_NOM!M442,LISTADO_NOM!L442,LISTADO_NOM!K442))</f>
        <v/>
      </c>
      <c r="AA445" s="89" t="str">
        <f>IFERROR(INDEX($Z$14:$Z$300, MATCH(0, INDEX(COUNTIF($AA$13:AA444, $Z$14:$Z$300), 0, 0), 0)), "")</f>
        <v/>
      </c>
      <c r="AB445" s="89" t="str">
        <f t="shared" si="6"/>
        <v/>
      </c>
      <c r="AC445">
        <v>432</v>
      </c>
      <c r="AE445" t="str">
        <f>IF(LISTADO_NOM!AN442="","",VLOOKUP(LISTADO_NOM!AN442,SEGUIMIENTOS,2,FALSE))</f>
        <v/>
      </c>
    </row>
    <row r="446" spans="26:31">
      <c r="Z446" s="89" t="str">
        <f>IF(LISTADO_NOM!K443="","",DATE(LISTADO_NOM!M443,LISTADO_NOM!L443,LISTADO_NOM!K443))</f>
        <v/>
      </c>
      <c r="AA446" s="89" t="str">
        <f>IFERROR(INDEX($Z$14:$Z$300, MATCH(0, INDEX(COUNTIF($AA$13:AA445, $Z$14:$Z$300), 0, 0), 0)), "")</f>
        <v/>
      </c>
      <c r="AB446" s="89" t="str">
        <f t="shared" si="6"/>
        <v/>
      </c>
      <c r="AC446">
        <v>433</v>
      </c>
      <c r="AE446" t="str">
        <f>IF(LISTADO_NOM!AN443="","",VLOOKUP(LISTADO_NOM!AN443,SEGUIMIENTOS,2,FALSE))</f>
        <v/>
      </c>
    </row>
    <row r="447" spans="26:31">
      <c r="Z447" s="89" t="str">
        <f>IF(LISTADO_NOM!K444="","",DATE(LISTADO_NOM!M444,LISTADO_NOM!L444,LISTADO_NOM!K444))</f>
        <v/>
      </c>
      <c r="AA447" s="89" t="str">
        <f>IFERROR(INDEX($Z$14:$Z$300, MATCH(0, INDEX(COUNTIF($AA$13:AA446, $Z$14:$Z$300), 0, 0), 0)), "")</f>
        <v/>
      </c>
      <c r="AB447" s="89" t="str">
        <f t="shared" si="6"/>
        <v/>
      </c>
      <c r="AC447">
        <v>434</v>
      </c>
      <c r="AE447" t="str">
        <f>IF(LISTADO_NOM!AN444="","",VLOOKUP(LISTADO_NOM!AN444,SEGUIMIENTOS,2,FALSE))</f>
        <v/>
      </c>
    </row>
    <row r="448" spans="26:31">
      <c r="Z448" s="89" t="str">
        <f>IF(LISTADO_NOM!K445="","",DATE(LISTADO_NOM!M445,LISTADO_NOM!L445,LISTADO_NOM!K445))</f>
        <v/>
      </c>
      <c r="AA448" s="89" t="str">
        <f>IFERROR(INDEX($Z$14:$Z$300, MATCH(0, INDEX(COUNTIF($AA$13:AA447, $Z$14:$Z$300), 0, 0), 0)), "")</f>
        <v/>
      </c>
      <c r="AB448" s="89" t="str">
        <f t="shared" si="6"/>
        <v/>
      </c>
      <c r="AC448">
        <v>435</v>
      </c>
      <c r="AE448" t="str">
        <f>IF(LISTADO_NOM!AN445="","",VLOOKUP(LISTADO_NOM!AN445,SEGUIMIENTOS,2,FALSE))</f>
        <v/>
      </c>
    </row>
    <row r="449" spans="26:31">
      <c r="Z449" s="89" t="str">
        <f>IF(LISTADO_NOM!K446="","",DATE(LISTADO_NOM!M446,LISTADO_NOM!L446,LISTADO_NOM!K446))</f>
        <v/>
      </c>
      <c r="AA449" s="89" t="str">
        <f>IFERROR(INDEX($Z$14:$Z$300, MATCH(0, INDEX(COUNTIF($AA$13:AA448, $Z$14:$Z$300), 0, 0), 0)), "")</f>
        <v/>
      </c>
      <c r="AB449" s="89" t="str">
        <f t="shared" si="6"/>
        <v/>
      </c>
      <c r="AC449">
        <v>436</v>
      </c>
      <c r="AE449" t="str">
        <f>IF(LISTADO_NOM!AN446="","",VLOOKUP(LISTADO_NOM!AN446,SEGUIMIENTOS,2,FALSE))</f>
        <v/>
      </c>
    </row>
    <row r="450" spans="26:31">
      <c r="Z450" s="89" t="str">
        <f>IF(LISTADO_NOM!K447="","",DATE(LISTADO_NOM!M447,LISTADO_NOM!L447,LISTADO_NOM!K447))</f>
        <v/>
      </c>
      <c r="AA450" s="89" t="str">
        <f>IFERROR(INDEX($Z$14:$Z$300, MATCH(0, INDEX(COUNTIF($AA$13:AA449, $Z$14:$Z$300), 0, 0), 0)), "")</f>
        <v/>
      </c>
      <c r="AB450" s="89" t="str">
        <f t="shared" si="6"/>
        <v/>
      </c>
      <c r="AC450">
        <v>437</v>
      </c>
      <c r="AE450" t="str">
        <f>IF(LISTADO_NOM!AN447="","",VLOOKUP(LISTADO_NOM!AN447,SEGUIMIENTOS,2,FALSE))</f>
        <v/>
      </c>
    </row>
    <row r="451" spans="26:31">
      <c r="Z451" s="89" t="str">
        <f>IF(LISTADO_NOM!K448="","",DATE(LISTADO_NOM!M448,LISTADO_NOM!L448,LISTADO_NOM!K448))</f>
        <v/>
      </c>
      <c r="AA451" s="89" t="str">
        <f>IFERROR(INDEX($Z$14:$Z$300, MATCH(0, INDEX(COUNTIF($AA$13:AA450, $Z$14:$Z$300), 0, 0), 0)), "")</f>
        <v/>
      </c>
      <c r="AB451" s="89" t="str">
        <f t="shared" si="6"/>
        <v/>
      </c>
      <c r="AC451">
        <v>438</v>
      </c>
      <c r="AE451" t="str">
        <f>IF(LISTADO_NOM!AN448="","",VLOOKUP(LISTADO_NOM!AN448,SEGUIMIENTOS,2,FALSE))</f>
        <v/>
      </c>
    </row>
    <row r="452" spans="26:31">
      <c r="Z452" s="89" t="str">
        <f>IF(LISTADO_NOM!K449="","",DATE(LISTADO_NOM!M449,LISTADO_NOM!L449,LISTADO_NOM!K449))</f>
        <v/>
      </c>
      <c r="AA452" s="89" t="str">
        <f>IFERROR(INDEX($Z$14:$Z$300, MATCH(0, INDEX(COUNTIF($AA$13:AA451, $Z$14:$Z$300), 0, 0), 0)), "")</f>
        <v/>
      </c>
      <c r="AB452" s="89" t="str">
        <f t="shared" si="6"/>
        <v/>
      </c>
      <c r="AC452">
        <v>439</v>
      </c>
      <c r="AE452" t="str">
        <f>IF(LISTADO_NOM!AN449="","",VLOOKUP(LISTADO_NOM!AN449,SEGUIMIENTOS,2,FALSE))</f>
        <v/>
      </c>
    </row>
    <row r="453" spans="26:31">
      <c r="Z453" s="89" t="str">
        <f>IF(LISTADO_NOM!K450="","",DATE(LISTADO_NOM!M450,LISTADO_NOM!L450,LISTADO_NOM!K450))</f>
        <v/>
      </c>
      <c r="AA453" s="89" t="str">
        <f>IFERROR(INDEX($Z$14:$Z$300, MATCH(0, INDEX(COUNTIF($AA$13:AA452, $Z$14:$Z$300), 0, 0), 0)), "")</f>
        <v/>
      </c>
      <c r="AB453" s="89" t="str">
        <f t="shared" si="6"/>
        <v/>
      </c>
      <c r="AC453">
        <v>440</v>
      </c>
      <c r="AE453" t="str">
        <f>IF(LISTADO_NOM!AN450="","",VLOOKUP(LISTADO_NOM!AN450,SEGUIMIENTOS,2,FALSE))</f>
        <v/>
      </c>
    </row>
    <row r="454" spans="26:31">
      <c r="Z454" s="89" t="str">
        <f>IF(LISTADO_NOM!K451="","",DATE(LISTADO_NOM!M451,LISTADO_NOM!L451,LISTADO_NOM!K451))</f>
        <v/>
      </c>
      <c r="AA454" s="89" t="str">
        <f>IFERROR(INDEX($Z$14:$Z$300, MATCH(0, INDEX(COUNTIF($AA$13:AA453, $Z$14:$Z$300), 0, 0), 0)), "")</f>
        <v/>
      </c>
      <c r="AB454" s="89" t="str">
        <f t="shared" si="6"/>
        <v/>
      </c>
      <c r="AC454">
        <v>441</v>
      </c>
      <c r="AE454" t="str">
        <f>IF(LISTADO_NOM!AN451="","",VLOOKUP(LISTADO_NOM!AN451,SEGUIMIENTOS,2,FALSE))</f>
        <v/>
      </c>
    </row>
    <row r="455" spans="26:31">
      <c r="Z455" s="89" t="str">
        <f>IF(LISTADO_NOM!K452="","",DATE(LISTADO_NOM!M452,LISTADO_NOM!L452,LISTADO_NOM!K452))</f>
        <v/>
      </c>
      <c r="AA455" s="89" t="str">
        <f>IFERROR(INDEX($Z$14:$Z$300, MATCH(0, INDEX(COUNTIF($AA$13:AA454, $Z$14:$Z$300), 0, 0), 0)), "")</f>
        <v/>
      </c>
      <c r="AB455" s="89" t="str">
        <f t="shared" si="6"/>
        <v/>
      </c>
      <c r="AC455">
        <v>442</v>
      </c>
      <c r="AE455" t="str">
        <f>IF(LISTADO_NOM!AN452="","",VLOOKUP(LISTADO_NOM!AN452,SEGUIMIENTOS,2,FALSE))</f>
        <v/>
      </c>
    </row>
    <row r="456" spans="26:31">
      <c r="Z456" s="89" t="str">
        <f>IF(LISTADO_NOM!K453="","",DATE(LISTADO_NOM!M453,LISTADO_NOM!L453,LISTADO_NOM!K453))</f>
        <v/>
      </c>
      <c r="AA456" s="89" t="str">
        <f>IFERROR(INDEX($Z$14:$Z$300, MATCH(0, INDEX(COUNTIF($AA$13:AA455, $Z$14:$Z$300), 0, 0), 0)), "")</f>
        <v/>
      </c>
      <c r="AB456" s="89" t="str">
        <f t="shared" si="6"/>
        <v/>
      </c>
      <c r="AC456">
        <v>443</v>
      </c>
      <c r="AE456" t="str">
        <f>IF(LISTADO_NOM!AN453="","",VLOOKUP(LISTADO_NOM!AN453,SEGUIMIENTOS,2,FALSE))</f>
        <v/>
      </c>
    </row>
    <row r="457" spans="26:31">
      <c r="Z457" s="89" t="str">
        <f>IF(LISTADO_NOM!K454="","",DATE(LISTADO_NOM!M454,LISTADO_NOM!L454,LISTADO_NOM!K454))</f>
        <v/>
      </c>
      <c r="AA457" s="89" t="str">
        <f>IFERROR(INDEX($Z$14:$Z$300, MATCH(0, INDEX(COUNTIF($AA$13:AA456, $Z$14:$Z$300), 0, 0), 0)), "")</f>
        <v/>
      </c>
      <c r="AB457" s="89" t="str">
        <f t="shared" si="6"/>
        <v/>
      </c>
      <c r="AC457">
        <v>444</v>
      </c>
      <c r="AE457" t="str">
        <f>IF(LISTADO_NOM!AN454="","",VLOOKUP(LISTADO_NOM!AN454,SEGUIMIENTOS,2,FALSE))</f>
        <v/>
      </c>
    </row>
    <row r="458" spans="26:31">
      <c r="Z458" s="89" t="str">
        <f>IF(LISTADO_NOM!K455="","",DATE(LISTADO_NOM!M455,LISTADO_NOM!L455,LISTADO_NOM!K455))</f>
        <v/>
      </c>
      <c r="AA458" s="89" t="str">
        <f>IFERROR(INDEX($Z$14:$Z$300, MATCH(0, INDEX(COUNTIF($AA$13:AA457, $Z$14:$Z$300), 0, 0), 0)), "")</f>
        <v/>
      </c>
      <c r="AB458" s="89" t="str">
        <f t="shared" si="6"/>
        <v/>
      </c>
      <c r="AC458">
        <v>445</v>
      </c>
      <c r="AE458" t="str">
        <f>IF(LISTADO_NOM!AN455="","",VLOOKUP(LISTADO_NOM!AN455,SEGUIMIENTOS,2,FALSE))</f>
        <v/>
      </c>
    </row>
    <row r="459" spans="26:31">
      <c r="Z459" s="89" t="str">
        <f>IF(LISTADO_NOM!K456="","",DATE(LISTADO_NOM!M456,LISTADO_NOM!L456,LISTADO_NOM!K456))</f>
        <v/>
      </c>
      <c r="AA459" s="89" t="str">
        <f>IFERROR(INDEX($Z$14:$Z$300, MATCH(0, INDEX(COUNTIF($AA$13:AA458, $Z$14:$Z$300), 0, 0), 0)), "")</f>
        <v/>
      </c>
      <c r="AB459" s="89" t="str">
        <f t="shared" si="6"/>
        <v/>
      </c>
      <c r="AC459">
        <v>446</v>
      </c>
      <c r="AE459" t="str">
        <f>IF(LISTADO_NOM!AN456="","",VLOOKUP(LISTADO_NOM!AN456,SEGUIMIENTOS,2,FALSE))</f>
        <v/>
      </c>
    </row>
    <row r="460" spans="26:31">
      <c r="Z460" s="89" t="str">
        <f>IF(LISTADO_NOM!K457="","",DATE(LISTADO_NOM!M457,LISTADO_NOM!L457,LISTADO_NOM!K457))</f>
        <v/>
      </c>
      <c r="AA460" s="89" t="str">
        <f>IFERROR(INDEX($Z$14:$Z$300, MATCH(0, INDEX(COUNTIF($AA$13:AA459, $Z$14:$Z$300), 0, 0), 0)), "")</f>
        <v/>
      </c>
      <c r="AB460" s="89" t="str">
        <f t="shared" si="6"/>
        <v/>
      </c>
      <c r="AC460">
        <v>447</v>
      </c>
      <c r="AE460" t="str">
        <f>IF(LISTADO_NOM!AN457="","",VLOOKUP(LISTADO_NOM!AN457,SEGUIMIENTOS,2,FALSE))</f>
        <v/>
      </c>
    </row>
    <row r="461" spans="26:31">
      <c r="Z461" s="89" t="str">
        <f>IF(LISTADO_NOM!K458="","",DATE(LISTADO_NOM!M458,LISTADO_NOM!L458,LISTADO_NOM!K458))</f>
        <v/>
      </c>
      <c r="AA461" s="89" t="str">
        <f>IFERROR(INDEX($Z$14:$Z$300, MATCH(0, INDEX(COUNTIF($AA$13:AA460, $Z$14:$Z$300), 0, 0), 0)), "")</f>
        <v/>
      </c>
      <c r="AB461" s="89" t="str">
        <f t="shared" si="6"/>
        <v/>
      </c>
      <c r="AC461">
        <v>448</v>
      </c>
      <c r="AE461" t="str">
        <f>IF(LISTADO_NOM!AN458="","",VLOOKUP(LISTADO_NOM!AN458,SEGUIMIENTOS,2,FALSE))</f>
        <v/>
      </c>
    </row>
    <row r="462" spans="26:31">
      <c r="Z462" s="89" t="str">
        <f>IF(LISTADO_NOM!K459="","",DATE(LISTADO_NOM!M459,LISTADO_NOM!L459,LISTADO_NOM!K459))</f>
        <v/>
      </c>
      <c r="AA462" s="89" t="str">
        <f>IFERROR(INDEX($Z$14:$Z$300, MATCH(0, INDEX(COUNTIF($AA$13:AA461, $Z$14:$Z$300), 0, 0), 0)), "")</f>
        <v/>
      </c>
      <c r="AB462" s="89" t="str">
        <f t="shared" ref="AB462:AB500" si="7">IF(AA462="","",SMALL(ORDENA_,AC462))</f>
        <v/>
      </c>
      <c r="AC462">
        <v>449</v>
      </c>
      <c r="AE462" t="str">
        <f>IF(LISTADO_NOM!AN459="","",VLOOKUP(LISTADO_NOM!AN459,SEGUIMIENTOS,2,FALSE))</f>
        <v/>
      </c>
    </row>
    <row r="463" spans="26:31">
      <c r="Z463" s="89" t="str">
        <f>IF(LISTADO_NOM!K460="","",DATE(LISTADO_NOM!M460,LISTADO_NOM!L460,LISTADO_NOM!K460))</f>
        <v/>
      </c>
      <c r="AA463" s="89" t="str">
        <f>IFERROR(INDEX($Z$14:$Z$300, MATCH(0, INDEX(COUNTIF($AA$13:AA462, $Z$14:$Z$300), 0, 0), 0)), "")</f>
        <v/>
      </c>
      <c r="AB463" s="89" t="str">
        <f t="shared" si="7"/>
        <v/>
      </c>
      <c r="AC463">
        <v>450</v>
      </c>
      <c r="AE463" t="str">
        <f>IF(LISTADO_NOM!AN460="","",VLOOKUP(LISTADO_NOM!AN460,SEGUIMIENTOS,2,FALSE))</f>
        <v/>
      </c>
    </row>
    <row r="464" spans="26:31">
      <c r="Z464" s="89" t="str">
        <f>IF(LISTADO_NOM!K461="","",DATE(LISTADO_NOM!M461,LISTADO_NOM!L461,LISTADO_NOM!K461))</f>
        <v/>
      </c>
      <c r="AA464" s="89" t="str">
        <f>IFERROR(INDEX($Z$14:$Z$300, MATCH(0, INDEX(COUNTIF($AA$13:AA463, $Z$14:$Z$300), 0, 0), 0)), "")</f>
        <v/>
      </c>
      <c r="AB464" s="89" t="str">
        <f t="shared" si="7"/>
        <v/>
      </c>
      <c r="AC464">
        <v>451</v>
      </c>
      <c r="AE464" t="str">
        <f>IF(LISTADO_NOM!AN461="","",VLOOKUP(LISTADO_NOM!AN461,SEGUIMIENTOS,2,FALSE))</f>
        <v/>
      </c>
    </row>
    <row r="465" spans="26:31">
      <c r="Z465" s="89" t="str">
        <f>IF(LISTADO_NOM!K462="","",DATE(LISTADO_NOM!M462,LISTADO_NOM!L462,LISTADO_NOM!K462))</f>
        <v/>
      </c>
      <c r="AA465" s="89" t="str">
        <f>IFERROR(INDEX($Z$14:$Z$300, MATCH(0, INDEX(COUNTIF($AA$13:AA464, $Z$14:$Z$300), 0, 0), 0)), "")</f>
        <v/>
      </c>
      <c r="AB465" s="89" t="str">
        <f t="shared" si="7"/>
        <v/>
      </c>
      <c r="AC465">
        <v>452</v>
      </c>
      <c r="AE465" t="str">
        <f>IF(LISTADO_NOM!AN462="","",VLOOKUP(LISTADO_NOM!AN462,SEGUIMIENTOS,2,FALSE))</f>
        <v/>
      </c>
    </row>
    <row r="466" spans="26:31">
      <c r="Z466" s="89" t="str">
        <f>IF(LISTADO_NOM!K463="","",DATE(LISTADO_NOM!M463,LISTADO_NOM!L463,LISTADO_NOM!K463))</f>
        <v/>
      </c>
      <c r="AA466" s="89" t="str">
        <f>IFERROR(INDEX($Z$14:$Z$300, MATCH(0, INDEX(COUNTIF($AA$13:AA465, $Z$14:$Z$300), 0, 0), 0)), "")</f>
        <v/>
      </c>
      <c r="AB466" s="89" t="str">
        <f t="shared" si="7"/>
        <v/>
      </c>
      <c r="AC466">
        <v>453</v>
      </c>
      <c r="AE466" t="str">
        <f>IF(LISTADO_NOM!AN463="","",VLOOKUP(LISTADO_NOM!AN463,SEGUIMIENTOS,2,FALSE))</f>
        <v/>
      </c>
    </row>
    <row r="467" spans="26:31">
      <c r="Z467" s="89" t="str">
        <f>IF(LISTADO_NOM!K464="","",DATE(LISTADO_NOM!M464,LISTADO_NOM!L464,LISTADO_NOM!K464))</f>
        <v/>
      </c>
      <c r="AA467" s="89" t="str">
        <f>IFERROR(INDEX($Z$14:$Z$300, MATCH(0, INDEX(COUNTIF($AA$13:AA466, $Z$14:$Z$300), 0, 0), 0)), "")</f>
        <v/>
      </c>
      <c r="AB467" s="89" t="str">
        <f t="shared" si="7"/>
        <v/>
      </c>
      <c r="AC467">
        <v>454</v>
      </c>
      <c r="AE467" t="str">
        <f>IF(LISTADO_NOM!AN464="","",VLOOKUP(LISTADO_NOM!AN464,SEGUIMIENTOS,2,FALSE))</f>
        <v/>
      </c>
    </row>
    <row r="468" spans="26:31">
      <c r="Z468" s="89" t="str">
        <f>IF(LISTADO_NOM!K465="","",DATE(LISTADO_NOM!M465,LISTADO_NOM!L465,LISTADO_NOM!K465))</f>
        <v/>
      </c>
      <c r="AA468" s="89" t="str">
        <f>IFERROR(INDEX($Z$14:$Z$300, MATCH(0, INDEX(COUNTIF($AA$13:AA467, $Z$14:$Z$300), 0, 0), 0)), "")</f>
        <v/>
      </c>
      <c r="AB468" s="89" t="str">
        <f t="shared" si="7"/>
        <v/>
      </c>
      <c r="AC468">
        <v>455</v>
      </c>
      <c r="AE468" t="str">
        <f>IF(LISTADO_NOM!AN465="","",VLOOKUP(LISTADO_NOM!AN465,SEGUIMIENTOS,2,FALSE))</f>
        <v/>
      </c>
    </row>
    <row r="469" spans="26:31">
      <c r="Z469" s="89" t="str">
        <f>IF(LISTADO_NOM!K466="","",DATE(LISTADO_NOM!M466,LISTADO_NOM!L466,LISTADO_NOM!K466))</f>
        <v/>
      </c>
      <c r="AA469" s="89" t="str">
        <f>IFERROR(INDEX($Z$14:$Z$300, MATCH(0, INDEX(COUNTIF($AA$13:AA468, $Z$14:$Z$300), 0, 0), 0)), "")</f>
        <v/>
      </c>
      <c r="AB469" s="89" t="str">
        <f t="shared" si="7"/>
        <v/>
      </c>
      <c r="AC469">
        <v>456</v>
      </c>
      <c r="AE469" t="str">
        <f>IF(LISTADO_NOM!AN466="","",VLOOKUP(LISTADO_NOM!AN466,SEGUIMIENTOS,2,FALSE))</f>
        <v/>
      </c>
    </row>
    <row r="470" spans="26:31">
      <c r="Z470" s="89" t="str">
        <f>IF(LISTADO_NOM!K467="","",DATE(LISTADO_NOM!M467,LISTADO_NOM!L467,LISTADO_NOM!K467))</f>
        <v/>
      </c>
      <c r="AA470" s="89" t="str">
        <f>IFERROR(INDEX($Z$14:$Z$300, MATCH(0, INDEX(COUNTIF($AA$13:AA469, $Z$14:$Z$300), 0, 0), 0)), "")</f>
        <v/>
      </c>
      <c r="AB470" s="89" t="str">
        <f t="shared" si="7"/>
        <v/>
      </c>
      <c r="AC470">
        <v>457</v>
      </c>
      <c r="AE470" t="str">
        <f>IF(LISTADO_NOM!AN467="","",VLOOKUP(LISTADO_NOM!AN467,SEGUIMIENTOS,2,FALSE))</f>
        <v/>
      </c>
    </row>
    <row r="471" spans="26:31">
      <c r="Z471" s="89" t="str">
        <f>IF(LISTADO_NOM!K468="","",DATE(LISTADO_NOM!M468,LISTADO_NOM!L468,LISTADO_NOM!K468))</f>
        <v/>
      </c>
      <c r="AA471" s="89" t="str">
        <f>IFERROR(INDEX($Z$14:$Z$300, MATCH(0, INDEX(COUNTIF($AA$13:AA470, $Z$14:$Z$300), 0, 0), 0)), "")</f>
        <v/>
      </c>
      <c r="AB471" s="89" t="str">
        <f t="shared" si="7"/>
        <v/>
      </c>
      <c r="AC471">
        <v>458</v>
      </c>
      <c r="AE471" t="str">
        <f>IF(LISTADO_NOM!AN468="","",VLOOKUP(LISTADO_NOM!AN468,SEGUIMIENTOS,2,FALSE))</f>
        <v/>
      </c>
    </row>
    <row r="472" spans="26:31">
      <c r="Z472" s="89" t="str">
        <f>IF(LISTADO_NOM!K469="","",DATE(LISTADO_NOM!M469,LISTADO_NOM!L469,LISTADO_NOM!K469))</f>
        <v/>
      </c>
      <c r="AA472" s="89" t="str">
        <f>IFERROR(INDEX($Z$14:$Z$300, MATCH(0, INDEX(COUNTIF($AA$13:AA471, $Z$14:$Z$300), 0, 0), 0)), "")</f>
        <v/>
      </c>
      <c r="AB472" s="89" t="str">
        <f t="shared" si="7"/>
        <v/>
      </c>
      <c r="AC472">
        <v>459</v>
      </c>
      <c r="AE472" t="str">
        <f>IF(LISTADO_NOM!AN469="","",VLOOKUP(LISTADO_NOM!AN469,SEGUIMIENTOS,2,FALSE))</f>
        <v/>
      </c>
    </row>
    <row r="473" spans="26:31">
      <c r="Z473" s="89" t="str">
        <f>IF(LISTADO_NOM!K470="","",DATE(LISTADO_NOM!M470,LISTADO_NOM!L470,LISTADO_NOM!K470))</f>
        <v/>
      </c>
      <c r="AA473" s="89" t="str">
        <f>IFERROR(INDEX($Z$14:$Z$300, MATCH(0, INDEX(COUNTIF($AA$13:AA472, $Z$14:$Z$300), 0, 0), 0)), "")</f>
        <v/>
      </c>
      <c r="AB473" s="89" t="str">
        <f t="shared" si="7"/>
        <v/>
      </c>
      <c r="AC473">
        <v>460</v>
      </c>
      <c r="AE473" t="str">
        <f>IF(LISTADO_NOM!AN470="","",VLOOKUP(LISTADO_NOM!AN470,SEGUIMIENTOS,2,FALSE))</f>
        <v/>
      </c>
    </row>
    <row r="474" spans="26:31">
      <c r="Z474" s="89" t="str">
        <f>IF(LISTADO_NOM!K471="","",DATE(LISTADO_NOM!M471,LISTADO_NOM!L471,LISTADO_NOM!K471))</f>
        <v/>
      </c>
      <c r="AA474" s="89" t="str">
        <f>IFERROR(INDEX($Z$14:$Z$300, MATCH(0, INDEX(COUNTIF($AA$13:AA473, $Z$14:$Z$300), 0, 0), 0)), "")</f>
        <v/>
      </c>
      <c r="AB474" s="89" t="str">
        <f t="shared" si="7"/>
        <v/>
      </c>
      <c r="AC474">
        <v>461</v>
      </c>
      <c r="AE474" t="str">
        <f>IF(LISTADO_NOM!AN471="","",VLOOKUP(LISTADO_NOM!AN471,SEGUIMIENTOS,2,FALSE))</f>
        <v/>
      </c>
    </row>
    <row r="475" spans="26:31">
      <c r="Z475" s="89" t="str">
        <f>IF(LISTADO_NOM!K472="","",DATE(LISTADO_NOM!M472,LISTADO_NOM!L472,LISTADO_NOM!K472))</f>
        <v/>
      </c>
      <c r="AA475" s="89" t="str">
        <f>IFERROR(INDEX($Z$14:$Z$300, MATCH(0, INDEX(COUNTIF($AA$13:AA474, $Z$14:$Z$300), 0, 0), 0)), "")</f>
        <v/>
      </c>
      <c r="AB475" s="89" t="str">
        <f t="shared" si="7"/>
        <v/>
      </c>
      <c r="AC475">
        <v>462</v>
      </c>
      <c r="AE475" t="str">
        <f>IF(LISTADO_NOM!AN472="","",VLOOKUP(LISTADO_NOM!AN472,SEGUIMIENTOS,2,FALSE))</f>
        <v/>
      </c>
    </row>
    <row r="476" spans="26:31">
      <c r="Z476" s="89" t="str">
        <f>IF(LISTADO_NOM!K473="","",DATE(LISTADO_NOM!M473,LISTADO_NOM!L473,LISTADO_NOM!K473))</f>
        <v/>
      </c>
      <c r="AA476" s="89" t="str">
        <f>IFERROR(INDEX($Z$14:$Z$300, MATCH(0, INDEX(COUNTIF($AA$13:AA475, $Z$14:$Z$300), 0, 0), 0)), "")</f>
        <v/>
      </c>
      <c r="AB476" s="89" t="str">
        <f t="shared" si="7"/>
        <v/>
      </c>
      <c r="AC476">
        <v>463</v>
      </c>
      <c r="AE476" t="str">
        <f>IF(LISTADO_NOM!AN473="","",VLOOKUP(LISTADO_NOM!AN473,SEGUIMIENTOS,2,FALSE))</f>
        <v/>
      </c>
    </row>
    <row r="477" spans="26:31">
      <c r="Z477" s="89" t="str">
        <f>IF(LISTADO_NOM!K474="","",DATE(LISTADO_NOM!M474,LISTADO_NOM!L474,LISTADO_NOM!K474))</f>
        <v/>
      </c>
      <c r="AA477" s="89" t="str">
        <f>IFERROR(INDEX($Z$14:$Z$300, MATCH(0, INDEX(COUNTIF($AA$13:AA476, $Z$14:$Z$300), 0, 0), 0)), "")</f>
        <v/>
      </c>
      <c r="AB477" s="89" t="str">
        <f t="shared" si="7"/>
        <v/>
      </c>
      <c r="AC477">
        <v>464</v>
      </c>
      <c r="AE477" t="str">
        <f>IF(LISTADO_NOM!AN474="","",VLOOKUP(LISTADO_NOM!AN474,SEGUIMIENTOS,2,FALSE))</f>
        <v/>
      </c>
    </row>
    <row r="478" spans="26:31">
      <c r="Z478" s="89" t="str">
        <f>IF(LISTADO_NOM!K475="","",DATE(LISTADO_NOM!M475,LISTADO_NOM!L475,LISTADO_NOM!K475))</f>
        <v/>
      </c>
      <c r="AA478" s="89" t="str">
        <f>IFERROR(INDEX($Z$14:$Z$300, MATCH(0, INDEX(COUNTIF($AA$13:AA477, $Z$14:$Z$300), 0, 0), 0)), "")</f>
        <v/>
      </c>
      <c r="AB478" s="89" t="str">
        <f t="shared" si="7"/>
        <v/>
      </c>
      <c r="AC478">
        <v>465</v>
      </c>
      <c r="AE478" t="str">
        <f>IF(LISTADO_NOM!AN475="","",VLOOKUP(LISTADO_NOM!AN475,SEGUIMIENTOS,2,FALSE))</f>
        <v/>
      </c>
    </row>
    <row r="479" spans="26:31">
      <c r="Z479" s="89" t="str">
        <f>IF(LISTADO_NOM!K476="","",DATE(LISTADO_NOM!M476,LISTADO_NOM!L476,LISTADO_NOM!K476))</f>
        <v/>
      </c>
      <c r="AA479" s="89" t="str">
        <f>IFERROR(INDEX($Z$14:$Z$300, MATCH(0, INDEX(COUNTIF($AA$13:AA478, $Z$14:$Z$300), 0, 0), 0)), "")</f>
        <v/>
      </c>
      <c r="AB479" s="89" t="str">
        <f t="shared" si="7"/>
        <v/>
      </c>
      <c r="AC479">
        <v>466</v>
      </c>
      <c r="AE479" t="str">
        <f>IF(LISTADO_NOM!AN476="","",VLOOKUP(LISTADO_NOM!AN476,SEGUIMIENTOS,2,FALSE))</f>
        <v/>
      </c>
    </row>
    <row r="480" spans="26:31">
      <c r="Z480" s="89" t="str">
        <f>IF(LISTADO_NOM!K477="","",DATE(LISTADO_NOM!M477,LISTADO_NOM!L477,LISTADO_NOM!K477))</f>
        <v/>
      </c>
      <c r="AA480" s="89" t="str">
        <f>IFERROR(INDEX($Z$14:$Z$300, MATCH(0, INDEX(COUNTIF($AA$13:AA479, $Z$14:$Z$300), 0, 0), 0)), "")</f>
        <v/>
      </c>
      <c r="AB480" s="89" t="str">
        <f t="shared" si="7"/>
        <v/>
      </c>
      <c r="AC480">
        <v>467</v>
      </c>
      <c r="AE480" t="str">
        <f>IF(LISTADO_NOM!AN477="","",VLOOKUP(LISTADO_NOM!AN477,SEGUIMIENTOS,2,FALSE))</f>
        <v/>
      </c>
    </row>
    <row r="481" spans="26:31">
      <c r="Z481" s="89" t="str">
        <f>IF(LISTADO_NOM!K478="","",DATE(LISTADO_NOM!M478,LISTADO_NOM!L478,LISTADO_NOM!K478))</f>
        <v/>
      </c>
      <c r="AA481" s="89" t="str">
        <f>IFERROR(INDEX($Z$14:$Z$300, MATCH(0, INDEX(COUNTIF($AA$13:AA480, $Z$14:$Z$300), 0, 0), 0)), "")</f>
        <v/>
      </c>
      <c r="AB481" s="89" t="str">
        <f t="shared" si="7"/>
        <v/>
      </c>
      <c r="AC481">
        <v>468</v>
      </c>
      <c r="AE481" t="str">
        <f>IF(LISTADO_NOM!AN478="","",VLOOKUP(LISTADO_NOM!AN478,SEGUIMIENTOS,2,FALSE))</f>
        <v/>
      </c>
    </row>
    <row r="482" spans="26:31">
      <c r="Z482" s="89" t="str">
        <f>IF(LISTADO_NOM!K479="","",DATE(LISTADO_NOM!M479,LISTADO_NOM!L479,LISTADO_NOM!K479))</f>
        <v/>
      </c>
      <c r="AA482" s="89" t="str">
        <f>IFERROR(INDEX($Z$14:$Z$300, MATCH(0, INDEX(COUNTIF($AA$13:AA481, $Z$14:$Z$300), 0, 0), 0)), "")</f>
        <v/>
      </c>
      <c r="AB482" s="89" t="str">
        <f t="shared" si="7"/>
        <v/>
      </c>
      <c r="AC482">
        <v>469</v>
      </c>
      <c r="AE482" t="str">
        <f>IF(LISTADO_NOM!AN479="","",VLOOKUP(LISTADO_NOM!AN479,SEGUIMIENTOS,2,FALSE))</f>
        <v/>
      </c>
    </row>
    <row r="483" spans="26:31">
      <c r="Z483" s="89" t="str">
        <f>IF(LISTADO_NOM!K480="","",DATE(LISTADO_NOM!M480,LISTADO_NOM!L480,LISTADO_NOM!K480))</f>
        <v/>
      </c>
      <c r="AA483" s="89" t="str">
        <f>IFERROR(INDEX($Z$14:$Z$300, MATCH(0, INDEX(COUNTIF($AA$13:AA482, $Z$14:$Z$300), 0, 0), 0)), "")</f>
        <v/>
      </c>
      <c r="AB483" s="89" t="str">
        <f t="shared" si="7"/>
        <v/>
      </c>
      <c r="AC483">
        <v>470</v>
      </c>
      <c r="AE483" t="str">
        <f>IF(LISTADO_NOM!AN480="","",VLOOKUP(LISTADO_NOM!AN480,SEGUIMIENTOS,2,FALSE))</f>
        <v/>
      </c>
    </row>
    <row r="484" spans="26:31">
      <c r="Z484" s="89" t="str">
        <f>IF(LISTADO_NOM!K481="","",DATE(LISTADO_NOM!M481,LISTADO_NOM!L481,LISTADO_NOM!K481))</f>
        <v/>
      </c>
      <c r="AA484" s="89" t="str">
        <f>IFERROR(INDEX($Z$14:$Z$300, MATCH(0, INDEX(COUNTIF($AA$13:AA483, $Z$14:$Z$300), 0, 0), 0)), "")</f>
        <v/>
      </c>
      <c r="AB484" s="89" t="str">
        <f t="shared" si="7"/>
        <v/>
      </c>
      <c r="AC484">
        <v>471</v>
      </c>
      <c r="AE484" t="str">
        <f>IF(LISTADO_NOM!AN481="","",VLOOKUP(LISTADO_NOM!AN481,SEGUIMIENTOS,2,FALSE))</f>
        <v/>
      </c>
    </row>
    <row r="485" spans="26:31">
      <c r="Z485" s="89" t="str">
        <f>IF(LISTADO_NOM!K482="","",DATE(LISTADO_NOM!M482,LISTADO_NOM!L482,LISTADO_NOM!K482))</f>
        <v/>
      </c>
      <c r="AA485" s="89" t="str">
        <f>IFERROR(INDEX($Z$14:$Z$300, MATCH(0, INDEX(COUNTIF($AA$13:AA484, $Z$14:$Z$300), 0, 0), 0)), "")</f>
        <v/>
      </c>
      <c r="AB485" s="89" t="str">
        <f t="shared" si="7"/>
        <v/>
      </c>
      <c r="AC485">
        <v>472</v>
      </c>
      <c r="AE485" t="str">
        <f>IF(LISTADO_NOM!AN482="","",VLOOKUP(LISTADO_NOM!AN482,SEGUIMIENTOS,2,FALSE))</f>
        <v/>
      </c>
    </row>
    <row r="486" spans="26:31">
      <c r="Z486" s="89" t="str">
        <f>IF(LISTADO_NOM!K483="","",DATE(LISTADO_NOM!M483,LISTADO_NOM!L483,LISTADO_NOM!K483))</f>
        <v/>
      </c>
      <c r="AA486" s="89" t="str">
        <f>IFERROR(INDEX($Z$14:$Z$300, MATCH(0, INDEX(COUNTIF($AA$13:AA485, $Z$14:$Z$300), 0, 0), 0)), "")</f>
        <v/>
      </c>
      <c r="AB486" s="89" t="str">
        <f t="shared" si="7"/>
        <v/>
      </c>
      <c r="AC486">
        <v>473</v>
      </c>
      <c r="AE486" t="str">
        <f>IF(LISTADO_NOM!AN483="","",VLOOKUP(LISTADO_NOM!AN483,SEGUIMIENTOS,2,FALSE))</f>
        <v/>
      </c>
    </row>
    <row r="487" spans="26:31">
      <c r="Z487" s="89" t="str">
        <f>IF(LISTADO_NOM!K484="","",DATE(LISTADO_NOM!M484,LISTADO_NOM!L484,LISTADO_NOM!K484))</f>
        <v/>
      </c>
      <c r="AA487" s="89" t="str">
        <f>IFERROR(INDEX($Z$14:$Z$300, MATCH(0, INDEX(COUNTIF($AA$13:AA486, $Z$14:$Z$300), 0, 0), 0)), "")</f>
        <v/>
      </c>
      <c r="AB487" s="89" t="str">
        <f t="shared" si="7"/>
        <v/>
      </c>
      <c r="AC487">
        <v>474</v>
      </c>
      <c r="AE487" t="str">
        <f>IF(LISTADO_NOM!AN484="","",VLOOKUP(LISTADO_NOM!AN484,SEGUIMIENTOS,2,FALSE))</f>
        <v/>
      </c>
    </row>
    <row r="488" spans="26:31">
      <c r="Z488" s="89" t="str">
        <f>IF(LISTADO_NOM!K485="","",DATE(LISTADO_NOM!M485,LISTADO_NOM!L485,LISTADO_NOM!K485))</f>
        <v/>
      </c>
      <c r="AA488" s="89" t="str">
        <f>IFERROR(INDEX($Z$14:$Z$300, MATCH(0, INDEX(COUNTIF($AA$13:AA487, $Z$14:$Z$300), 0, 0), 0)), "")</f>
        <v/>
      </c>
      <c r="AB488" s="89" t="str">
        <f t="shared" si="7"/>
        <v/>
      </c>
      <c r="AC488">
        <v>475</v>
      </c>
      <c r="AE488" t="str">
        <f>IF(LISTADO_NOM!AN485="","",VLOOKUP(LISTADO_NOM!AN485,SEGUIMIENTOS,2,FALSE))</f>
        <v/>
      </c>
    </row>
    <row r="489" spans="26:31">
      <c r="Z489" s="89" t="str">
        <f>IF(LISTADO_NOM!K486="","",DATE(LISTADO_NOM!M486,LISTADO_NOM!L486,LISTADO_NOM!K486))</f>
        <v/>
      </c>
      <c r="AA489" s="89" t="str">
        <f>IFERROR(INDEX($Z$14:$Z$300, MATCH(0, INDEX(COUNTIF($AA$13:AA488, $Z$14:$Z$300), 0, 0), 0)), "")</f>
        <v/>
      </c>
      <c r="AB489" s="89" t="str">
        <f t="shared" si="7"/>
        <v/>
      </c>
      <c r="AC489">
        <v>476</v>
      </c>
      <c r="AE489" t="str">
        <f>IF(LISTADO_NOM!AN486="","",VLOOKUP(LISTADO_NOM!AN486,SEGUIMIENTOS,2,FALSE))</f>
        <v/>
      </c>
    </row>
    <row r="490" spans="26:31">
      <c r="Z490" s="89" t="str">
        <f>IF(LISTADO_NOM!K487="","",DATE(LISTADO_NOM!M487,LISTADO_NOM!L487,LISTADO_NOM!K487))</f>
        <v/>
      </c>
      <c r="AA490" s="89" t="str">
        <f>IFERROR(INDEX($Z$14:$Z$300, MATCH(0, INDEX(COUNTIF($AA$13:AA489, $Z$14:$Z$300), 0, 0), 0)), "")</f>
        <v/>
      </c>
      <c r="AB490" s="89" t="str">
        <f t="shared" si="7"/>
        <v/>
      </c>
      <c r="AC490">
        <v>477</v>
      </c>
      <c r="AE490" t="str">
        <f>IF(LISTADO_NOM!AN487="","",VLOOKUP(LISTADO_NOM!AN487,SEGUIMIENTOS,2,FALSE))</f>
        <v/>
      </c>
    </row>
    <row r="491" spans="26:31">
      <c r="Z491" s="89" t="str">
        <f>IF(LISTADO_NOM!K488="","",DATE(LISTADO_NOM!M488,LISTADO_NOM!L488,LISTADO_NOM!K488))</f>
        <v/>
      </c>
      <c r="AA491" s="89" t="str">
        <f>IFERROR(INDEX($Z$14:$Z$300, MATCH(0, INDEX(COUNTIF($AA$13:AA490, $Z$14:$Z$300), 0, 0), 0)), "")</f>
        <v/>
      </c>
      <c r="AB491" s="89" t="str">
        <f t="shared" si="7"/>
        <v/>
      </c>
      <c r="AC491">
        <v>478</v>
      </c>
      <c r="AE491" t="str">
        <f>IF(LISTADO_NOM!AN488="","",VLOOKUP(LISTADO_NOM!AN488,SEGUIMIENTOS,2,FALSE))</f>
        <v/>
      </c>
    </row>
    <row r="492" spans="26:31">
      <c r="Z492" s="89" t="str">
        <f>IF(LISTADO_NOM!K489="","",DATE(LISTADO_NOM!M489,LISTADO_NOM!L489,LISTADO_NOM!K489))</f>
        <v/>
      </c>
      <c r="AA492" s="89" t="str">
        <f>IFERROR(INDEX($Z$14:$Z$300, MATCH(0, INDEX(COUNTIF($AA$13:AA491, $Z$14:$Z$300), 0, 0), 0)), "")</f>
        <v/>
      </c>
      <c r="AB492" s="89" t="str">
        <f t="shared" si="7"/>
        <v/>
      </c>
      <c r="AC492">
        <v>479</v>
      </c>
      <c r="AE492" t="str">
        <f>IF(LISTADO_NOM!AN489="","",VLOOKUP(LISTADO_NOM!AN489,SEGUIMIENTOS,2,FALSE))</f>
        <v/>
      </c>
    </row>
    <row r="493" spans="26:31">
      <c r="Z493" s="89" t="str">
        <f>IF(LISTADO_NOM!K490="","",DATE(LISTADO_NOM!M490,LISTADO_NOM!L490,LISTADO_NOM!K490))</f>
        <v/>
      </c>
      <c r="AA493" s="89" t="str">
        <f>IFERROR(INDEX($Z$14:$Z$300, MATCH(0, INDEX(COUNTIF($AA$13:AA492, $Z$14:$Z$300), 0, 0), 0)), "")</f>
        <v/>
      </c>
      <c r="AB493" s="89" t="str">
        <f t="shared" si="7"/>
        <v/>
      </c>
      <c r="AC493">
        <v>480</v>
      </c>
      <c r="AE493" t="str">
        <f>IF(LISTADO_NOM!AN490="","",VLOOKUP(LISTADO_NOM!AN490,SEGUIMIENTOS,2,FALSE))</f>
        <v/>
      </c>
    </row>
    <row r="494" spans="26:31">
      <c r="Z494" s="89" t="str">
        <f>IF(LISTADO_NOM!K491="","",DATE(LISTADO_NOM!M491,LISTADO_NOM!L491,LISTADO_NOM!K491))</f>
        <v/>
      </c>
      <c r="AA494" s="89" t="str">
        <f>IFERROR(INDEX($Z$14:$Z$300, MATCH(0, INDEX(COUNTIF($AA$13:AA493, $Z$14:$Z$300), 0, 0), 0)), "")</f>
        <v/>
      </c>
      <c r="AB494" s="89" t="str">
        <f t="shared" si="7"/>
        <v/>
      </c>
      <c r="AC494">
        <v>481</v>
      </c>
      <c r="AE494" t="str">
        <f>IF(LISTADO_NOM!AN491="","",VLOOKUP(LISTADO_NOM!AN491,SEGUIMIENTOS,2,FALSE))</f>
        <v/>
      </c>
    </row>
    <row r="495" spans="26:31">
      <c r="Z495" s="89" t="str">
        <f>IF(LISTADO_NOM!K492="","",DATE(LISTADO_NOM!M492,LISTADO_NOM!L492,LISTADO_NOM!K492))</f>
        <v/>
      </c>
      <c r="AA495" s="89" t="str">
        <f>IFERROR(INDEX($Z$14:$Z$300, MATCH(0, INDEX(COUNTIF($AA$13:AA494, $Z$14:$Z$300), 0, 0), 0)), "")</f>
        <v/>
      </c>
      <c r="AB495" s="89" t="str">
        <f t="shared" si="7"/>
        <v/>
      </c>
      <c r="AC495">
        <v>482</v>
      </c>
      <c r="AE495" t="str">
        <f>IF(LISTADO_NOM!AN492="","",VLOOKUP(LISTADO_NOM!AN492,SEGUIMIENTOS,2,FALSE))</f>
        <v/>
      </c>
    </row>
    <row r="496" spans="26:31">
      <c r="Z496" s="89" t="str">
        <f>IF(LISTADO_NOM!K493="","",DATE(LISTADO_NOM!M493,LISTADO_NOM!L493,LISTADO_NOM!K493))</f>
        <v/>
      </c>
      <c r="AA496" s="89" t="str">
        <f>IFERROR(INDEX($Z$14:$Z$300, MATCH(0, INDEX(COUNTIF($AA$13:AA495, $Z$14:$Z$300), 0, 0), 0)), "")</f>
        <v/>
      </c>
      <c r="AB496" s="89" t="str">
        <f t="shared" si="7"/>
        <v/>
      </c>
      <c r="AC496">
        <v>483</v>
      </c>
      <c r="AE496" t="str">
        <f>IF(LISTADO_NOM!AN493="","",VLOOKUP(LISTADO_NOM!AN493,SEGUIMIENTOS,2,FALSE))</f>
        <v/>
      </c>
    </row>
    <row r="497" spans="26:31">
      <c r="Z497" s="89" t="str">
        <f>IF(LISTADO_NOM!K494="","",DATE(LISTADO_NOM!M494,LISTADO_NOM!L494,LISTADO_NOM!K494))</f>
        <v/>
      </c>
      <c r="AA497" s="89" t="str">
        <f>IFERROR(INDEX($Z$14:$Z$300, MATCH(0, INDEX(COUNTIF($AA$13:AA496, $Z$14:$Z$300), 0, 0), 0)), "")</f>
        <v/>
      </c>
      <c r="AB497" s="89" t="str">
        <f t="shared" si="7"/>
        <v/>
      </c>
      <c r="AC497">
        <v>484</v>
      </c>
      <c r="AE497" t="str">
        <f>IF(LISTADO_NOM!AN494="","",VLOOKUP(LISTADO_NOM!AN494,SEGUIMIENTOS,2,FALSE))</f>
        <v/>
      </c>
    </row>
    <row r="498" spans="26:31">
      <c r="Z498" s="89" t="str">
        <f>IF(LISTADO_NOM!K495="","",DATE(LISTADO_NOM!M495,LISTADO_NOM!L495,LISTADO_NOM!K495))</f>
        <v/>
      </c>
      <c r="AA498" s="89" t="str">
        <f>IFERROR(INDEX($Z$14:$Z$300, MATCH(0, INDEX(COUNTIF($AA$13:AA497, $Z$14:$Z$300), 0, 0), 0)), "")</f>
        <v/>
      </c>
      <c r="AB498" s="89" t="str">
        <f t="shared" si="7"/>
        <v/>
      </c>
      <c r="AC498">
        <v>485</v>
      </c>
      <c r="AE498" t="str">
        <f>IF(LISTADO_NOM!AN495="","",VLOOKUP(LISTADO_NOM!AN495,SEGUIMIENTOS,2,FALSE))</f>
        <v/>
      </c>
    </row>
    <row r="499" spans="26:31">
      <c r="Z499" s="89" t="str">
        <f>IF(LISTADO_NOM!K496="","",DATE(LISTADO_NOM!M496,LISTADO_NOM!L496,LISTADO_NOM!K496))</f>
        <v/>
      </c>
      <c r="AA499" s="89" t="str">
        <f>IFERROR(INDEX($Z$14:$Z$300, MATCH(0, INDEX(COUNTIF($AA$13:AA498, $Z$14:$Z$300), 0, 0), 0)), "")</f>
        <v/>
      </c>
      <c r="AB499" s="89" t="str">
        <f t="shared" si="7"/>
        <v/>
      </c>
      <c r="AC499">
        <v>486</v>
      </c>
      <c r="AE499" t="str">
        <f>IF(LISTADO_NOM!AN496="","",VLOOKUP(LISTADO_NOM!AN496,SEGUIMIENTOS,2,FALSE))</f>
        <v/>
      </c>
    </row>
    <row r="500" spans="26:31">
      <c r="Z500" s="89" t="str">
        <f>IF(LISTADO_NOM!K497="","",DATE(LISTADO_NOM!M497,LISTADO_NOM!L497,LISTADO_NOM!K497))</f>
        <v/>
      </c>
      <c r="AA500" s="89" t="str">
        <f>IFERROR(INDEX($Z$14:$Z$300, MATCH(0, INDEX(COUNTIF($AA$13:AA499, $Z$14:$Z$300), 0, 0), 0)), "")</f>
        <v/>
      </c>
      <c r="AB500" s="89" t="str">
        <f t="shared" si="7"/>
        <v/>
      </c>
      <c r="AC500">
        <v>487</v>
      </c>
      <c r="AE500" t="str">
        <f>IF(LISTADO_NOM!AN497="","",VLOOKUP(LISTADO_NOM!AN497,SEGUIMIENTOS,2,FALSE))</f>
        <v/>
      </c>
    </row>
    <row r="501" spans="26:31">
      <c r="Z501" s="89"/>
    </row>
    <row r="502" spans="26:31">
      <c r="Z502" s="89"/>
    </row>
    <row r="503" spans="26:31">
      <c r="Z503" s="89"/>
    </row>
    <row r="504" spans="26:31">
      <c r="Z504" s="89"/>
    </row>
    <row r="505" spans="26:31">
      <c r="Z505" s="89"/>
    </row>
    <row r="506" spans="26:31">
      <c r="Z506" s="89"/>
    </row>
    <row r="507" spans="26:31">
      <c r="Z507" s="89"/>
    </row>
    <row r="508" spans="26:31">
      <c r="Z508" s="89"/>
    </row>
    <row r="509" spans="26:31">
      <c r="Z509" s="89"/>
    </row>
    <row r="510" spans="26:31">
      <c r="Z510" s="89"/>
    </row>
    <row r="511" spans="26:31">
      <c r="Z511" s="89"/>
    </row>
    <row r="512" spans="26:31">
      <c r="Z512" s="89"/>
    </row>
    <row r="513" spans="26:26">
      <c r="Z513" s="89"/>
    </row>
    <row r="514" spans="26:26">
      <c r="Z514" s="89"/>
    </row>
    <row r="515" spans="26:26">
      <c r="Z515" s="89"/>
    </row>
    <row r="516" spans="26:26">
      <c r="Z516" s="89"/>
    </row>
    <row r="517" spans="26:26">
      <c r="Z517" s="89"/>
    </row>
    <row r="518" spans="26:26">
      <c r="Z518" s="89"/>
    </row>
    <row r="519" spans="26:26">
      <c r="Z519" s="89"/>
    </row>
    <row r="520" spans="26:26">
      <c r="Z520" s="89"/>
    </row>
    <row r="521" spans="26:26">
      <c r="Z521" s="89"/>
    </row>
    <row r="522" spans="26:26">
      <c r="Z522" s="89"/>
    </row>
    <row r="523" spans="26:26">
      <c r="Z523" s="89"/>
    </row>
    <row r="524" spans="26:26">
      <c r="Z524" s="89"/>
    </row>
    <row r="525" spans="26:26">
      <c r="Z525" s="89"/>
    </row>
    <row r="526" spans="26:26">
      <c r="Z526" s="89"/>
    </row>
    <row r="527" spans="26:26">
      <c r="Z527" s="89"/>
    </row>
    <row r="528" spans="26:26">
      <c r="Z528" s="89"/>
    </row>
    <row r="529" spans="26:26">
      <c r="Z529" s="89"/>
    </row>
    <row r="530" spans="26:26">
      <c r="Z530" s="89"/>
    </row>
    <row r="531" spans="26:26">
      <c r="Z531" s="89"/>
    </row>
    <row r="532" spans="26:26">
      <c r="Z532" s="89"/>
    </row>
    <row r="533" spans="26:26">
      <c r="Z533" s="89"/>
    </row>
    <row r="534" spans="26:26">
      <c r="Z534" s="89"/>
    </row>
    <row r="535" spans="26:26">
      <c r="Z535" s="89"/>
    </row>
    <row r="536" spans="26:26">
      <c r="Z536" s="89"/>
    </row>
    <row r="537" spans="26:26">
      <c r="Z537" s="89"/>
    </row>
    <row r="538" spans="26:26">
      <c r="Z538" s="89"/>
    </row>
    <row r="539" spans="26:26">
      <c r="Z539" s="89"/>
    </row>
    <row r="540" spans="26:26">
      <c r="Z540" s="89"/>
    </row>
    <row r="541" spans="26:26">
      <c r="Z541" s="89"/>
    </row>
    <row r="542" spans="26:26">
      <c r="Z542" s="89"/>
    </row>
    <row r="543" spans="26:26">
      <c r="Z543" s="89"/>
    </row>
    <row r="544" spans="26:26">
      <c r="Z544" s="89"/>
    </row>
    <row r="545" spans="26:26">
      <c r="Z545" s="89"/>
    </row>
    <row r="546" spans="26:26">
      <c r="Z546" s="89"/>
    </row>
    <row r="547" spans="26:26">
      <c r="Z547" s="89"/>
    </row>
    <row r="548" spans="26:26">
      <c r="Z548" s="89"/>
    </row>
    <row r="549" spans="26:26">
      <c r="Z549" s="89"/>
    </row>
    <row r="550" spans="26:26">
      <c r="Z550" s="89"/>
    </row>
    <row r="551" spans="26:26">
      <c r="Z551" s="89"/>
    </row>
    <row r="552" spans="26:26">
      <c r="Z552" s="89"/>
    </row>
    <row r="553" spans="26:26">
      <c r="Z553" s="89"/>
    </row>
    <row r="554" spans="26:26">
      <c r="Z554" s="89"/>
    </row>
    <row r="555" spans="26:26">
      <c r="Z555" s="89"/>
    </row>
    <row r="556" spans="26:26">
      <c r="Z556" s="89"/>
    </row>
    <row r="557" spans="26:26">
      <c r="Z557" s="89"/>
    </row>
    <row r="558" spans="26:26">
      <c r="Z558" s="89"/>
    </row>
    <row r="559" spans="26:26">
      <c r="Z559" s="89"/>
    </row>
    <row r="560" spans="26:26">
      <c r="Z560" s="89"/>
    </row>
    <row r="561" spans="26:26">
      <c r="Z561" s="89"/>
    </row>
    <row r="562" spans="26:26">
      <c r="Z562" s="89"/>
    </row>
    <row r="563" spans="26:26">
      <c r="Z563" s="89"/>
    </row>
    <row r="564" spans="26:26">
      <c r="Z564" s="89"/>
    </row>
    <row r="565" spans="26:26">
      <c r="Z565" s="89"/>
    </row>
    <row r="566" spans="26:26">
      <c r="Z566" s="89"/>
    </row>
    <row r="567" spans="26:26">
      <c r="Z567" s="89"/>
    </row>
    <row r="568" spans="26:26">
      <c r="Z568" s="89"/>
    </row>
    <row r="569" spans="26:26">
      <c r="Z569" s="89"/>
    </row>
    <row r="570" spans="26:26">
      <c r="Z570" s="89"/>
    </row>
    <row r="571" spans="26:26">
      <c r="Z571" s="89"/>
    </row>
    <row r="572" spans="26:26">
      <c r="Z572" s="89"/>
    </row>
    <row r="573" spans="26:26">
      <c r="Z573" s="89"/>
    </row>
    <row r="574" spans="26:26">
      <c r="Z574" s="89"/>
    </row>
    <row r="575" spans="26:26">
      <c r="Z575" s="89"/>
    </row>
    <row r="576" spans="26:26">
      <c r="Z576" s="89"/>
    </row>
    <row r="577" spans="26:26">
      <c r="Z577" s="89"/>
    </row>
    <row r="578" spans="26:26">
      <c r="Z578" s="89"/>
    </row>
    <row r="579" spans="26:26">
      <c r="Z579" s="89"/>
    </row>
    <row r="580" spans="26:26">
      <c r="Z580" s="89"/>
    </row>
    <row r="581" spans="26:26">
      <c r="Z581" s="89"/>
    </row>
    <row r="582" spans="26:26">
      <c r="Z582" s="89"/>
    </row>
    <row r="583" spans="26:26">
      <c r="Z583" s="89"/>
    </row>
    <row r="584" spans="26:26">
      <c r="Z584" s="89"/>
    </row>
    <row r="585" spans="26:26">
      <c r="Z585" s="89"/>
    </row>
    <row r="586" spans="26:26">
      <c r="Z586" s="89"/>
    </row>
    <row r="587" spans="26:26">
      <c r="Z587" s="89"/>
    </row>
    <row r="588" spans="26:26">
      <c r="Z588" s="89"/>
    </row>
    <row r="589" spans="26:26">
      <c r="Z589" s="89"/>
    </row>
    <row r="590" spans="26:26">
      <c r="Z590" s="89"/>
    </row>
    <row r="591" spans="26:26">
      <c r="Z591" s="89"/>
    </row>
    <row r="592" spans="26:26">
      <c r="Z592" s="89"/>
    </row>
    <row r="593" spans="26:26">
      <c r="Z593" s="89"/>
    </row>
    <row r="594" spans="26:26">
      <c r="Z594" s="89"/>
    </row>
    <row r="595" spans="26:26">
      <c r="Z595" s="89"/>
    </row>
    <row r="596" spans="26:26">
      <c r="Z596" s="89"/>
    </row>
    <row r="597" spans="26:26">
      <c r="Z597" s="89"/>
    </row>
    <row r="598" spans="26:26">
      <c r="Z598" s="89"/>
    </row>
    <row r="599" spans="26:26">
      <c r="Z599" s="89"/>
    </row>
    <row r="600" spans="26:26">
      <c r="Z600" s="89"/>
    </row>
    <row r="601" spans="26:26">
      <c r="Z601" s="89"/>
    </row>
    <row r="602" spans="26:26">
      <c r="Z602" s="89"/>
    </row>
    <row r="603" spans="26:26">
      <c r="Z603" s="89"/>
    </row>
    <row r="604" spans="26:26">
      <c r="Z604" s="89"/>
    </row>
    <row r="605" spans="26:26">
      <c r="Z605" s="89"/>
    </row>
    <row r="606" spans="26:26">
      <c r="Z606" s="89"/>
    </row>
    <row r="607" spans="26:26">
      <c r="Z607" s="89"/>
    </row>
    <row r="608" spans="26:26">
      <c r="Z608" s="89"/>
    </row>
    <row r="609" spans="26:26">
      <c r="Z609" s="89"/>
    </row>
    <row r="610" spans="26:26">
      <c r="Z610" s="89"/>
    </row>
    <row r="611" spans="26:26">
      <c r="Z611" s="89"/>
    </row>
    <row r="612" spans="26:26">
      <c r="Z612" s="89"/>
    </row>
    <row r="613" spans="26:26">
      <c r="Z613" s="89"/>
    </row>
    <row r="614" spans="26:26">
      <c r="Z614" s="89"/>
    </row>
    <row r="615" spans="26:26">
      <c r="Z615" s="89"/>
    </row>
    <row r="616" spans="26:26">
      <c r="Z616" s="89"/>
    </row>
    <row r="617" spans="26:26">
      <c r="Z617" s="89"/>
    </row>
    <row r="618" spans="26:26">
      <c r="Z618" s="89"/>
    </row>
    <row r="619" spans="26:26">
      <c r="Z619" s="89"/>
    </row>
    <row r="620" spans="26:26">
      <c r="Z620" s="89"/>
    </row>
    <row r="621" spans="26:26">
      <c r="Z621" s="89"/>
    </row>
    <row r="622" spans="26:26">
      <c r="Z622" s="89"/>
    </row>
    <row r="623" spans="26:26">
      <c r="Z623" s="89"/>
    </row>
    <row r="624" spans="26:26">
      <c r="Z624" s="89"/>
    </row>
    <row r="625" spans="26:26">
      <c r="Z625" s="89"/>
    </row>
    <row r="626" spans="26:26">
      <c r="Z626" s="89"/>
    </row>
    <row r="627" spans="26:26">
      <c r="Z627" s="89"/>
    </row>
    <row r="628" spans="26:26">
      <c r="Z628" s="89"/>
    </row>
    <row r="629" spans="26:26">
      <c r="Z629" s="89"/>
    </row>
    <row r="630" spans="26:26">
      <c r="Z630" s="89"/>
    </row>
    <row r="631" spans="26:26">
      <c r="Z631" s="89"/>
    </row>
    <row r="632" spans="26:26">
      <c r="Z632" s="89"/>
    </row>
    <row r="633" spans="26:26">
      <c r="Z633" s="89"/>
    </row>
    <row r="634" spans="26:26">
      <c r="Z634" s="89"/>
    </row>
    <row r="635" spans="26:26">
      <c r="Z635" s="89"/>
    </row>
    <row r="636" spans="26:26">
      <c r="Z636" s="89"/>
    </row>
    <row r="637" spans="26:26">
      <c r="Z637" s="89"/>
    </row>
    <row r="638" spans="26:26">
      <c r="Z638" s="89"/>
    </row>
    <row r="639" spans="26:26">
      <c r="Z639" s="89"/>
    </row>
    <row r="640" spans="26:26">
      <c r="Z640" s="89"/>
    </row>
    <row r="641" spans="26:26">
      <c r="Z641" s="89"/>
    </row>
    <row r="642" spans="26:26">
      <c r="Z642" s="89"/>
    </row>
    <row r="643" spans="26:26">
      <c r="Z643" s="89"/>
    </row>
    <row r="644" spans="26:26">
      <c r="Z644" s="89"/>
    </row>
    <row r="645" spans="26:26">
      <c r="Z645" s="89"/>
    </row>
    <row r="646" spans="26:26">
      <c r="Z646" s="89"/>
    </row>
    <row r="647" spans="26:26">
      <c r="Z647" s="89"/>
    </row>
    <row r="648" spans="26:26">
      <c r="Z648" s="89"/>
    </row>
    <row r="649" spans="26:26">
      <c r="Z649" s="89"/>
    </row>
    <row r="650" spans="26:26">
      <c r="Z650" s="89"/>
    </row>
    <row r="651" spans="26:26">
      <c r="Z651" s="89"/>
    </row>
    <row r="652" spans="26:26">
      <c r="Z652" s="89"/>
    </row>
    <row r="653" spans="26:26">
      <c r="Z653" s="89"/>
    </row>
    <row r="654" spans="26:26">
      <c r="Z654" s="89"/>
    </row>
    <row r="655" spans="26:26">
      <c r="Z655" s="89"/>
    </row>
    <row r="656" spans="26:26">
      <c r="Z656" s="89"/>
    </row>
    <row r="657" spans="26:26">
      <c r="Z657" s="89"/>
    </row>
    <row r="658" spans="26:26">
      <c r="Z658" s="89"/>
    </row>
    <row r="659" spans="26:26">
      <c r="Z659" s="89"/>
    </row>
    <row r="660" spans="26:26">
      <c r="Z660" s="89"/>
    </row>
    <row r="661" spans="26:26">
      <c r="Z661" s="89"/>
    </row>
    <row r="662" spans="26:26">
      <c r="Z662" s="89"/>
    </row>
    <row r="663" spans="26:26">
      <c r="Z663" s="89"/>
    </row>
    <row r="664" spans="26:26">
      <c r="Z664" s="89"/>
    </row>
    <row r="665" spans="26:26">
      <c r="Z665" s="89"/>
    </row>
    <row r="666" spans="26:26">
      <c r="Z666" s="89"/>
    </row>
    <row r="667" spans="26:26">
      <c r="Z667" s="89"/>
    </row>
    <row r="668" spans="26:26">
      <c r="Z668" s="89"/>
    </row>
    <row r="669" spans="26:26">
      <c r="Z669" s="89"/>
    </row>
    <row r="670" spans="26:26">
      <c r="Z670" s="89"/>
    </row>
    <row r="671" spans="26:26">
      <c r="Z671" s="89"/>
    </row>
    <row r="672" spans="26:26">
      <c r="Z672" s="89"/>
    </row>
    <row r="673" spans="26:26">
      <c r="Z673" s="89"/>
    </row>
    <row r="674" spans="26:26">
      <c r="Z674" s="89"/>
    </row>
    <row r="675" spans="26:26">
      <c r="Z675" s="89"/>
    </row>
    <row r="676" spans="26:26">
      <c r="Z676" s="89"/>
    </row>
    <row r="677" spans="26:26">
      <c r="Z677" s="89"/>
    </row>
    <row r="678" spans="26:26">
      <c r="Z678" s="89"/>
    </row>
    <row r="679" spans="26:26">
      <c r="Z679" s="89"/>
    </row>
    <row r="680" spans="26:26">
      <c r="Z680" s="89"/>
    </row>
    <row r="681" spans="26:26">
      <c r="Z681" s="89"/>
    </row>
    <row r="682" spans="26:26">
      <c r="Z682" s="89"/>
    </row>
    <row r="683" spans="26:26">
      <c r="Z683" s="89"/>
    </row>
    <row r="684" spans="26:26">
      <c r="Z684" s="89"/>
    </row>
    <row r="685" spans="26:26">
      <c r="Z685" s="89"/>
    </row>
    <row r="686" spans="26:26">
      <c r="Z686" s="89"/>
    </row>
    <row r="687" spans="26:26">
      <c r="Z687" s="89"/>
    </row>
    <row r="688" spans="26:26">
      <c r="Z688" s="89"/>
    </row>
    <row r="689" spans="26:26">
      <c r="Z689" s="89"/>
    </row>
    <row r="690" spans="26:26">
      <c r="Z690" s="89"/>
    </row>
    <row r="691" spans="26:26">
      <c r="Z691" s="89"/>
    </row>
    <row r="692" spans="26:26">
      <c r="Z692" s="89"/>
    </row>
    <row r="693" spans="26:26">
      <c r="Z693" s="89"/>
    </row>
    <row r="694" spans="26:26">
      <c r="Z694" s="89"/>
    </row>
    <row r="695" spans="26:26">
      <c r="Z695" s="89"/>
    </row>
    <row r="696" spans="26:26">
      <c r="Z696" s="89"/>
    </row>
    <row r="697" spans="26:26">
      <c r="Z697" s="89"/>
    </row>
    <row r="698" spans="26:26">
      <c r="Z698" s="89"/>
    </row>
    <row r="699" spans="26:26">
      <c r="Z699" s="89"/>
    </row>
    <row r="700" spans="26:26">
      <c r="Z700" s="89"/>
    </row>
    <row r="701" spans="26:26">
      <c r="Z701" s="89"/>
    </row>
    <row r="702" spans="26:26">
      <c r="Z702" s="89"/>
    </row>
    <row r="703" spans="26:26">
      <c r="Z703" s="89"/>
    </row>
    <row r="704" spans="26:26">
      <c r="Z704" s="89"/>
    </row>
    <row r="705" spans="26:26">
      <c r="Z705" s="89"/>
    </row>
    <row r="706" spans="26:26">
      <c r="Z706" s="89"/>
    </row>
    <row r="707" spans="26:26">
      <c r="Z707" s="89"/>
    </row>
    <row r="708" spans="26:26">
      <c r="Z708" s="89"/>
    </row>
    <row r="709" spans="26:26">
      <c r="Z709" s="89"/>
    </row>
    <row r="710" spans="26:26">
      <c r="Z710" s="89"/>
    </row>
    <row r="711" spans="26:26">
      <c r="Z711" s="89"/>
    </row>
    <row r="712" spans="26:26">
      <c r="Z712" s="89"/>
    </row>
    <row r="713" spans="26:26">
      <c r="Z713" s="89"/>
    </row>
    <row r="714" spans="26:26">
      <c r="Z714" s="89"/>
    </row>
    <row r="715" spans="26:26">
      <c r="Z715" s="89"/>
    </row>
    <row r="716" spans="26:26">
      <c r="Z716" s="89"/>
    </row>
    <row r="717" spans="26:26">
      <c r="Z717" s="89"/>
    </row>
    <row r="718" spans="26:26">
      <c r="Z718" s="89"/>
    </row>
    <row r="719" spans="26:26">
      <c r="Z719" s="89"/>
    </row>
    <row r="720" spans="26:26">
      <c r="Z720" s="89"/>
    </row>
    <row r="721" spans="26:26">
      <c r="Z721" s="89"/>
    </row>
    <row r="722" spans="26:26">
      <c r="Z722" s="89"/>
    </row>
    <row r="723" spans="26:26">
      <c r="Z723" s="89"/>
    </row>
    <row r="724" spans="26:26">
      <c r="Z724" s="89"/>
    </row>
    <row r="725" spans="26:26">
      <c r="Z725" s="89"/>
    </row>
    <row r="726" spans="26:26">
      <c r="Z726" s="89"/>
    </row>
    <row r="727" spans="26:26">
      <c r="Z727" s="89"/>
    </row>
    <row r="728" spans="26:26">
      <c r="Z728" s="89"/>
    </row>
    <row r="729" spans="26:26">
      <c r="Z729" s="89"/>
    </row>
    <row r="730" spans="26:26">
      <c r="Z730" s="89"/>
    </row>
    <row r="731" spans="26:26">
      <c r="Z731" s="89"/>
    </row>
    <row r="732" spans="26:26">
      <c r="Z732" s="89"/>
    </row>
    <row r="733" spans="26:26">
      <c r="Z733" s="89"/>
    </row>
    <row r="734" spans="26:26">
      <c r="Z734" s="89"/>
    </row>
    <row r="735" spans="26:26">
      <c r="Z735" s="89"/>
    </row>
    <row r="736" spans="26:26">
      <c r="Z736" s="89"/>
    </row>
    <row r="737" spans="26:26">
      <c r="Z737" s="89"/>
    </row>
    <row r="738" spans="26:26">
      <c r="Z738" s="89"/>
    </row>
    <row r="739" spans="26:26">
      <c r="Z739" s="89"/>
    </row>
    <row r="740" spans="26:26">
      <c r="Z740" s="89"/>
    </row>
    <row r="741" spans="26:26">
      <c r="Z741" s="89"/>
    </row>
    <row r="742" spans="26:26">
      <c r="Z742" s="89"/>
    </row>
    <row r="743" spans="26:26">
      <c r="Z743" s="89"/>
    </row>
    <row r="744" spans="26:26">
      <c r="Z744" s="89"/>
    </row>
    <row r="745" spans="26:26">
      <c r="Z745" s="89"/>
    </row>
    <row r="746" spans="26:26">
      <c r="Z746" s="89"/>
    </row>
    <row r="747" spans="26:26">
      <c r="Z747" s="89"/>
    </row>
    <row r="748" spans="26:26">
      <c r="Z748" s="89"/>
    </row>
    <row r="749" spans="26:26">
      <c r="Z749" s="89"/>
    </row>
    <row r="750" spans="26:26">
      <c r="Z750" s="89"/>
    </row>
    <row r="751" spans="26:26">
      <c r="Z751" s="89"/>
    </row>
    <row r="752" spans="26:26">
      <c r="Z752" s="89"/>
    </row>
    <row r="753" spans="26:26">
      <c r="Z753" s="89"/>
    </row>
    <row r="754" spans="26:26">
      <c r="Z754" s="89"/>
    </row>
    <row r="755" spans="26:26">
      <c r="Z755" s="89"/>
    </row>
    <row r="756" spans="26:26">
      <c r="Z756" s="89"/>
    </row>
    <row r="757" spans="26:26">
      <c r="Z757" s="89"/>
    </row>
    <row r="758" spans="26:26">
      <c r="Z758" s="89"/>
    </row>
    <row r="759" spans="26:26">
      <c r="Z759" s="89"/>
    </row>
    <row r="760" spans="26:26">
      <c r="Z760" s="89"/>
    </row>
    <row r="761" spans="26:26">
      <c r="Z761" s="89"/>
    </row>
    <row r="762" spans="26:26">
      <c r="Z762" s="89"/>
    </row>
    <row r="763" spans="26:26">
      <c r="Z763" s="89"/>
    </row>
    <row r="764" spans="26:26">
      <c r="Z764" s="89"/>
    </row>
    <row r="765" spans="26:26">
      <c r="Z765" s="89"/>
    </row>
    <row r="766" spans="26:26">
      <c r="Z766" s="89"/>
    </row>
    <row r="767" spans="26:26">
      <c r="Z767" s="89"/>
    </row>
    <row r="768" spans="26:26">
      <c r="Z768" s="89"/>
    </row>
    <row r="769" spans="26:26">
      <c r="Z769" s="89"/>
    </row>
    <row r="770" spans="26:26">
      <c r="Z770" s="89"/>
    </row>
    <row r="771" spans="26:26">
      <c r="Z771" s="89"/>
    </row>
    <row r="772" spans="26:26">
      <c r="Z772" s="89"/>
    </row>
    <row r="773" spans="26:26">
      <c r="Z773" s="89"/>
    </row>
    <row r="774" spans="26:26">
      <c r="Z774" s="89"/>
    </row>
    <row r="775" spans="26:26">
      <c r="Z775" s="89"/>
    </row>
    <row r="776" spans="26:26">
      <c r="Z776" s="89"/>
    </row>
    <row r="777" spans="26:26">
      <c r="Z777" s="89"/>
    </row>
    <row r="778" spans="26:26">
      <c r="Z778" s="89"/>
    </row>
    <row r="779" spans="26:26">
      <c r="Z779" s="89"/>
    </row>
    <row r="780" spans="26:26">
      <c r="Z780" s="89"/>
    </row>
    <row r="781" spans="26:26">
      <c r="Z781" s="89"/>
    </row>
    <row r="782" spans="26:26">
      <c r="Z782" s="89"/>
    </row>
    <row r="783" spans="26:26">
      <c r="Z783" s="89"/>
    </row>
    <row r="784" spans="26:26">
      <c r="Z784" s="89"/>
    </row>
    <row r="785" spans="26:26">
      <c r="Z785" s="89"/>
    </row>
    <row r="786" spans="26:26">
      <c r="Z786" s="89"/>
    </row>
    <row r="787" spans="26:26">
      <c r="Z787" s="89"/>
    </row>
    <row r="788" spans="26:26">
      <c r="Z788" s="89"/>
    </row>
    <row r="789" spans="26:26">
      <c r="Z789" s="89"/>
    </row>
    <row r="790" spans="26:26">
      <c r="Z790" s="89"/>
    </row>
    <row r="791" spans="26:26">
      <c r="Z791" s="89"/>
    </row>
    <row r="792" spans="26:26">
      <c r="Z792" s="89"/>
    </row>
    <row r="793" spans="26:26">
      <c r="Z793" s="89"/>
    </row>
    <row r="794" spans="26:26">
      <c r="Z794" s="89"/>
    </row>
    <row r="795" spans="26:26">
      <c r="Z795" s="89"/>
    </row>
    <row r="796" spans="26:26">
      <c r="Z796" s="89"/>
    </row>
    <row r="797" spans="26:26">
      <c r="Z797" s="89"/>
    </row>
    <row r="798" spans="26:26">
      <c r="Z798" s="89"/>
    </row>
    <row r="799" spans="26:26">
      <c r="Z799" s="89"/>
    </row>
    <row r="800" spans="26:26">
      <c r="Z800" s="89"/>
    </row>
    <row r="801" spans="26:26">
      <c r="Z801" s="89"/>
    </row>
    <row r="802" spans="26:26">
      <c r="Z802" s="89"/>
    </row>
    <row r="803" spans="26:26">
      <c r="Z803" s="89"/>
    </row>
    <row r="804" spans="26:26">
      <c r="Z804" s="89"/>
    </row>
    <row r="805" spans="26:26">
      <c r="Z805" s="89"/>
    </row>
    <row r="806" spans="26:26">
      <c r="Z806" s="89"/>
    </row>
    <row r="807" spans="26:26">
      <c r="Z807" s="89"/>
    </row>
    <row r="808" spans="26:26">
      <c r="Z808" s="89"/>
    </row>
    <row r="809" spans="26:26">
      <c r="Z809" s="89"/>
    </row>
    <row r="810" spans="26:26">
      <c r="Z810" s="89"/>
    </row>
    <row r="811" spans="26:26">
      <c r="Z811" s="89"/>
    </row>
    <row r="812" spans="26:26">
      <c r="Z812" s="89"/>
    </row>
    <row r="813" spans="26:26">
      <c r="Z813" s="89"/>
    </row>
    <row r="814" spans="26:26">
      <c r="Z814" s="89"/>
    </row>
    <row r="815" spans="26:26">
      <c r="Z815" s="89"/>
    </row>
    <row r="816" spans="26:26">
      <c r="Z816" s="89"/>
    </row>
    <row r="817" spans="26:26">
      <c r="Z817" s="89"/>
    </row>
    <row r="818" spans="26:26">
      <c r="Z818" s="89"/>
    </row>
    <row r="819" spans="26:26">
      <c r="Z819" s="89"/>
    </row>
    <row r="820" spans="26:26">
      <c r="Z820" s="89"/>
    </row>
    <row r="821" spans="26:26">
      <c r="Z821" s="89"/>
    </row>
    <row r="822" spans="26:26">
      <c r="Z822" s="89"/>
    </row>
    <row r="823" spans="26:26">
      <c r="Z823" s="89"/>
    </row>
    <row r="824" spans="26:26">
      <c r="Z824" s="89"/>
    </row>
    <row r="825" spans="26:26">
      <c r="Z825" s="89"/>
    </row>
    <row r="826" spans="26:26">
      <c r="Z826" s="89"/>
    </row>
    <row r="827" spans="26:26">
      <c r="Z827" s="89"/>
    </row>
    <row r="828" spans="26:26">
      <c r="Z828" s="89"/>
    </row>
    <row r="829" spans="26:26">
      <c r="Z829" s="89"/>
    </row>
    <row r="830" spans="26:26">
      <c r="Z830" s="89"/>
    </row>
    <row r="831" spans="26:26">
      <c r="Z831" s="89"/>
    </row>
    <row r="832" spans="26:26">
      <c r="Z832" s="89"/>
    </row>
    <row r="833" spans="26:26">
      <c r="Z833" s="89"/>
    </row>
    <row r="834" spans="26:26">
      <c r="Z834" s="89"/>
    </row>
    <row r="835" spans="26:26">
      <c r="Z835" s="89"/>
    </row>
    <row r="836" spans="26:26">
      <c r="Z836" s="89"/>
    </row>
    <row r="837" spans="26:26">
      <c r="Z837" s="89"/>
    </row>
    <row r="838" spans="26:26">
      <c r="Z838" s="89"/>
    </row>
    <row r="839" spans="26:26">
      <c r="Z839" s="89"/>
    </row>
    <row r="840" spans="26:26">
      <c r="Z840" s="89"/>
    </row>
    <row r="841" spans="26:26">
      <c r="Z841" s="89"/>
    </row>
    <row r="842" spans="26:26">
      <c r="Z842" s="89"/>
    </row>
    <row r="843" spans="26:26">
      <c r="Z843" s="89"/>
    </row>
    <row r="844" spans="26:26">
      <c r="Z844" s="89"/>
    </row>
    <row r="845" spans="26:26">
      <c r="Z845" s="89"/>
    </row>
    <row r="846" spans="26:26">
      <c r="Z846" s="89"/>
    </row>
    <row r="847" spans="26:26">
      <c r="Z847" s="89"/>
    </row>
    <row r="848" spans="26:26">
      <c r="Z848" s="89"/>
    </row>
    <row r="849" spans="26:26">
      <c r="Z849" s="89"/>
    </row>
    <row r="850" spans="26:26">
      <c r="Z850" s="89"/>
    </row>
    <row r="851" spans="26:26">
      <c r="Z851" s="89"/>
    </row>
    <row r="852" spans="26:26">
      <c r="Z852" s="89"/>
    </row>
    <row r="853" spans="26:26">
      <c r="Z853" s="89"/>
    </row>
    <row r="854" spans="26:26">
      <c r="Z854" s="89"/>
    </row>
    <row r="855" spans="26:26">
      <c r="Z855" s="89"/>
    </row>
    <row r="856" spans="26:26">
      <c r="Z856" s="89"/>
    </row>
    <row r="857" spans="26:26">
      <c r="Z857" s="89"/>
    </row>
    <row r="858" spans="26:26">
      <c r="Z858" s="89"/>
    </row>
    <row r="859" spans="26:26">
      <c r="Z859" s="89"/>
    </row>
    <row r="860" spans="26:26">
      <c r="Z860" s="89"/>
    </row>
    <row r="861" spans="26:26">
      <c r="Z861" s="89"/>
    </row>
    <row r="862" spans="26:26">
      <c r="Z862" s="89"/>
    </row>
    <row r="863" spans="26:26">
      <c r="Z863" s="89"/>
    </row>
    <row r="864" spans="26:26">
      <c r="Z864" s="89"/>
    </row>
    <row r="865" spans="26:26">
      <c r="Z865" s="89"/>
    </row>
    <row r="866" spans="26:26">
      <c r="Z866" s="89"/>
    </row>
    <row r="867" spans="26:26">
      <c r="Z867" s="89"/>
    </row>
    <row r="868" spans="26:26">
      <c r="Z868" s="89"/>
    </row>
    <row r="869" spans="26:26">
      <c r="Z869" s="89"/>
    </row>
    <row r="870" spans="26:26">
      <c r="Z870" s="89"/>
    </row>
    <row r="871" spans="26:26">
      <c r="Z871" s="89"/>
    </row>
    <row r="872" spans="26:26">
      <c r="Z872" s="89"/>
    </row>
    <row r="873" spans="26:26">
      <c r="Z873" s="89"/>
    </row>
    <row r="874" spans="26:26">
      <c r="Z874" s="89"/>
    </row>
    <row r="875" spans="26:26">
      <c r="Z875" s="89"/>
    </row>
    <row r="876" spans="26:26">
      <c r="Z876" s="89"/>
    </row>
    <row r="877" spans="26:26">
      <c r="Z877" s="89"/>
    </row>
    <row r="878" spans="26:26">
      <c r="Z878" s="89"/>
    </row>
    <row r="879" spans="26:26">
      <c r="Z879" s="89"/>
    </row>
    <row r="880" spans="26:26">
      <c r="Z880" s="89"/>
    </row>
    <row r="881" spans="26:26">
      <c r="Z881" s="89"/>
    </row>
    <row r="882" spans="26:26">
      <c r="Z882" s="89"/>
    </row>
    <row r="883" spans="26:26">
      <c r="Z883" s="89"/>
    </row>
    <row r="884" spans="26:26">
      <c r="Z884" s="89"/>
    </row>
    <row r="885" spans="26:26">
      <c r="Z885" s="89"/>
    </row>
    <row r="886" spans="26:26">
      <c r="Z886" s="89"/>
    </row>
    <row r="887" spans="26:26">
      <c r="Z887" s="89"/>
    </row>
    <row r="888" spans="26:26">
      <c r="Z888" s="89"/>
    </row>
    <row r="889" spans="26:26">
      <c r="Z889" s="89"/>
    </row>
    <row r="890" spans="26:26">
      <c r="Z890" s="89"/>
    </row>
    <row r="891" spans="26:26">
      <c r="Z891" s="89"/>
    </row>
    <row r="892" spans="26:26">
      <c r="Z892" s="89"/>
    </row>
    <row r="893" spans="26:26">
      <c r="Z893" s="89"/>
    </row>
    <row r="894" spans="26:26">
      <c r="Z894" s="89"/>
    </row>
    <row r="895" spans="26:26">
      <c r="Z895" s="89"/>
    </row>
    <row r="896" spans="26:26">
      <c r="Z896" s="89"/>
    </row>
    <row r="897" spans="26:26">
      <c r="Z897" s="89"/>
    </row>
    <row r="898" spans="26:26">
      <c r="Z898" s="89"/>
    </row>
    <row r="899" spans="26:26">
      <c r="Z899" s="89"/>
    </row>
    <row r="900" spans="26:26">
      <c r="Z900" s="89"/>
    </row>
    <row r="901" spans="26:26">
      <c r="Z901" s="89"/>
    </row>
    <row r="902" spans="26:26">
      <c r="Z902" s="89"/>
    </row>
    <row r="903" spans="26:26">
      <c r="Z903" s="89"/>
    </row>
    <row r="904" spans="26:26">
      <c r="Z904" s="89"/>
    </row>
    <row r="905" spans="26:26">
      <c r="Z905" s="89"/>
    </row>
    <row r="906" spans="26:26">
      <c r="Z906" s="89"/>
    </row>
    <row r="907" spans="26:26">
      <c r="Z907" s="89"/>
    </row>
    <row r="908" spans="26:26">
      <c r="Z908" s="89"/>
    </row>
    <row r="909" spans="26:26">
      <c r="Z909" s="89"/>
    </row>
    <row r="910" spans="26:26">
      <c r="Z910" s="89"/>
    </row>
    <row r="911" spans="26:26">
      <c r="Z911" s="89"/>
    </row>
    <row r="912" spans="26:26">
      <c r="Z912" s="89"/>
    </row>
    <row r="913" spans="26:26">
      <c r="Z913" s="89"/>
    </row>
    <row r="914" spans="26:26">
      <c r="Z914" s="89"/>
    </row>
    <row r="915" spans="26:26">
      <c r="Z915" s="89"/>
    </row>
    <row r="916" spans="26:26">
      <c r="Z916" s="89"/>
    </row>
    <row r="917" spans="26:26">
      <c r="Z917" s="89"/>
    </row>
    <row r="918" spans="26:26">
      <c r="Z918" s="89"/>
    </row>
    <row r="919" spans="26:26">
      <c r="Z919" s="89"/>
    </row>
    <row r="920" spans="26:26">
      <c r="Z920" s="89"/>
    </row>
    <row r="921" spans="26:26">
      <c r="Z921" s="89"/>
    </row>
    <row r="922" spans="26:26">
      <c r="Z922" s="89"/>
    </row>
    <row r="923" spans="26:26">
      <c r="Z923" s="89"/>
    </row>
    <row r="924" spans="26:26">
      <c r="Z924" s="89"/>
    </row>
    <row r="925" spans="26:26">
      <c r="Z925" s="89"/>
    </row>
    <row r="926" spans="26:26">
      <c r="Z926" s="89"/>
    </row>
    <row r="927" spans="26:26">
      <c r="Z927" s="89"/>
    </row>
    <row r="928" spans="26:26">
      <c r="Z928" s="89"/>
    </row>
    <row r="929" spans="26:26">
      <c r="Z929" s="89"/>
    </row>
    <row r="930" spans="26:26">
      <c r="Z930" s="89"/>
    </row>
    <row r="931" spans="26:26">
      <c r="Z931" s="89"/>
    </row>
    <row r="932" spans="26:26">
      <c r="Z932" s="89"/>
    </row>
    <row r="933" spans="26:26">
      <c r="Z933" s="89"/>
    </row>
    <row r="934" spans="26:26">
      <c r="Z934" s="89"/>
    </row>
    <row r="935" spans="26:26">
      <c r="Z935" s="89"/>
    </row>
    <row r="936" spans="26:26">
      <c r="Z936" s="89"/>
    </row>
    <row r="937" spans="26:26">
      <c r="Z937" s="89"/>
    </row>
    <row r="938" spans="26:26">
      <c r="Z938" s="89"/>
    </row>
    <row r="939" spans="26:26">
      <c r="Z939" s="89"/>
    </row>
    <row r="940" spans="26:26">
      <c r="Z940" s="89"/>
    </row>
    <row r="941" spans="26:26">
      <c r="Z941" s="89"/>
    </row>
    <row r="942" spans="26:26">
      <c r="Z942" s="89"/>
    </row>
    <row r="943" spans="26:26">
      <c r="Z943" s="89"/>
    </row>
    <row r="944" spans="26:26">
      <c r="Z944" s="89"/>
    </row>
    <row r="945" spans="26:26">
      <c r="Z945" s="89"/>
    </row>
    <row r="946" spans="26:26">
      <c r="Z946" s="89"/>
    </row>
    <row r="947" spans="26:26">
      <c r="Z947" s="89"/>
    </row>
    <row r="948" spans="26:26">
      <c r="Z948" s="89"/>
    </row>
    <row r="949" spans="26:26">
      <c r="Z949" s="89"/>
    </row>
    <row r="950" spans="26:26">
      <c r="Z950" s="89"/>
    </row>
    <row r="951" spans="26:26">
      <c r="Z951" s="89"/>
    </row>
    <row r="952" spans="26:26">
      <c r="Z952" s="89"/>
    </row>
    <row r="953" spans="26:26">
      <c r="Z953" s="89"/>
    </row>
    <row r="954" spans="26:26">
      <c r="Z954" s="89"/>
    </row>
    <row r="955" spans="26:26">
      <c r="Z955" s="89"/>
    </row>
    <row r="956" spans="26:26">
      <c r="Z956" s="89"/>
    </row>
    <row r="957" spans="26:26">
      <c r="Z957" s="89"/>
    </row>
    <row r="958" spans="26:26">
      <c r="Z958" s="89"/>
    </row>
    <row r="959" spans="26:26">
      <c r="Z959" s="89"/>
    </row>
    <row r="960" spans="26:26">
      <c r="Z960" s="89"/>
    </row>
    <row r="961" spans="26:26">
      <c r="Z961" s="89"/>
    </row>
    <row r="962" spans="26:26">
      <c r="Z962" s="89"/>
    </row>
    <row r="963" spans="26:26">
      <c r="Z963" s="89"/>
    </row>
    <row r="964" spans="26:26">
      <c r="Z964" s="89"/>
    </row>
    <row r="965" spans="26:26">
      <c r="Z965" s="89"/>
    </row>
    <row r="966" spans="26:26">
      <c r="Z966" s="89"/>
    </row>
    <row r="967" spans="26:26">
      <c r="Z967" s="89"/>
    </row>
    <row r="968" spans="26:26">
      <c r="Z968" s="89"/>
    </row>
    <row r="969" spans="26:26">
      <c r="Z969" s="89"/>
    </row>
    <row r="970" spans="26:26">
      <c r="Z970" s="89"/>
    </row>
    <row r="971" spans="26:26">
      <c r="Z971" s="89"/>
    </row>
    <row r="972" spans="26:26">
      <c r="Z972" s="89"/>
    </row>
    <row r="973" spans="26:26">
      <c r="Z973" s="89"/>
    </row>
    <row r="974" spans="26:26">
      <c r="Z974" s="89"/>
    </row>
    <row r="975" spans="26:26">
      <c r="Z975" s="89"/>
    </row>
    <row r="976" spans="26:26">
      <c r="Z976" s="89"/>
    </row>
    <row r="977" spans="26:26">
      <c r="Z977" s="89"/>
    </row>
    <row r="978" spans="26:26">
      <c r="Z978" s="89"/>
    </row>
    <row r="979" spans="26:26">
      <c r="Z979" s="89"/>
    </row>
    <row r="980" spans="26:26">
      <c r="Z980" s="89"/>
    </row>
    <row r="981" spans="26:26">
      <c r="Z981" s="89"/>
    </row>
    <row r="982" spans="26:26">
      <c r="Z982" s="89"/>
    </row>
    <row r="983" spans="26:26">
      <c r="Z983" s="89"/>
    </row>
    <row r="984" spans="26:26">
      <c r="Z984" s="89"/>
    </row>
    <row r="985" spans="26:26">
      <c r="Z985" s="89"/>
    </row>
    <row r="986" spans="26:26">
      <c r="Z986" s="89"/>
    </row>
    <row r="987" spans="26:26">
      <c r="Z987" s="89"/>
    </row>
    <row r="988" spans="26:26">
      <c r="Z988" s="89"/>
    </row>
    <row r="989" spans="26:26">
      <c r="Z989" s="89"/>
    </row>
    <row r="990" spans="26:26">
      <c r="Z990" s="89"/>
    </row>
    <row r="991" spans="26:26">
      <c r="Z991" s="89"/>
    </row>
    <row r="992" spans="26:26">
      <c r="Z992" s="89"/>
    </row>
    <row r="993" spans="26:26">
      <c r="Z993" s="89"/>
    </row>
    <row r="994" spans="26:26">
      <c r="Z994" s="89"/>
    </row>
    <row r="995" spans="26:26">
      <c r="Z995" s="89"/>
    </row>
    <row r="996" spans="26:26">
      <c r="Z996" s="89"/>
    </row>
    <row r="997" spans="26:26">
      <c r="Z997" s="89"/>
    </row>
    <row r="998" spans="26:26">
      <c r="Z998" s="89"/>
    </row>
    <row r="999" spans="26:26">
      <c r="Z999" s="89"/>
    </row>
    <row r="1000" spans="26:26">
      <c r="Z1000" s="8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26</vt:i4>
      </vt:variant>
    </vt:vector>
  </HeadingPairs>
  <TitlesOfParts>
    <vt:vector size="33" baseType="lpstr">
      <vt:lpstr>INF_INICIAL</vt:lpstr>
      <vt:lpstr>LISTADO_NOM</vt:lpstr>
      <vt:lpstr>ANALISIS_EPIDEM</vt:lpstr>
      <vt:lpstr>INFORME_NARRATIVO</vt:lpstr>
      <vt:lpstr>GEORREFERENCIA</vt:lpstr>
      <vt:lpstr>Base_datos</vt:lpstr>
      <vt:lpstr>VARIABLES</vt:lpstr>
      <vt:lpstr>AÑO</vt:lpstr>
      <vt:lpstr>INF_INICIAL!Área_de_impresión</vt:lpstr>
      <vt:lpstr>LISTADO_NOM!Área_de_impresión</vt:lpstr>
      <vt:lpstr>DIA</vt:lpstr>
      <vt:lpstr>Edad</vt:lpstr>
      <vt:lpstr>EDAD_</vt:lpstr>
      <vt:lpstr>FECHA_</vt:lpstr>
      <vt:lpstr>FECHA_INIC</vt:lpstr>
      <vt:lpstr>FECHA_INICIO</vt:lpstr>
      <vt:lpstr>FUENTE</vt:lpstr>
      <vt:lpstr>GRAFICO</vt:lpstr>
      <vt:lpstr>INSTITUCION</vt:lpstr>
      <vt:lpstr>JURIS_</vt:lpstr>
      <vt:lpstr>JURISDICCION</vt:lpstr>
      <vt:lpstr>LUGAR</vt:lpstr>
      <vt:lpstr>MES</vt:lpstr>
      <vt:lpstr>MUNICIPIO</vt:lpstr>
      <vt:lpstr>NOTIFICACION</vt:lpstr>
      <vt:lpstr>NOTIFICACIÓN</vt:lpstr>
      <vt:lpstr>NOTIFICACION_</vt:lpstr>
      <vt:lpstr>ORDENA_</vt:lpstr>
      <vt:lpstr>seguimient</vt:lpstr>
      <vt:lpstr>SEGUIMIENTOS</vt:lpstr>
      <vt:lpstr>Sexo_LN</vt:lpstr>
      <vt:lpstr>TIPO_BROTE</vt:lpstr>
      <vt:lpstr>VALORES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</dc:creator>
  <cp:lastModifiedBy>Nancy Fabiola Garcia Amador</cp:lastModifiedBy>
  <cp:lastPrinted>2019-01-21T16:57:32Z</cp:lastPrinted>
  <dcterms:created xsi:type="dcterms:W3CDTF">2015-04-10T18:51:17Z</dcterms:created>
  <dcterms:modified xsi:type="dcterms:W3CDTF">2025-01-22T20:11:17Z</dcterms:modified>
</cp:coreProperties>
</file>